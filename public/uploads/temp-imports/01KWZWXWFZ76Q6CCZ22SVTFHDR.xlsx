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60A110BA-418A-476D-B2FA-47648D8BB052}" xr6:coauthVersionLast="47" xr6:coauthVersionMax="47" xr10:uidLastSave="{00000000-0000-0000-0000-000000000000}"/>
  <bookViews>
    <workbookView xWindow="1950" yWindow="1950" windowWidth="14400" windowHeight="8145"/>
  </bookViews>
  <sheets>
    <sheet name="X E1" sheetId="25" r:id="rId1"/>
    <sheet name="X E2" sheetId="26" r:id="rId2"/>
    <sheet name="X E3" sheetId="27" r:id="rId3"/>
    <sheet name="X E4" sheetId="28" r:id="rId4"/>
    <sheet name="X E5" sheetId="29" r:id="rId5"/>
    <sheet name="X E6" sheetId="30" r:id="rId6"/>
    <sheet name="X E7" sheetId="31" r:id="rId7"/>
    <sheet name="XI F1" sheetId="32" r:id="rId8"/>
    <sheet name="XI F2" sheetId="33" r:id="rId9"/>
    <sheet name="XI F3" sheetId="34" r:id="rId10"/>
    <sheet name="XI F4" sheetId="35" r:id="rId11"/>
    <sheet name="XI F5" sheetId="36" r:id="rId12"/>
    <sheet name="XI F6" sheetId="37" r:id="rId13"/>
  </sheets>
  <definedNames>
    <definedName name="_xlnm._FilterDatabase" localSheetId="4" hidden="1">'X E5'!#REF!</definedName>
    <definedName name="_xlnm._FilterDatabase" localSheetId="6" hidden="1">'X E7'!#REF!</definedName>
    <definedName name="_xlnm.Print_Area" localSheetId="0">'X E1'!#REF!</definedName>
    <definedName name="_xlnm.Print_Area" localSheetId="1">'X E2'!#REF!</definedName>
    <definedName name="_xlnm.Print_Area" localSheetId="2">'X E3'!#REF!</definedName>
    <definedName name="_xlnm.Print_Area" localSheetId="3">'X E4'!$A$2:$H$40</definedName>
    <definedName name="_xlnm.Print_Area" localSheetId="4">'X E5'!#REF!</definedName>
    <definedName name="_xlnm.Print_Area" localSheetId="5">'X E6'!#REF!</definedName>
    <definedName name="_xlnm.Print_Area" localSheetId="6">'X E7'!#REF!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37" l="1"/>
  <c r="C5" i="37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I4" i="37"/>
  <c r="I6" i="37" s="1"/>
  <c r="I5" i="36"/>
  <c r="C5" i="36"/>
  <c r="C6" i="36" s="1"/>
  <c r="C7" i="36" s="1"/>
  <c r="C8" i="36" s="1"/>
  <c r="C9" i="36" s="1"/>
  <c r="C10" i="36" s="1"/>
  <c r="C11" i="36" s="1"/>
  <c r="C12" i="36" s="1"/>
  <c r="C13" i="36" s="1"/>
  <c r="C14" i="36" s="1"/>
  <c r="C15" i="36" s="1"/>
  <c r="C16" i="36" s="1"/>
  <c r="C17" i="36" s="1"/>
  <c r="C18" i="36" s="1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I4" i="36"/>
  <c r="C5" i="35"/>
  <c r="C6" i="35" s="1"/>
  <c r="C7" i="35" s="1"/>
  <c r="C8" i="35" s="1"/>
  <c r="C9" i="35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I4" i="35"/>
  <c r="I5" i="35"/>
  <c r="I5" i="34"/>
  <c r="C5" i="34"/>
  <c r="C6" i="34"/>
  <c r="C7" i="34" s="1"/>
  <c r="C8" i="34" s="1"/>
  <c r="C9" i="34" s="1"/>
  <c r="C10" i="34" s="1"/>
  <c r="C11" i="34" s="1"/>
  <c r="C12" i="34" s="1"/>
  <c r="C13" i="34" s="1"/>
  <c r="C14" i="34" s="1"/>
  <c r="C15" i="34" s="1"/>
  <c r="C16" i="34" s="1"/>
  <c r="C17" i="34" s="1"/>
  <c r="C18" i="34" s="1"/>
  <c r="C19" i="34" s="1"/>
  <c r="C20" i="34" s="1"/>
  <c r="C21" i="34" s="1"/>
  <c r="C22" i="34" s="1"/>
  <c r="C23" i="34" s="1"/>
  <c r="C24" i="34" s="1"/>
  <c r="C25" i="34" s="1"/>
  <c r="C26" i="34" s="1"/>
  <c r="C27" i="34" s="1"/>
  <c r="C28" i="34" s="1"/>
  <c r="C29" i="34" s="1"/>
  <c r="C30" i="34" s="1"/>
  <c r="C31" i="34" s="1"/>
  <c r="C32" i="34" s="1"/>
  <c r="C33" i="34" s="1"/>
  <c r="C34" i="34" s="1"/>
  <c r="C35" i="34" s="1"/>
  <c r="I4" i="34"/>
  <c r="I6" i="34" s="1"/>
  <c r="J5" i="33"/>
  <c r="D5" i="33"/>
  <c r="D6" i="33" s="1"/>
  <c r="D7" i="33" s="1"/>
  <c r="D8" i="33"/>
  <c r="D9" i="33" s="1"/>
  <c r="D10" i="33" s="1"/>
  <c r="D11" i="33" s="1"/>
  <c r="D12" i="33" s="1"/>
  <c r="D13" i="33" s="1"/>
  <c r="D14" i="33" s="1"/>
  <c r="D15" i="33" s="1"/>
  <c r="D16" i="33" s="1"/>
  <c r="D17" i="33" s="1"/>
  <c r="D18" i="33" s="1"/>
  <c r="D19" i="33" s="1"/>
  <c r="D20" i="33" s="1"/>
  <c r="D21" i="33" s="1"/>
  <c r="D22" i="33" s="1"/>
  <c r="D23" i="33" s="1"/>
  <c r="D24" i="33" s="1"/>
  <c r="D25" i="33" s="1"/>
  <c r="D26" i="33" s="1"/>
  <c r="D27" i="33" s="1"/>
  <c r="D28" i="33" s="1"/>
  <c r="D29" i="33" s="1"/>
  <c r="D30" i="33" s="1"/>
  <c r="D31" i="33" s="1"/>
  <c r="D32" i="33" s="1"/>
  <c r="D33" i="33" s="1"/>
  <c r="D34" i="33" s="1"/>
  <c r="J4" i="33"/>
  <c r="J6" i="33"/>
  <c r="J6" i="32"/>
  <c r="D6" i="32"/>
  <c r="D7" i="32" s="1"/>
  <c r="D8" i="32" s="1"/>
  <c r="D9" i="32" s="1"/>
  <c r="D10" i="32" s="1"/>
  <c r="D11" i="32" s="1"/>
  <c r="D12" i="32" s="1"/>
  <c r="D13" i="32" s="1"/>
  <c r="D14" i="32" s="1"/>
  <c r="D15" i="32" s="1"/>
  <c r="D16" i="32" s="1"/>
  <c r="D17" i="32" s="1"/>
  <c r="D18" i="32" s="1"/>
  <c r="D19" i="32" s="1"/>
  <c r="D20" i="32" s="1"/>
  <c r="D21" i="32" s="1"/>
  <c r="D22" i="32" s="1"/>
  <c r="D23" i="32" s="1"/>
  <c r="D24" i="32" s="1"/>
  <c r="D25" i="32" s="1"/>
  <c r="D26" i="32" s="1"/>
  <c r="D27" i="32" s="1"/>
  <c r="D28" i="32" s="1"/>
  <c r="D29" i="32" s="1"/>
  <c r="D30" i="32" s="1"/>
  <c r="D31" i="32" s="1"/>
  <c r="D32" i="32" s="1"/>
  <c r="D33" i="32" s="1"/>
  <c r="D34" i="32" s="1"/>
  <c r="J5" i="32"/>
  <c r="J7" i="32"/>
  <c r="I7" i="31"/>
  <c r="C7" i="31"/>
  <c r="C8" i="31" s="1"/>
  <c r="C9" i="31" s="1"/>
  <c r="C10" i="31" s="1"/>
  <c r="C11" i="31" s="1"/>
  <c r="C12" i="31" s="1"/>
  <c r="C13" i="31" s="1"/>
  <c r="C14" i="31" s="1"/>
  <c r="C15" i="31" s="1"/>
  <c r="C16" i="31" s="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C29" i="31" s="1"/>
  <c r="C30" i="31" s="1"/>
  <c r="C31" i="31" s="1"/>
  <c r="C32" i="31" s="1"/>
  <c r="C33" i="31" s="1"/>
  <c r="C34" i="31" s="1"/>
  <c r="C35" i="31" s="1"/>
  <c r="C36" i="31" s="1"/>
  <c r="I6" i="31"/>
  <c r="J5" i="30"/>
  <c r="J6" i="30" s="1"/>
  <c r="D5" i="30"/>
  <c r="D6" i="30" s="1"/>
  <c r="D7" i="30" s="1"/>
  <c r="D8" i="30" s="1"/>
  <c r="D9" i="30" s="1"/>
  <c r="D10" i="30" s="1"/>
  <c r="D11" i="30" s="1"/>
  <c r="D12" i="30" s="1"/>
  <c r="D13" i="30" s="1"/>
  <c r="D14" i="30" s="1"/>
  <c r="D15" i="30" s="1"/>
  <c r="D16" i="30" s="1"/>
  <c r="D17" i="30" s="1"/>
  <c r="D18" i="30" s="1"/>
  <c r="D19" i="30" s="1"/>
  <c r="D20" i="30" s="1"/>
  <c r="D21" i="30" s="1"/>
  <c r="D22" i="30" s="1"/>
  <c r="D23" i="30" s="1"/>
  <c r="D24" i="30" s="1"/>
  <c r="D25" i="30" s="1"/>
  <c r="D26" i="30" s="1"/>
  <c r="D27" i="30" s="1"/>
  <c r="D28" i="30" s="1"/>
  <c r="D29" i="30" s="1"/>
  <c r="D30" i="30" s="1"/>
  <c r="D31" i="30" s="1"/>
  <c r="D32" i="30" s="1"/>
  <c r="D33" i="30" s="1"/>
  <c r="J4" i="30"/>
  <c r="H5" i="29"/>
  <c r="B5" i="29"/>
  <c r="B6" i="29"/>
  <c r="B7" i="29"/>
  <c r="B8" i="29" s="1"/>
  <c r="B9" i="29" s="1"/>
  <c r="B10" i="29" s="1"/>
  <c r="B11" i="29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H4" i="29"/>
  <c r="H6" i="29"/>
  <c r="R6" i="28"/>
  <c r="R7" i="28"/>
  <c r="L7" i="28"/>
  <c r="L8" i="28" s="1"/>
  <c r="L9" i="28" s="1"/>
  <c r="L10" i="28" s="1"/>
  <c r="L11" i="28" s="1"/>
  <c r="L12" i="28" s="1"/>
  <c r="L13" i="28" s="1"/>
  <c r="L14" i="28" s="1"/>
  <c r="L15" i="28" s="1"/>
  <c r="L16" i="28" s="1"/>
  <c r="L17" i="28" s="1"/>
  <c r="L18" i="28" s="1"/>
  <c r="L19" i="28" s="1"/>
  <c r="L20" i="28" s="1"/>
  <c r="L21" i="28" s="1"/>
  <c r="L22" i="28" s="1"/>
  <c r="L23" i="28" s="1"/>
  <c r="L24" i="28" s="1"/>
  <c r="L25" i="28" s="1"/>
  <c r="L26" i="28" s="1"/>
  <c r="L27" i="28" s="1"/>
  <c r="L28" i="28" s="1"/>
  <c r="L29" i="28" s="1"/>
  <c r="L30" i="28" s="1"/>
  <c r="L31" i="28" s="1"/>
  <c r="L32" i="28" s="1"/>
  <c r="L33" i="28" s="1"/>
  <c r="L34" i="28" s="1"/>
  <c r="L35" i="28" s="1"/>
  <c r="L36" i="28" s="1"/>
  <c r="L37" i="28" s="1"/>
  <c r="H4" i="27"/>
  <c r="H5" i="27"/>
  <c r="B5" i="27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H5" i="26"/>
  <c r="H4" i="26"/>
  <c r="B5" i="26"/>
  <c r="B6" i="26"/>
  <c r="B7" i="26"/>
  <c r="B8" i="26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H10" i="25"/>
  <c r="H11" i="25" s="1"/>
  <c r="B10" i="25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H9" i="25"/>
  <c r="A36" i="32"/>
  <c r="A35" i="32"/>
  <c r="H39" i="28"/>
  <c r="H38" i="28"/>
  <c r="K11" i="25"/>
  <c r="I6" i="36"/>
  <c r="I6" i="35"/>
  <c r="I8" i="31"/>
  <c r="H6" i="27"/>
  <c r="H6" i="26"/>
  <c r="R8" i="28" l="1"/>
</calcChain>
</file>

<file path=xl/comments1.xml><?xml version="1.0" encoding="utf-8"?>
<comments xmlns="http://schemas.openxmlformats.org/spreadsheetml/2006/main">
  <authors>
    <author>ACER</author>
    <author>saver</author>
  </authors>
  <commentList>
    <comment ref="D10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PASFOTO BELUM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PASFOTO BELUM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FC. RAPOR BELUM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ACER:
DATA BELUM ADA, PERLU KONFIRMASI TERKAIT DATA ORANGTUA</t>
        </r>
      </text>
    </comment>
    <comment ref="D21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fc ijazah, pasfoto, BELUM</t>
        </r>
      </text>
    </comment>
    <comment ref="D24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BERKAS BELUM MASUK</t>
        </r>
      </text>
    </comment>
    <comment ref="D27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BERKAS BELUM MASUK</t>
        </r>
      </text>
    </comment>
    <comment ref="D28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FC. IJAZAH BELUM
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PASFOTO BELUM</t>
        </r>
      </text>
    </comment>
    <comment ref="D34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FC. IJAZAH SD BELUM</t>
        </r>
      </text>
    </comment>
    <comment ref="D40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IJAZAH SD/SMP, PASFOTO, BELUM</t>
        </r>
      </text>
    </comment>
  </commentList>
</comments>
</file>

<file path=xl/comments2.xml><?xml version="1.0" encoding="utf-8"?>
<comments xmlns="http://schemas.openxmlformats.org/spreadsheetml/2006/main">
  <authors>
    <author>ACER</author>
    <author>saver</author>
  </authors>
  <commentList>
    <comment ref="D6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PASFOTO BELUM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KONFIRMASI DATA ORTU</t>
        </r>
      </text>
    </comment>
    <comment ref="D15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PASFOTO BELUM ADA</t>
        </r>
      </text>
    </comment>
    <comment ref="D19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PASFOTO BELUM</t>
        </r>
      </text>
    </comment>
    <comment ref="D28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IJAZAH BELUM ADA, PASFOTO BELUM</t>
        </r>
      </text>
    </comment>
    <comment ref="D29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PAFOTO BELUM</t>
        </r>
      </text>
    </comment>
    <comment ref="D30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FC KK BELUM ADA, PASFOTO BELUM</t>
        </r>
      </text>
    </comment>
  </commentList>
</comments>
</file>

<file path=xl/comments3.xml><?xml version="1.0" encoding="utf-8"?>
<comments xmlns="http://schemas.openxmlformats.org/spreadsheetml/2006/main">
  <authors>
    <author>ACER</author>
    <author>saver</author>
  </authors>
  <commentList>
    <comment ref="D5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PASFOTO BELUM</t>
        </r>
      </text>
    </comment>
    <comment ref="D6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KONFIRMASI DATA ORTU</t>
        </r>
      </text>
    </comment>
    <comment ref="D14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FC IJAZAH BELUM</t>
        </r>
      </text>
    </comment>
    <comment ref="D15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IJAZAH BELUM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surat tanda lulus BELUM
</t>
        </r>
      </text>
    </comment>
    <comment ref="D19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SEKOLAH PAKET, FC RAPOR BELUM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PASSFOTO BELUM
</t>
        </r>
      </text>
    </comment>
    <comment ref="D21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IJAZAH </t>
        </r>
        <r>
          <rPr>
            <b/>
            <sz val="9"/>
            <color indexed="81"/>
            <rFont val="Tahoma"/>
            <family val="2"/>
          </rPr>
          <t xml:space="preserve">SMP BELUM
</t>
        </r>
      </text>
    </comment>
    <comment ref="D24" authorId="0" shapeId="0">
      <text>
        <r>
          <rPr>
            <b/>
            <sz val="9"/>
            <color indexed="81"/>
            <rFont val="Tahoma"/>
            <family val="2"/>
          </rPr>
          <t>FC KK BELUM</t>
        </r>
      </text>
    </comment>
    <comment ref="D26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FC IJAZAH BELUM, PASFOTOBELUM</t>
        </r>
      </text>
    </comment>
    <comment ref="D29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FC IJAZAH BELUM, KONFIRMASI DATA ORANGTUA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ACER:FC IJAZAH BELUM ADA
PASFOTO BELUM</t>
        </r>
      </text>
    </comment>
    <comment ref="D32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PASFOTO BELUM</t>
        </r>
      </text>
    </comment>
  </commentList>
</comments>
</file>

<file path=xl/comments4.xml><?xml version="1.0" encoding="utf-8"?>
<comments xmlns="http://schemas.openxmlformats.org/spreadsheetml/2006/main">
  <authors>
    <author>saver</author>
    <author>ACER</author>
  </authors>
  <commentList>
    <comment ref="N6" authorId="0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PERLU KONFIRMASI DATA ORANGTUA, NIK BELUMA ADA, KK BELUM ADA</t>
        </r>
      </text>
    </comment>
    <comment ref="N7" authorId="1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FC RAPOR BELUM</t>
        </r>
      </text>
    </comment>
    <comment ref="N8" authorId="1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FC IJAZAH BELUM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 xml:space="preserve">ACER:
</t>
        </r>
        <r>
          <rPr>
            <sz val="9"/>
            <color indexed="81"/>
            <rFont val="Tahoma"/>
            <family val="2"/>
          </rPr>
          <t xml:space="preserve">SPP: 400.000/BLN
SUMBANGAN </t>
        </r>
        <r>
          <rPr>
            <b/>
            <sz val="9"/>
            <color indexed="81"/>
            <rFont val="Tahoma"/>
            <family val="2"/>
          </rPr>
          <t xml:space="preserve">PEMBANGUNAN BELUM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0" authorId="0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PERLU KONFIRMASI DATA ORANGTUA, PASFOTO BELUM
</t>
        </r>
        <r>
          <rPr>
            <b/>
            <sz val="9"/>
            <color indexed="81"/>
            <rFont val="Tahoma"/>
            <family val="2"/>
          </rPr>
          <t>FAMILI LAIN</t>
        </r>
      </text>
    </comment>
    <comment ref="N11" authorId="1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FC IJAZAH BELUM</t>
        </r>
      </text>
    </comment>
    <comment ref="N13" authorId="1" shapeId="0">
      <text>
        <r>
          <rPr>
            <b/>
            <sz val="9"/>
            <color indexed="81"/>
            <rFont val="Tahoma"/>
            <family val="2"/>
          </rPr>
          <t xml:space="preserve">ACER:
KK PERLU KONFIRMASI LAGI
</t>
        </r>
      </text>
    </comment>
    <comment ref="N16" authorId="1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PASFOTO GANTI DGN SERAGAM SMA
</t>
        </r>
      </text>
    </comment>
    <comment ref="N17" authorId="1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fc ijazah, pasfoto belum</t>
        </r>
      </text>
    </comment>
    <comment ref="N18" authorId="1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PASSFOTO BELUM</t>
        </r>
      </text>
    </comment>
    <comment ref="N27" authorId="1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NAMA DI IJAZAH DAN KK BERBEDA. KONFIRMASI</t>
        </r>
      </text>
    </comment>
    <comment ref="N28" authorId="1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FC. RAPOR SMP BELUM
</t>
        </r>
      </text>
    </comment>
    <comment ref="N32" authorId="0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FC IJAZAH BELUM</t>
        </r>
      </text>
    </comment>
    <comment ref="N33" authorId="0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FC IJAZAH BELUM</t>
        </r>
      </text>
    </comment>
  </commentList>
</comments>
</file>

<file path=xl/comments5.xml><?xml version="1.0" encoding="utf-8"?>
<comments xmlns="http://schemas.openxmlformats.org/spreadsheetml/2006/main">
  <authors>
    <author>ACER</author>
    <author>saver</author>
  </authors>
  <commentList>
    <comment ref="D4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PASFOTO BELUM
</t>
        </r>
      </text>
    </comment>
    <comment ref="D10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PERLU KONFIRMASI DATA ORANGTUA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PASFOTO BELUM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PASFOTO BELUM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SPP: 400.000/BLN
SUMBANGAN 100.00 DIBAYAR SAAT DAFTAR ULANG
PASFOTO BELUM
</t>
        </r>
      </text>
    </comment>
    <comment ref="D14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FC IJAZAH, PASFOTO BELUM</t>
        </r>
      </text>
    </comment>
    <comment ref="D17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IJAZAH SD BELUM</t>
        </r>
      </text>
    </comment>
    <comment ref="D18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PERLU KONFIRMASI DATA ORANGTUA</t>
        </r>
      </text>
    </comment>
    <comment ref="D33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FORMULIR DAN PASFOTO BELUM</t>
        </r>
      </text>
    </comment>
  </commentList>
</comments>
</file>

<file path=xl/comments6.xml><?xml version="1.0" encoding="utf-8"?>
<comments xmlns="http://schemas.openxmlformats.org/spreadsheetml/2006/main">
  <authors>
    <author>ACER</author>
    <author>saver</author>
  </authors>
  <commentList>
    <comment ref="F7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SPP: 400.000/BLN
SUMBANGAN 100.000 DIBAYAR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PASFOTO BELUM</t>
        </r>
      </text>
    </comment>
    <comment ref="F12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PASFOTO BELUM</t>
        </r>
      </text>
    </comment>
    <comment ref="F13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FORMULIR BELUM MASUK</t>
        </r>
      </text>
    </comment>
    <comment ref="F18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FC IJAZAH BELUM</t>
        </r>
      </text>
    </comment>
    <comment ref="F19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PASFOTO BELUM
KONFIRMASI DATA KELUARGA</t>
        </r>
      </text>
    </comment>
    <comment ref="F20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FC IJAZAH
FC RAPOR
PASFOTO
FORMULIR
</t>
        </r>
        <r>
          <rPr>
            <b/>
            <sz val="9"/>
            <color indexed="81"/>
            <rFont val="Tahoma"/>
            <family val="2"/>
          </rPr>
          <t>BELUM</t>
        </r>
      </text>
    </comment>
    <comment ref="F25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FORMULIR BELUM</t>
        </r>
      </text>
    </comment>
    <comment ref="F26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PASFOTO BELUM
SKL BELUM
FC RAPOR</t>
        </r>
      </text>
    </comment>
    <comment ref="F27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ijazah BELUM
PASFOTO BELUM
</t>
        </r>
      </text>
    </comment>
    <comment ref="F29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PERLU KONFIRMASI ULANG DATA KELUARGA (IBU AYAH)</t>
        </r>
      </text>
    </comment>
    <comment ref="F30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TGL LAHIR IJAZAH BEDA DGN KK, </t>
        </r>
        <r>
          <rPr>
            <b/>
            <sz val="9"/>
            <color indexed="81"/>
            <rFont val="Tahoma"/>
            <family val="2"/>
          </rPr>
          <t>PERLU KONFIRMASI</t>
        </r>
      </text>
    </comment>
    <comment ref="F32" authorId="1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PASFOTO BELUM</t>
        </r>
      </text>
    </comment>
    <comment ref="F33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FC IJAZAH, PASFOTO BELUM</t>
        </r>
      </text>
    </comment>
  </commentList>
</comments>
</file>

<file path=xl/comments7.xml><?xml version="1.0" encoding="utf-8"?>
<comments xmlns="http://schemas.openxmlformats.org/spreadsheetml/2006/main">
  <authors>
    <author>saver</author>
    <author>ACER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PASFOTO BELUM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PASFOTO BELUM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BERKAS BELUM ADA</t>
        </r>
      </text>
    </comment>
    <comment ref="E15" authorId="1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PASSFOTO BELUM</t>
        </r>
      </text>
    </comment>
    <comment ref="E16" authorId="0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FC IJAZAH BELUM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FC KK BELUM</t>
        </r>
      </text>
    </comment>
    <comment ref="E20" authorId="0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PASFOTO BELUM</t>
        </r>
      </text>
    </comment>
    <comment ref="E29" authorId="0" shapeId="0">
      <text>
        <r>
          <rPr>
            <b/>
            <sz val="9"/>
            <color indexed="81"/>
            <rFont val="Tahoma"/>
            <family val="2"/>
          </rPr>
          <t>saver:</t>
        </r>
        <r>
          <rPr>
            <sz val="9"/>
            <color indexed="81"/>
            <rFont val="Tahoma"/>
            <family val="2"/>
          </rPr>
          <t xml:space="preserve">
IJAZAH BELUM ADA</t>
        </r>
      </text>
    </comment>
    <comment ref="E31" authorId="1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IJAZAH BELUM</t>
        </r>
      </text>
    </comment>
    <comment ref="E32" authorId="1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FC. RAPOR BELUM
</t>
        </r>
      </text>
    </comment>
  </commentList>
</comments>
</file>

<file path=xl/sharedStrings.xml><?xml version="1.0" encoding="utf-8"?>
<sst xmlns="http://schemas.openxmlformats.org/spreadsheetml/2006/main" count="1699" uniqueCount="1124">
  <si>
    <t>P</t>
  </si>
  <si>
    <t>L</t>
  </si>
  <si>
    <t xml:space="preserve">Katolik </t>
  </si>
  <si>
    <t>MARIA STEVERISTA LOURDES</t>
  </si>
  <si>
    <t>0107875412</t>
  </si>
  <si>
    <t>LARANTUKA</t>
  </si>
  <si>
    <t>10 JUNI 2010</t>
  </si>
  <si>
    <t>AGUSTINUS GRACHELO T. WERUIN</t>
  </si>
  <si>
    <t>LEMBATA</t>
  </si>
  <si>
    <t>MARTA LOLON MUDA</t>
  </si>
  <si>
    <t>12 OKTOBER 2009</t>
  </si>
  <si>
    <t>FELIX EMAN SANGA LEIN</t>
  </si>
  <si>
    <t>LEWOLERE</t>
  </si>
  <si>
    <t>MARIA KARTIKA PRIMA BUDIANTO</t>
  </si>
  <si>
    <t>ALDITA C. DE MENEZES</t>
  </si>
  <si>
    <t>LETICIA BRIGITTA SEKKE</t>
  </si>
  <si>
    <t>MATILDIS INA HURIT</t>
  </si>
  <si>
    <t>LUSIA MICELY BAREK GEDE</t>
  </si>
  <si>
    <t>ELISABETH LETEK RESIONA</t>
  </si>
  <si>
    <t>YOHANA SIGO KOTEN</t>
  </si>
  <si>
    <t>MISELA STELAMARIS BELABIS</t>
  </si>
  <si>
    <t>MARIA DEUTELIN KIREN ONGENULAN</t>
  </si>
  <si>
    <t>MIKHAEL APRILIO JESZO TOKAN</t>
  </si>
  <si>
    <t>VINSENSIA JAWAINA JAWAN</t>
  </si>
  <si>
    <t>AGNES MARLINA BERIBE</t>
  </si>
  <si>
    <t>REINER STEFANUS LIGI KERANS</t>
  </si>
  <si>
    <t>MARIA GORETI ARTHA DIAZ</t>
  </si>
  <si>
    <t>ELISABETH LACEY NADYA NANGA</t>
  </si>
  <si>
    <t>ANGELINA PUTRI JEDO</t>
  </si>
  <si>
    <t>FEBRIANI MOTI RITAN</t>
  </si>
  <si>
    <t>MARIA INDRIANI E. SADIPUN</t>
  </si>
  <si>
    <t>MARSELINA MAYA HOKOR</t>
  </si>
  <si>
    <t>BARTOLOMEUS API</t>
  </si>
  <si>
    <t>NATALIA EMA BRINU</t>
  </si>
  <si>
    <t>GREGORIUS DONI LOLI</t>
  </si>
  <si>
    <t>KRESENSIUS KODA LARU</t>
  </si>
  <si>
    <t>MARIA PETRONELA D.S. PARU</t>
  </si>
  <si>
    <t>KLARA GRACIA BELITI TUKAN</t>
  </si>
  <si>
    <t>VIANA BENGA</t>
  </si>
  <si>
    <t>MECHTILDIS ANTONIA W. KELASA</t>
  </si>
  <si>
    <t>FRANSISKUS ENGA KOROHAMA</t>
  </si>
  <si>
    <t>MARIA FITRIA DOLORITO DIHEN</t>
  </si>
  <si>
    <t>AVRILL ANGELUCITA NAHAK</t>
  </si>
  <si>
    <t>GABRIELA KINANTI LAMATOKAN</t>
  </si>
  <si>
    <t>BERNADINO PIOH ALSANDI WERAN</t>
  </si>
  <si>
    <t>CLAUDIA BELLAVISTA LIREN LEWUK</t>
  </si>
  <si>
    <t>SISILIA NATA HURIT</t>
  </si>
  <si>
    <t>YOFINA SIDNEY RILA</t>
  </si>
  <si>
    <t>THERESIA VILANOVA MELI</t>
  </si>
  <si>
    <t>KRISTIAN SINA TUKAN</t>
  </si>
  <si>
    <t>PETRUS MARTINO CLARITO HADJON</t>
  </si>
  <si>
    <t>YOHANES GOA PIRAN</t>
  </si>
  <si>
    <t>EUSTACHIA TASI TUKAN</t>
  </si>
  <si>
    <t>KORNELIA MONIKA TUTO WAWIN</t>
  </si>
  <si>
    <t>MATHILDA CLEONARDA YOSEFA ODEL</t>
  </si>
  <si>
    <t>CHRISTIAN FRANSISKUS BAON</t>
  </si>
  <si>
    <t>VALENTINA JEDO BAREK BADIN</t>
  </si>
  <si>
    <t>YOSEFINA GABRIELA RIBERU</t>
  </si>
  <si>
    <t>GEOVANI CONSTANTINO MAMUN SARE</t>
  </si>
  <si>
    <t>PRISCILA MELI URAN</t>
  </si>
  <si>
    <t>MICHAEL REX JONATHAN</t>
  </si>
  <si>
    <t>KAROLINA SOLOT LAOT</t>
  </si>
  <si>
    <t>ALBERTO CARLOS KIA KOLI</t>
  </si>
  <si>
    <t>BERNADETHE RITA CHELSIA PATI DIAZ</t>
  </si>
  <si>
    <t>BRIGITTA ISABELLA LANGODAY</t>
  </si>
  <si>
    <t>0101768853</t>
  </si>
  <si>
    <t>21 JULI 2010</t>
  </si>
  <si>
    <t>MARIA SHALSABILA IPI WALENG</t>
  </si>
  <si>
    <t>0109793817</t>
  </si>
  <si>
    <t>31 MEI 2010</t>
  </si>
  <si>
    <t>THERESIA LOTI HURINT</t>
  </si>
  <si>
    <t>0104683066</t>
  </si>
  <si>
    <t>LAMAWALANG</t>
  </si>
  <si>
    <t>MARCO ADRIANUS TUNG LILY</t>
  </si>
  <si>
    <t>0095634456</t>
  </si>
  <si>
    <t>30 MARET 2009</t>
  </si>
  <si>
    <t>0102755235</t>
  </si>
  <si>
    <t>WERI</t>
  </si>
  <si>
    <t>0098329922</t>
  </si>
  <si>
    <t>MARGARETH FRANSISKA KWEN</t>
  </si>
  <si>
    <t>DOROTEA ANASTASIA T. ARAN</t>
  </si>
  <si>
    <t>THERESIA BUNGA ASSAN</t>
  </si>
  <si>
    <t>0092915911</t>
  </si>
  <si>
    <t>22 OKTOBER 2009</t>
  </si>
  <si>
    <t>AGNES MONIKA TUPA ARAN</t>
  </si>
  <si>
    <t>LUKAS RIANTOBY</t>
  </si>
  <si>
    <t>CORNELIA WONDA BALUN</t>
  </si>
  <si>
    <t>FRANSISKA BAREK HAYON</t>
  </si>
  <si>
    <t>NOVRIANA OLIVIA INA UTO</t>
  </si>
  <si>
    <t>0093207270</t>
  </si>
  <si>
    <t>25 JUNI 2009</t>
  </si>
  <si>
    <t>MERICI LUCIA IKAWATI KERAF</t>
  </si>
  <si>
    <t>0117989030</t>
  </si>
  <si>
    <t>28 JANUARI 2011</t>
  </si>
  <si>
    <t>SISILIA FLORIANA MARE</t>
  </si>
  <si>
    <t>PRISKA MARSELINA MILO</t>
  </si>
  <si>
    <t>DIANA SESILIA SEDO SINA LEWOLIA</t>
  </si>
  <si>
    <t>ALVARO MANUELLO LAMAPAHA</t>
  </si>
  <si>
    <t>MARIA APRIYANI SABU BALA</t>
  </si>
  <si>
    <t>YOSEP ANDRA RASDALIMA</t>
  </si>
  <si>
    <t>CLARA BOTA BENU</t>
  </si>
  <si>
    <t>MARIA GRASINTIA KOLIN</t>
  </si>
  <si>
    <t>PAULUS ALEXANDRO ASSAN</t>
  </si>
  <si>
    <t>YOHANES BAPTISTA NUHO PADAK</t>
  </si>
  <si>
    <t>PATRISIA BEKU MURA</t>
  </si>
  <si>
    <t>GRATIANO RATUAMASUBA HOKOR</t>
  </si>
  <si>
    <t>MARIANI KEWA BLOLON</t>
  </si>
  <si>
    <t>MARIA NONA HULER</t>
  </si>
  <si>
    <t>MAGDALENA KEWA KEBAN</t>
  </si>
  <si>
    <t>PAULA PULO BALELA</t>
  </si>
  <si>
    <t>THERESIA KLARA FERNANDEZ</t>
  </si>
  <si>
    <t>FRANSISKUS X. DONI PAYON</t>
  </si>
  <si>
    <t>VERONIKA DAWAN JAWAN</t>
  </si>
  <si>
    <t>OLIVIANI GRESSIA BAOWOLLO</t>
  </si>
  <si>
    <t>ANGELICA GROCU PURAB</t>
  </si>
  <si>
    <t>YOSEPH R. GURU SUBAN</t>
  </si>
  <si>
    <t>FRANSISKUS JUAN KOTEN</t>
  </si>
  <si>
    <t>YOHANES JONI BOLENG</t>
  </si>
  <si>
    <t>RAFAEL FERNANDEZ</t>
  </si>
  <si>
    <t>PATRICIA CLAUDIA PUTRI LAMANELE</t>
  </si>
  <si>
    <t>PHILIPUS JULIO ZANTANA OLIN</t>
  </si>
  <si>
    <t>YOHANES MARIO RESI KOTEN</t>
  </si>
  <si>
    <t>SESILIA EMIRENSIANA  OGOR</t>
  </si>
  <si>
    <t>OCTOVIANUS AMA L. RIANGKOLI</t>
  </si>
  <si>
    <t>JOSEPH PAULUS I. RANGGA</t>
  </si>
  <si>
    <t>GABRIELA INDRI RANGGA</t>
  </si>
  <si>
    <t>LOUIS MARIO L.L.S. GORAN</t>
  </si>
  <si>
    <t>YUSTINA TIARA KEWA GOA</t>
  </si>
  <si>
    <t>THOMAS FRANSISKUS WILLIAM MORA BELALAWE</t>
  </si>
  <si>
    <t>0095820921</t>
  </si>
  <si>
    <t>3 JULI 2009</t>
  </si>
  <si>
    <t>DOLFONSA PETRISILA H. N. ARAN</t>
  </si>
  <si>
    <t>0108630264</t>
  </si>
  <si>
    <t>23 JANUARI 2010</t>
  </si>
  <si>
    <t>MARGARETA KEMODO NAMANG</t>
  </si>
  <si>
    <t>0093382362</t>
  </si>
  <si>
    <t>29 JULI 209</t>
  </si>
  <si>
    <t>MARIA MARSELIN RIANTOBI</t>
  </si>
  <si>
    <t>EVANDER FRANKEN SAMON BEDA</t>
  </si>
  <si>
    <t>0102922418</t>
  </si>
  <si>
    <t>19 PEBRUARI 2010</t>
  </si>
  <si>
    <t>WAIHALI</t>
  </si>
  <si>
    <t>0098606459</t>
  </si>
  <si>
    <t>4 DESEMBER 2009</t>
  </si>
  <si>
    <t>0109098801</t>
  </si>
  <si>
    <t>31 MARET 2010</t>
  </si>
  <si>
    <t>LIDWINA PUAN RAMBU WEJA HERIN</t>
  </si>
  <si>
    <t>0106234327</t>
  </si>
  <si>
    <t>4 MEI 2008</t>
  </si>
  <si>
    <t>DAVID CHRISTIAN K. LAMAWURAN</t>
  </si>
  <si>
    <t>ANTONIUS TRAPISTO RETU KOTEN</t>
  </si>
  <si>
    <t>0097736182</t>
  </si>
  <si>
    <t>01 MEI 2009</t>
  </si>
  <si>
    <t>PUKEN TOBI WANGI BAO</t>
  </si>
  <si>
    <t>0109520149</t>
  </si>
  <si>
    <t>26 DESEMBER 2010</t>
  </si>
  <si>
    <t>MAGADALENA BULU KOREBIMA</t>
  </si>
  <si>
    <t>0109010632</t>
  </si>
  <si>
    <t>KENOTAN</t>
  </si>
  <si>
    <t>04 SEPTEMBER 2010</t>
  </si>
  <si>
    <t>0106992171</t>
  </si>
  <si>
    <t>20 APRIL 2010</t>
  </si>
  <si>
    <t>0108239394</t>
  </si>
  <si>
    <t>13 APRIL 2010</t>
  </si>
  <si>
    <t>SAROTARI TENGAH</t>
  </si>
  <si>
    <t>NASARIUS AMA TAKA</t>
  </si>
  <si>
    <t>0101110669</t>
  </si>
  <si>
    <t>LAMAWOLO</t>
  </si>
  <si>
    <t>AURELINA LELO RITAN</t>
  </si>
  <si>
    <t>0104040061</t>
  </si>
  <si>
    <t xml:space="preserve">WAILOLONG </t>
  </si>
  <si>
    <t>0083486669</t>
  </si>
  <si>
    <t>LEWOHALA</t>
  </si>
  <si>
    <t>16 DESEMBER 2008</t>
  </si>
  <si>
    <t>HALAKODANUAN</t>
  </si>
  <si>
    <t>0109661182</t>
  </si>
  <si>
    <t>21 APRIL 2010</t>
  </si>
  <si>
    <t>0091433916</t>
  </si>
  <si>
    <t>16 NOVEMBER 2009</t>
  </si>
  <si>
    <t>11 MARET 2010</t>
  </si>
  <si>
    <t>0093000466</t>
  </si>
  <si>
    <t>23 DESEMBER 2009</t>
  </si>
  <si>
    <t>ANTONIA SIMONA HALAN</t>
  </si>
  <si>
    <t>0101421061</t>
  </si>
  <si>
    <t>14 JULI 2010</t>
  </si>
  <si>
    <t>0081087761</t>
  </si>
  <si>
    <t>7 JULI 2008</t>
  </si>
  <si>
    <t>0105577623</t>
  </si>
  <si>
    <t>WATOWARA</t>
  </si>
  <si>
    <t>3 MARET 2010</t>
  </si>
  <si>
    <t>TITEHENA</t>
  </si>
  <si>
    <t>ROSALINA KEWA HURINT</t>
  </si>
  <si>
    <t>CHRISTOFORUS WISSOK RIANGTOBI</t>
  </si>
  <si>
    <t>LOUIS MARIE GRIGNION BAHY</t>
  </si>
  <si>
    <t xml:space="preserve">KEIZHA PUTRI WARDANA </t>
  </si>
  <si>
    <t>PAULUS SENODA BETAN</t>
  </si>
  <si>
    <t>JENNYFER RESA MORON</t>
  </si>
  <si>
    <t>EFREM ARISCO OLA SUBAN</t>
  </si>
  <si>
    <t>HELENA PATRISIA</t>
  </si>
  <si>
    <t>MARIA DAJA WATON</t>
  </si>
  <si>
    <t>CLARA GALINA CONSTANTINE WUNGA SOGEN</t>
  </si>
  <si>
    <t>0097575372</t>
  </si>
  <si>
    <t>BOGOR</t>
  </si>
  <si>
    <t>8 OKTOBER 2009</t>
  </si>
  <si>
    <t>31 DESEMBER 2010</t>
  </si>
  <si>
    <t>0092838190</t>
  </si>
  <si>
    <t>MALAYSIA</t>
  </si>
  <si>
    <t>2 JANUARI 2009</t>
  </si>
  <si>
    <t>NOBOKONGA</t>
  </si>
  <si>
    <t>0104022045</t>
  </si>
  <si>
    <t>0093805635</t>
  </si>
  <si>
    <t>24 DESEMBER 2009</t>
  </si>
  <si>
    <t>0092838047</t>
  </si>
  <si>
    <t>07 SEPTEMBER 2009</t>
  </si>
  <si>
    <t>23 JUNI 2010</t>
  </si>
  <si>
    <t>PUTRI FATIMA BAREK GORANE</t>
  </si>
  <si>
    <t>YUSTINA ELEANOR HERIN OLA</t>
  </si>
  <si>
    <t>CELSIA HELMINA HOLO</t>
  </si>
  <si>
    <t>LEOMANGIN AMA BEDA</t>
  </si>
  <si>
    <t>0093727900</t>
  </si>
  <si>
    <t>23 AGUSTUS 2009</t>
  </si>
  <si>
    <t>0102567267</t>
  </si>
  <si>
    <t>POHON SIRIH</t>
  </si>
  <si>
    <t>ALFONSUS RODRIGUEZ PAYONG KOSA</t>
  </si>
  <si>
    <t>0094168572</t>
  </si>
  <si>
    <t>16 NOPEMBER 2009</t>
  </si>
  <si>
    <t>BELUM</t>
  </si>
  <si>
    <t>0104447357</t>
  </si>
  <si>
    <t>1 JUNI 2010</t>
  </si>
  <si>
    <t>0113889421</t>
  </si>
  <si>
    <t>02 MEI 2011</t>
  </si>
  <si>
    <t>0107040254</t>
  </si>
  <si>
    <t>28 PEBRUARI 2010</t>
  </si>
  <si>
    <t>0116996329</t>
  </si>
  <si>
    <t>6 FEBRUARI 2011</t>
  </si>
  <si>
    <t>0104235068</t>
  </si>
  <si>
    <t>5 FEBRUARI 2010</t>
  </si>
  <si>
    <t>MARIA JENIZA BAREK</t>
  </si>
  <si>
    <t>0103770586</t>
  </si>
  <si>
    <t>TALA</t>
  </si>
  <si>
    <t>22 MEI 2010</t>
  </si>
  <si>
    <t>MENANGA</t>
  </si>
  <si>
    <t>0103979034</t>
  </si>
  <si>
    <t>0086987330</t>
  </si>
  <si>
    <t>PEPAGEKA</t>
  </si>
  <si>
    <t>14 OKTOBER 2008</t>
  </si>
  <si>
    <t>MARIO NOVENTRY R.M. L.</t>
  </si>
  <si>
    <t>0104812474</t>
  </si>
  <si>
    <t>0108194703</t>
  </si>
  <si>
    <t>9 APRIL 2010</t>
  </si>
  <si>
    <t>NISAKARANG</t>
  </si>
  <si>
    <t>0108032108</t>
  </si>
  <si>
    <t>0105379858</t>
  </si>
  <si>
    <t>98255406</t>
  </si>
  <si>
    <t>THOMAS RICARDO LEWOTUKAN</t>
  </si>
  <si>
    <t>YANOARIA C. OLIVA KWUTA</t>
  </si>
  <si>
    <t>APRILIA MOSCHATIFA INA UBA</t>
  </si>
  <si>
    <t>MARIA PAULINA NINI ARAN</t>
  </si>
  <si>
    <t>SESILIA A. MEGA BUKAN</t>
  </si>
  <si>
    <t>HANA YUSTINA KIMOI</t>
  </si>
  <si>
    <t>MARKUSIUS SIRIMAU</t>
  </si>
  <si>
    <t>GETRUDIS VERA HADJON</t>
  </si>
  <si>
    <t>RAFAEL MARIO MANGU KEDANG</t>
  </si>
  <si>
    <t>SESILIA YOFINSA PUTRI</t>
  </si>
  <si>
    <t>0101075251</t>
  </si>
  <si>
    <t>7 JANUARI 2010</t>
  </si>
  <si>
    <t>0087843433</t>
  </si>
  <si>
    <t>PLEDO</t>
  </si>
  <si>
    <t>5 JUNI 2008</t>
  </si>
  <si>
    <t>LAMALEKA</t>
  </si>
  <si>
    <t>0105587646</t>
  </si>
  <si>
    <t>28 APRIL 2010</t>
  </si>
  <si>
    <t>0104501144</t>
  </si>
  <si>
    <t>0109369532</t>
  </si>
  <si>
    <t>20 JANUARI 2010</t>
  </si>
  <si>
    <t>PANTAI BESAR</t>
  </si>
  <si>
    <t>APRILIANUS EBANG DOSIN</t>
  </si>
  <si>
    <t>0105450886</t>
  </si>
  <si>
    <t>24 APRIL 2010</t>
  </si>
  <si>
    <t>0108201074</t>
  </si>
  <si>
    <t>0082576295</t>
  </si>
  <si>
    <t>1 OKTOBER 2008</t>
  </si>
  <si>
    <t>BUBU</t>
  </si>
  <si>
    <t>WAIWADAN</t>
  </si>
  <si>
    <t>0098053655</t>
  </si>
  <si>
    <t>11 SEPTEMBER 2009</t>
  </si>
  <si>
    <t>ALEXANDRA M. DOLOROSA WELAN</t>
  </si>
  <si>
    <t>0113500018</t>
  </si>
  <si>
    <t>26 MARET 2011</t>
  </si>
  <si>
    <t>10 MEI 2009</t>
  </si>
  <si>
    <t>YOHANES BATTAE MANUK</t>
  </si>
  <si>
    <t>0109549751</t>
  </si>
  <si>
    <t>10 MARET 2010</t>
  </si>
  <si>
    <t>FRANSISKA DEWI PUTRI ARNIATI</t>
  </si>
  <si>
    <t>MARIA MERLIN DAI GULA MUDAMAKIN</t>
  </si>
  <si>
    <t>0101839256</t>
  </si>
  <si>
    <t>MAUMERE</t>
  </si>
  <si>
    <t>19 FEBRUARI 2010</t>
  </si>
  <si>
    <t>0109672889</t>
  </si>
  <si>
    <t>16 MARET 2010</t>
  </si>
  <si>
    <t>AMATUS EVANDRO SEI LELA</t>
  </si>
  <si>
    <t>0099759560</t>
  </si>
  <si>
    <t>27 DESEMBER 2009</t>
  </si>
  <si>
    <t>0104588612</t>
  </si>
  <si>
    <t>27 MEI 2010</t>
  </si>
  <si>
    <t>0103491586</t>
  </si>
  <si>
    <t>7 JUNI 2010</t>
  </si>
  <si>
    <t>KORNELIUS ANTON CARVALLO</t>
  </si>
  <si>
    <t>0093544494</t>
  </si>
  <si>
    <t>16 SEPTEMBER 2009</t>
  </si>
  <si>
    <t>19 JULI 2010</t>
  </si>
  <si>
    <t>KORNELIUS HEDU MORON</t>
  </si>
  <si>
    <t>2 FEBRUARI 2009</t>
  </si>
  <si>
    <t>0107333318</t>
  </si>
  <si>
    <t>0093769658</t>
  </si>
  <si>
    <t>25 SEPTEMBER 2009</t>
  </si>
  <si>
    <t>0109897389</t>
  </si>
  <si>
    <t>25 PEBRUARI 2010</t>
  </si>
  <si>
    <t>ISLAM</t>
  </si>
  <si>
    <t>0108326081</t>
  </si>
  <si>
    <t>8 JULI 2010</t>
  </si>
  <si>
    <t>GLORIA REGINA DAWING KUMANIREN</t>
  </si>
  <si>
    <t>0105435875</t>
  </si>
  <si>
    <t>7 SEPTEMBER 2010</t>
  </si>
  <si>
    <t>0106566168</t>
  </si>
  <si>
    <t>13 MARET 2010</t>
  </si>
  <si>
    <t>0108261338</t>
  </si>
  <si>
    <t>26 JULI 2010</t>
  </si>
  <si>
    <t>0096260278</t>
  </si>
  <si>
    <t>24 JUNI 2009</t>
  </si>
  <si>
    <t>0105701102</t>
  </si>
  <si>
    <t>23 APRIL 2010</t>
  </si>
  <si>
    <t>28  NOVEMBER 2010</t>
  </si>
  <si>
    <t>0102891631</t>
  </si>
  <si>
    <t>22 JULI 2010</t>
  </si>
  <si>
    <t>MARIA DEFIANTI KEBEWA HERA</t>
  </si>
  <si>
    <t>0095550841</t>
  </si>
  <si>
    <t>20 JUNI 2009</t>
  </si>
  <si>
    <t>VINSENSIUS FERRER SUBAN MARAN</t>
  </si>
  <si>
    <t>0101392411</t>
  </si>
  <si>
    <t>5 APRIL 2010</t>
  </si>
  <si>
    <t>0101973510</t>
  </si>
  <si>
    <t>12 MEI 2010</t>
  </si>
  <si>
    <t>0109494674</t>
  </si>
  <si>
    <t>1 NOVEMBER 2010</t>
  </si>
  <si>
    <t>0107342253</t>
  </si>
  <si>
    <t>11 MEI 2010</t>
  </si>
  <si>
    <t>YOHANA C. TANIA RAHJA</t>
  </si>
  <si>
    <t>0103192886</t>
  </si>
  <si>
    <t>16 APRIL 2010</t>
  </si>
  <si>
    <t>0098259965</t>
  </si>
  <si>
    <t>19 JANUARI 2009</t>
  </si>
  <si>
    <t>0102408583</t>
  </si>
  <si>
    <t>0093940128</t>
  </si>
  <si>
    <t>VINCENCIUS CARVALLO</t>
  </si>
  <si>
    <t>0099317314</t>
  </si>
  <si>
    <t>16 JANUARI 2009</t>
  </si>
  <si>
    <t>0104521890</t>
  </si>
  <si>
    <t>5 MEI 2010</t>
  </si>
  <si>
    <t>MECHTILDIS TUTO KIA</t>
  </si>
  <si>
    <t>MARTINUS BAUN CARVALLO</t>
  </si>
  <si>
    <t>0103941200</t>
  </si>
  <si>
    <t>28 NOPEMBER 2010</t>
  </si>
  <si>
    <t>BENEDIKTUS AQUINO SIRADAPU KOTEN</t>
  </si>
  <si>
    <t>0096583141</t>
  </si>
  <si>
    <t>28 JANUARI 2009</t>
  </si>
  <si>
    <t>0093529269</t>
  </si>
  <si>
    <t>2 JUNI 2009</t>
  </si>
  <si>
    <t>EMILIADE VIALAR POSA TIMA PADUNG</t>
  </si>
  <si>
    <t>0095242179</t>
  </si>
  <si>
    <t>24 AGUSTUS 2009</t>
  </si>
  <si>
    <t>0098705642</t>
  </si>
  <si>
    <t>2 MEI 2009</t>
  </si>
  <si>
    <t>0103569226</t>
  </si>
  <si>
    <t>16 PEBRUARI  2010</t>
  </si>
  <si>
    <t>31 AGUSTUS 2010</t>
  </si>
  <si>
    <t>12 MARET 2010</t>
  </si>
  <si>
    <t>09 AGUSTUS 2009</t>
  </si>
  <si>
    <t>0104241297</t>
  </si>
  <si>
    <t>27 MARET 2010</t>
  </si>
  <si>
    <t>0095163945</t>
  </si>
  <si>
    <t>17 AGUSTUS 2008</t>
  </si>
  <si>
    <t>0101834084</t>
  </si>
  <si>
    <t>30 JULI 2010</t>
  </si>
  <si>
    <t>0103123360</t>
  </si>
  <si>
    <t>PAGONG</t>
  </si>
  <si>
    <t>06 APRIL 2010</t>
  </si>
  <si>
    <t>ADABANG</t>
  </si>
  <si>
    <t>ELISA AMELIA NALEBARA</t>
  </si>
  <si>
    <t>0086400917</t>
  </si>
  <si>
    <t>0092419249</t>
  </si>
  <si>
    <t>19 AUSTUS 2009</t>
  </si>
  <si>
    <t>THERESIA CLAUDIA PENI BEGUIR</t>
  </si>
  <si>
    <t>0107003199</t>
  </si>
  <si>
    <t>0107912116</t>
  </si>
  <si>
    <t>13 JANUARI 2010</t>
  </si>
  <si>
    <t>0093328016</t>
  </si>
  <si>
    <t>LEWOLAGA</t>
  </si>
  <si>
    <t>11 OKTOBER 2009</t>
  </si>
  <si>
    <t>0101578538</t>
  </si>
  <si>
    <t>20 NOPEMBER 2008</t>
  </si>
  <si>
    <t>0104288307</t>
  </si>
  <si>
    <t>29 JUNI 2010</t>
  </si>
  <si>
    <t>3156206384</t>
  </si>
  <si>
    <t>21 APRIL 2009</t>
  </si>
  <si>
    <t>FRIDOLINUS ALEXANDER K. SANGA</t>
  </si>
  <si>
    <t>0093679192</t>
  </si>
  <si>
    <t>06 MARET 2009</t>
  </si>
  <si>
    <t>MAGDALENA OLIFIANA BULU BOLI</t>
  </si>
  <si>
    <t>0102393576</t>
  </si>
  <si>
    <t>18 APRIL 2010</t>
  </si>
  <si>
    <t>YOHANA ISABELLA LENTI WELAN</t>
  </si>
  <si>
    <t>0109386137</t>
  </si>
  <si>
    <t>MARIA G. CLORISA WURAN</t>
  </si>
  <si>
    <t>0104166548</t>
  </si>
  <si>
    <t>17 JANUARI 2010</t>
  </si>
  <si>
    <t>NATASYA SOMI T. CARVALLO</t>
  </si>
  <si>
    <t>MARIA EVELIN KERANS</t>
  </si>
  <si>
    <t>THERESIA KESYA B. KABELEN</t>
  </si>
  <si>
    <t>MARIA FRANSISKA KEBELUN</t>
  </si>
  <si>
    <t>MARIANUS OLA DATEN KLEDEN</t>
  </si>
  <si>
    <t>SARAH AZHAR</t>
  </si>
  <si>
    <t>PRISILIA NENA</t>
  </si>
  <si>
    <t>NIKODEMUS DEVISNO M. DIAZ</t>
  </si>
  <si>
    <t>ROBERTUS TODO HULER</t>
  </si>
  <si>
    <t>THERESIA TULI BORO</t>
  </si>
  <si>
    <t>ELKA TERESA KELIN SUBAN</t>
  </si>
  <si>
    <t>0092064358</t>
  </si>
  <si>
    <t>10 SEPTEMBER 2009</t>
  </si>
  <si>
    <t>0117116311</t>
  </si>
  <si>
    <t>10 APRIL 2011</t>
  </si>
  <si>
    <t>0095115925</t>
  </si>
  <si>
    <t>BENIHADING I</t>
  </si>
  <si>
    <t>0107122564</t>
  </si>
  <si>
    <t>2 AGUSTUS 2010</t>
  </si>
  <si>
    <t>0099518570</t>
  </si>
  <si>
    <t>KARLINA PENI TELUMA</t>
  </si>
  <si>
    <t>0099670191</t>
  </si>
  <si>
    <t>2 OKTOBER 2009</t>
  </si>
  <si>
    <t>CHAROLLINA GRAZIA SARABITI</t>
  </si>
  <si>
    <t>0097580860</t>
  </si>
  <si>
    <t>21 DESEMBER 2009</t>
  </si>
  <si>
    <t>0096595109</t>
  </si>
  <si>
    <t>10 OKTOBER 2009</t>
  </si>
  <si>
    <t>0106261132</t>
  </si>
  <si>
    <t>0105845674</t>
  </si>
  <si>
    <t>18 SEPTEMBER 2010</t>
  </si>
  <si>
    <t>LAURENSIUS GIOVANNI FERNANDEZ</t>
  </si>
  <si>
    <t>0101200120</t>
  </si>
  <si>
    <t>YOHANES MARIA VIANEY NGGADUNG</t>
  </si>
  <si>
    <t>0106124264</t>
  </si>
  <si>
    <t>06 JANUARI 2010</t>
  </si>
  <si>
    <t>0089501433</t>
  </si>
  <si>
    <t>22 NOPEMBER 2008</t>
  </si>
  <si>
    <t>AURA MIRACLE PITOYO</t>
  </si>
  <si>
    <t>0104765441</t>
  </si>
  <si>
    <t>29 AGUSTUS 2010</t>
  </si>
  <si>
    <t>OKTAVIANUS BEDA WARA</t>
  </si>
  <si>
    <t>0096063254</t>
  </si>
  <si>
    <t>1 OKTOBER 2009</t>
  </si>
  <si>
    <t>0093590007</t>
  </si>
  <si>
    <t>9 OKTOBER 2009</t>
  </si>
  <si>
    <t>0097668219</t>
  </si>
  <si>
    <t>27 FEBRUARI 2009</t>
  </si>
  <si>
    <t>0093960521</t>
  </si>
  <si>
    <t>NIO</t>
  </si>
  <si>
    <t>04 SEPTEMBER 2009</t>
  </si>
  <si>
    <t>NIO LEWA</t>
  </si>
  <si>
    <t>0094305768</t>
  </si>
  <si>
    <t>14 SEPTEMBER 2009</t>
  </si>
  <si>
    <t>0099501828</t>
  </si>
  <si>
    <t>09 MEI 2009</t>
  </si>
  <si>
    <t>0095539996</t>
  </si>
  <si>
    <t>14 APRIL 2009</t>
  </si>
  <si>
    <t>BUBUATAGAMU</t>
  </si>
  <si>
    <t>0105116345</t>
  </si>
  <si>
    <t>0104267326</t>
  </si>
  <si>
    <t>8 SEPTEMBER 2010</t>
  </si>
  <si>
    <t>EUGENIUS HERMAN LEWOGETE</t>
  </si>
  <si>
    <t>0093663600</t>
  </si>
  <si>
    <t>14 OKTOBER 2009</t>
  </si>
  <si>
    <t>0109797071</t>
  </si>
  <si>
    <t>04 MEI 2010</t>
  </si>
  <si>
    <t>0094804352</t>
  </si>
  <si>
    <t>11 NOVEMBER 2009</t>
  </si>
  <si>
    <t>0103656780</t>
  </si>
  <si>
    <t>23 JULI 2010</t>
  </si>
  <si>
    <t>ELWINTINUS BEGAMA</t>
  </si>
  <si>
    <t>ANA AMELIA PAI HEWEN</t>
  </si>
  <si>
    <t>MARIA AGATHA SURA BETAN</t>
  </si>
  <si>
    <t>MARIA KAMELIA MOI</t>
  </si>
  <si>
    <t>OSVALDUS KRUA MATARAU</t>
  </si>
  <si>
    <t>0103123886</t>
  </si>
  <si>
    <t>24 FEBRUARI 2010</t>
  </si>
  <si>
    <t>0086530985</t>
  </si>
  <si>
    <t>29 FEBRUARI 2008</t>
  </si>
  <si>
    <t>GETRUDIS ROSONYA RITAN</t>
  </si>
  <si>
    <t>0091996797</t>
  </si>
  <si>
    <t>19 DESEMBER 2009</t>
  </si>
  <si>
    <t>0108323752</t>
  </si>
  <si>
    <t>01 JANUARI 2010</t>
  </si>
  <si>
    <t>0108463879</t>
  </si>
  <si>
    <t>12 oktober 2010</t>
  </si>
  <si>
    <t>0089391832</t>
  </si>
  <si>
    <t>9 JUNI 2008</t>
  </si>
  <si>
    <t>0091831660</t>
  </si>
  <si>
    <t>23 JULI 2009</t>
  </si>
  <si>
    <t>0104170024</t>
  </si>
  <si>
    <t>0104321416</t>
  </si>
  <si>
    <t>WAENA</t>
  </si>
  <si>
    <t>19 AGUSTUS2010</t>
  </si>
  <si>
    <t>MARIA THERESIA B. WELAN</t>
  </si>
  <si>
    <t>0115174496</t>
  </si>
  <si>
    <t>11 PEBRUARI 2010</t>
  </si>
  <si>
    <t>SIRILUS TATU LEBA</t>
  </si>
  <si>
    <t>0077595280</t>
  </si>
  <si>
    <t>15 JULI 2007</t>
  </si>
  <si>
    <t>FITRIA RAMADHANI</t>
  </si>
  <si>
    <t>0102295104</t>
  </si>
  <si>
    <t>YOSEFINA B. K. ATULOLON</t>
  </si>
  <si>
    <t>0107127668</t>
  </si>
  <si>
    <t>18 MARET 2010</t>
  </si>
  <si>
    <t>0109787675</t>
  </si>
  <si>
    <t>PEPAKELU</t>
  </si>
  <si>
    <t>0082570018</t>
  </si>
  <si>
    <t>15 MEI 2008</t>
  </si>
  <si>
    <t>LEWOLOBA</t>
  </si>
  <si>
    <t>DOMINIKUS SAVIO TOKALESE</t>
  </si>
  <si>
    <t>0094331995</t>
  </si>
  <si>
    <t>30 DESEMBER 2009</t>
  </si>
  <si>
    <t>0107055021</t>
  </si>
  <si>
    <t>25 SEPTEMBER 2010</t>
  </si>
  <si>
    <t>0104818558</t>
  </si>
  <si>
    <t>07 APRIL 2010</t>
  </si>
  <si>
    <t>LIDWINA MARYANI TUTO SILI</t>
  </si>
  <si>
    <t>0104504012</t>
  </si>
  <si>
    <t>21 MARET 2010</t>
  </si>
  <si>
    <t>0109861467</t>
  </si>
  <si>
    <t>0101268418</t>
  </si>
  <si>
    <t>07 MEI 2010</t>
  </si>
  <si>
    <t>KATARINA YULIANA EMERLINDA N. SOGEN</t>
  </si>
  <si>
    <t>0099040545</t>
  </si>
  <si>
    <t>BATAM</t>
  </si>
  <si>
    <t>16 MEI 2009</t>
  </si>
  <si>
    <t>3103413188</t>
  </si>
  <si>
    <t>14 SEPTEMBER 2010</t>
  </si>
  <si>
    <t>CAROLINE SIPRIANUS</t>
  </si>
  <si>
    <t>FRANSISKUS NOGO AMA SOGEN</t>
  </si>
  <si>
    <t>0091240211</t>
  </si>
  <si>
    <t>0099863210</t>
  </si>
  <si>
    <t>MARIA G. KLARITA DATON</t>
  </si>
  <si>
    <t>0105557326</t>
  </si>
  <si>
    <t>28 MARET 2010</t>
  </si>
  <si>
    <t>0097447673</t>
  </si>
  <si>
    <t>3 APRIL 2009</t>
  </si>
  <si>
    <t>BERNADETH YASINTA TINA WERANG</t>
  </si>
  <si>
    <t>10 APRIL 2010</t>
  </si>
  <si>
    <t>0091198241</t>
  </si>
  <si>
    <t>0104115289</t>
  </si>
  <si>
    <t>17 APRIL 2010</t>
  </si>
  <si>
    <t>ELISABET INA SURAT</t>
  </si>
  <si>
    <t>0086047999</t>
  </si>
  <si>
    <t>4 JULI 2009</t>
  </si>
  <si>
    <t>0109400429</t>
  </si>
  <si>
    <t>22 NOPEMBER 2010</t>
  </si>
  <si>
    <t>0095761383</t>
  </si>
  <si>
    <t>1 NOVEMBER 2009</t>
  </si>
  <si>
    <t>13 JULI 2010</t>
  </si>
  <si>
    <t>29 JUNI 2011</t>
  </si>
  <si>
    <t>0108218898</t>
  </si>
  <si>
    <t>29 JANUARI 2010</t>
  </si>
  <si>
    <t>0102327341</t>
  </si>
  <si>
    <t>24 JUNI 2010</t>
  </si>
  <si>
    <t>MARIA STELAMARIS INA MARAN</t>
  </si>
  <si>
    <t>0103388401</t>
  </si>
  <si>
    <t>03 DESEMBER 2010</t>
  </si>
  <si>
    <t>MARIA VIKTORIA PUTRI</t>
  </si>
  <si>
    <t>0091207708</t>
  </si>
  <si>
    <t>17 JUNI 2009</t>
  </si>
  <si>
    <t>3105046996</t>
  </si>
  <si>
    <t>0104635261</t>
  </si>
  <si>
    <t>3091157152</t>
  </si>
  <si>
    <t>4 FEBRUARI 2009</t>
  </si>
  <si>
    <t>0105554436</t>
  </si>
  <si>
    <t>2 JULI 2010</t>
  </si>
  <si>
    <t>0106724489</t>
  </si>
  <si>
    <t>13 DESEMBER 2010</t>
  </si>
  <si>
    <t>0103247388</t>
  </si>
  <si>
    <t>26 MARET 2010</t>
  </si>
  <si>
    <t>ALBERTUS MADO BOLI</t>
  </si>
  <si>
    <t>MAGDALENA BIANCA PUTRI LARANTUKAN</t>
  </si>
  <si>
    <t>MARIA V. BUNGA LIWUN</t>
  </si>
  <si>
    <t>MARIA KIMBERLEY IBRANIS MOLAN</t>
  </si>
  <si>
    <t>ABDJESIA SOI MARAN</t>
  </si>
  <si>
    <t>0105839368</t>
  </si>
  <si>
    <t>6 JULI 2010</t>
  </si>
  <si>
    <t>0102535909</t>
  </si>
  <si>
    <t>0101573799</t>
  </si>
  <si>
    <t>4 AGUSTUS 2010</t>
  </si>
  <si>
    <t>0091423461</t>
  </si>
  <si>
    <t>14 JULI 2009</t>
  </si>
  <si>
    <t>0104356017</t>
  </si>
  <si>
    <t>DOMINIKUS ALOYSIUS BATO LEPUEN</t>
  </si>
  <si>
    <t>0096988099</t>
  </si>
  <si>
    <t>21 MARET 2009</t>
  </si>
  <si>
    <t>MARIA KETLINELI TRINITAS KOTEN</t>
  </si>
  <si>
    <t>0101884584</t>
  </si>
  <si>
    <t>23 MEI 2010</t>
  </si>
  <si>
    <t>0098532015</t>
  </si>
  <si>
    <t>19 desembar 2009</t>
  </si>
  <si>
    <t>OLIVIA KLOGO LIWUN</t>
  </si>
  <si>
    <t>0091271929</t>
  </si>
  <si>
    <t>0097891387</t>
  </si>
  <si>
    <t>01 AGUSTUS 2009</t>
  </si>
  <si>
    <t>0084177331</t>
  </si>
  <si>
    <t>22 APRIL 2008</t>
  </si>
  <si>
    <t>0109032750</t>
  </si>
  <si>
    <t>AGUSTINA WALENG WADA</t>
  </si>
  <si>
    <t>27 APRIL 2010</t>
  </si>
  <si>
    <t>0093949235</t>
  </si>
  <si>
    <t>28 MEI 2009</t>
  </si>
  <si>
    <t>0106865622</t>
  </si>
  <si>
    <t>19 APRIL 2010</t>
  </si>
  <si>
    <t>ADVENTUS CUTHBER MAYNE</t>
  </si>
  <si>
    <t>0098143694</t>
  </si>
  <si>
    <t>29 NOPEMBER 2009</t>
  </si>
  <si>
    <t>MARIA LEONICIA A.  MUDA</t>
  </si>
  <si>
    <t>0089056438</t>
  </si>
  <si>
    <t>1 DESEMBER 2008</t>
  </si>
  <si>
    <t>0094402434</t>
  </si>
  <si>
    <t>31 DESEMBER 2009</t>
  </si>
  <si>
    <t>3086931308</t>
  </si>
  <si>
    <t>27 MARET 2008</t>
  </si>
  <si>
    <t>0106608932</t>
  </si>
  <si>
    <t>0097143907</t>
  </si>
  <si>
    <t>22 APRIL 2009</t>
  </si>
  <si>
    <t>MARIA MARIANA NINI TAPOBALI</t>
  </si>
  <si>
    <t>4 JULI 2010</t>
  </si>
  <si>
    <t>L:</t>
  </si>
  <si>
    <t>P:</t>
  </si>
  <si>
    <t>25.7250</t>
  </si>
  <si>
    <t>25.7260</t>
  </si>
  <si>
    <t>SILVESTER OLA</t>
  </si>
  <si>
    <t>0085641840</t>
  </si>
  <si>
    <t>KRISTOFORUS MARIO T. PESSA</t>
  </si>
  <si>
    <t>0107824594</t>
  </si>
  <si>
    <t>JOSEPH MARIO R. KERA PESSA</t>
  </si>
  <si>
    <t>0108538877</t>
  </si>
  <si>
    <t>05 MEI 2010</t>
  </si>
  <si>
    <t>AGNES OKTAVIANA DIAZ GONZALES</t>
  </si>
  <si>
    <t>0088394034</t>
  </si>
  <si>
    <t>30 OKTOBER 2008</t>
  </si>
  <si>
    <t>ALEXANDER MAX JOHN MONNY</t>
  </si>
  <si>
    <t>0092585206</t>
  </si>
  <si>
    <t>04 JULI 2009</t>
  </si>
  <si>
    <t>ANNA MARIA BERIBE</t>
  </si>
  <si>
    <t>0092653934</t>
  </si>
  <si>
    <t>19 MARET 2009</t>
  </si>
  <si>
    <t>ANNA MARIA FERDINANDA DIAZ</t>
  </si>
  <si>
    <t>0093962082</t>
  </si>
  <si>
    <t>DANIEL ASE LANGOARANG</t>
  </si>
  <si>
    <t>0084197040</t>
  </si>
  <si>
    <t>28 OKTOBER 2008</t>
  </si>
  <si>
    <t xml:space="preserve">EMILIANA EMA LIMAHEKIN </t>
  </si>
  <si>
    <t>0093223530</t>
  </si>
  <si>
    <t>11 APRIL 2009</t>
  </si>
  <si>
    <t>FELIXIANA ODILIA PERADA</t>
  </si>
  <si>
    <t>0093058123</t>
  </si>
  <si>
    <t>12 JULI 2009</t>
  </si>
  <si>
    <t>FRANSISKUS XAVERIUS AMA LIWUN</t>
  </si>
  <si>
    <t>0081833982</t>
  </si>
  <si>
    <t>03 DESEMBER 2008</t>
  </si>
  <si>
    <t>GABRIELA FEBRIANI LEWAR</t>
  </si>
  <si>
    <t>0097882296</t>
  </si>
  <si>
    <t>6 FEBRUARI 2009</t>
  </si>
  <si>
    <t>HERMAN SOPHIAN PADJI WEO</t>
  </si>
  <si>
    <t>0099481626</t>
  </si>
  <si>
    <t>12 SEPTEMBER 2009</t>
  </si>
  <si>
    <t xml:space="preserve">HILARY MICHAELIN BLIKOLOLONG </t>
  </si>
  <si>
    <t>0093256862</t>
  </si>
  <si>
    <t>20 SEPTEMBER 2009</t>
  </si>
  <si>
    <t>JUAN PERON FRANSISCO</t>
  </si>
  <si>
    <t>0097124126</t>
  </si>
  <si>
    <t>22 AGUSTUS 2009</t>
  </si>
  <si>
    <t>KATARINA XANDRICA TINA RAY</t>
  </si>
  <si>
    <t>0096933609</t>
  </si>
  <si>
    <t>24 NOVEMBER 2009</t>
  </si>
  <si>
    <t>KRISTIAN MALE ARAN</t>
  </si>
  <si>
    <t>0099616249</t>
  </si>
  <si>
    <t>LOUISE HALUSTRIANDI HARUM</t>
  </si>
  <si>
    <t>0098903999</t>
  </si>
  <si>
    <t>12 Februari 2009</t>
  </si>
  <si>
    <t>MAGDALENA IDAN OYAN</t>
  </si>
  <si>
    <t>0078707784</t>
  </si>
  <si>
    <t>21 JANUARI 2007</t>
  </si>
  <si>
    <t>MARCELINA LINUSIA KLEDEN BETAN</t>
  </si>
  <si>
    <t>0082506440</t>
  </si>
  <si>
    <t xml:space="preserve">29 Desember 2008 </t>
  </si>
  <si>
    <t>MARIA KLARISTA DELANG URAN</t>
  </si>
  <si>
    <t>0081891621</t>
  </si>
  <si>
    <t>11 AGUSTUS 2008</t>
  </si>
  <si>
    <t>MARIA ROSARI BETO LEIN</t>
  </si>
  <si>
    <t>3084445448</t>
  </si>
  <si>
    <t>15 OKTOBER 2008</t>
  </si>
  <si>
    <t>MARIA SABINA P. SIONG</t>
  </si>
  <si>
    <t>0091026421</t>
  </si>
  <si>
    <t>18 OKTOBER 2009</t>
  </si>
  <si>
    <t>MARIA YOSEFINCE UBA WOHO TOKAN</t>
  </si>
  <si>
    <t>0096413057</t>
  </si>
  <si>
    <t>25 AGUSTUS 2009</t>
  </si>
  <si>
    <t>MICHAELIS KERIGO KOTEN</t>
  </si>
  <si>
    <t>0085525845</t>
  </si>
  <si>
    <t>29 OKTOBER 2008</t>
  </si>
  <si>
    <t>MONICA AURELYA DIDA</t>
  </si>
  <si>
    <t>0088700290</t>
  </si>
  <si>
    <t>9 NOPEMBER 2008</t>
  </si>
  <si>
    <t>PATRISIA INA SERAN</t>
  </si>
  <si>
    <t>3087746940</t>
  </si>
  <si>
    <t>10 OKTOBER 2007</t>
  </si>
  <si>
    <t>PETRONELA CLARISA DA LOPEZ</t>
  </si>
  <si>
    <t>0087551821</t>
  </si>
  <si>
    <t>19 OKTOBER 2008</t>
  </si>
  <si>
    <t>RINDIANI DEROLLCAVIN K. KURMAN</t>
  </si>
  <si>
    <t>0096032826</t>
  </si>
  <si>
    <t>28 JUNI 2009</t>
  </si>
  <si>
    <t>SUSANA DONA HERAWAN</t>
  </si>
  <si>
    <t>0085435900</t>
  </si>
  <si>
    <t>29 JULI 2008</t>
  </si>
  <si>
    <t>VERONIKA LESTARI  LOE</t>
  </si>
  <si>
    <t>0086197891</t>
  </si>
  <si>
    <t>4 DESEMBER 2008</t>
  </si>
  <si>
    <t xml:space="preserve">YASINTHA LETEK TUKAN </t>
  </si>
  <si>
    <t>0082642188</t>
  </si>
  <si>
    <t>13 SEPTEMBER 2008</t>
  </si>
  <si>
    <t>YOHANES DE BRITTO SOBA BEGUIR</t>
  </si>
  <si>
    <t>0082701626</t>
  </si>
  <si>
    <t>24 NOPEMBER 2008</t>
  </si>
  <si>
    <t>ADRIAN</t>
  </si>
  <si>
    <t>0074671772</t>
  </si>
  <si>
    <t>29 JANUARI 2007</t>
  </si>
  <si>
    <t>ALLEXANDRA TEYZA KHATARIN LEBA</t>
  </si>
  <si>
    <t>0091166491</t>
  </si>
  <si>
    <t>29 APRIL 2009</t>
  </si>
  <si>
    <t>ALOYSIUS OLA KEBELEN KOTEN</t>
  </si>
  <si>
    <t>0108249090</t>
  </si>
  <si>
    <t>08 MEI 2010</t>
  </si>
  <si>
    <t>ANTONIUS SUBAN KOTEN SUKUN</t>
  </si>
  <si>
    <t>0085258986</t>
  </si>
  <si>
    <t>EMERENSIANA JEDO MARAN</t>
  </si>
  <si>
    <t>0082936059</t>
  </si>
  <si>
    <t>24 FEBRUARI 2008</t>
  </si>
  <si>
    <t>FELISITAS EMA MASAN KRIDA</t>
  </si>
  <si>
    <t>0096387009</t>
  </si>
  <si>
    <t>18 MEI 2009</t>
  </si>
  <si>
    <t>FLORIANA GIRE JAWAN</t>
  </si>
  <si>
    <t>0074494432</t>
  </si>
  <si>
    <t>8 JULI 2007</t>
  </si>
  <si>
    <t>FREDILINA NOGO MEMAN</t>
  </si>
  <si>
    <t>0089557704</t>
  </si>
  <si>
    <t>30 JULI 2008</t>
  </si>
  <si>
    <t>GLORYA MISERICORDIAE MARTHA ANA HURINT</t>
  </si>
  <si>
    <t>0095662874</t>
  </si>
  <si>
    <t>23 SEPTEMBER 2009</t>
  </si>
  <si>
    <t>HERVIANA HERMANTO</t>
  </si>
  <si>
    <t>0094833497</t>
  </si>
  <si>
    <t>22 Juli 2009</t>
  </si>
  <si>
    <t>HILDEGARDIS KOPINIA HERIN</t>
  </si>
  <si>
    <t>0093075734</t>
  </si>
  <si>
    <t>24 MEI 2009</t>
  </si>
  <si>
    <t>KATARINA GINI PETUN</t>
  </si>
  <si>
    <t>0088141991</t>
  </si>
  <si>
    <t>11 OKTOBER 2008</t>
  </si>
  <si>
    <t xml:space="preserve">KLEMENS OLA LESU KABELEN </t>
  </si>
  <si>
    <t>0088668118</t>
  </si>
  <si>
    <t>MARIA AYUNEDI INA BULU</t>
  </si>
  <si>
    <t>0103134566</t>
  </si>
  <si>
    <t>04 Juni 2010</t>
  </si>
  <si>
    <t>MARIA DERAN SOGE</t>
  </si>
  <si>
    <t>0091227811</t>
  </si>
  <si>
    <t>8 MEI 2009</t>
  </si>
  <si>
    <t>MARIA DHEVITA CHALMA</t>
  </si>
  <si>
    <t>0092328309</t>
  </si>
  <si>
    <t>18 JANUARI 2009</t>
  </si>
  <si>
    <t>MARIA HENDRIKA DASILVA</t>
  </si>
  <si>
    <t>MARIA NOVITA N. KOY</t>
  </si>
  <si>
    <t>0093983443</t>
  </si>
  <si>
    <t>2 NOVEMBER 2009</t>
  </si>
  <si>
    <t>MARIA SIMONA ANASTASYA TUKAN</t>
  </si>
  <si>
    <t>0095195246</t>
  </si>
  <si>
    <t>16 FEBRUARI 2009</t>
  </si>
  <si>
    <t>MARIA YULIANA O.S. MUDAMAKIN</t>
  </si>
  <si>
    <t>0098590241</t>
  </si>
  <si>
    <t>24 FEBRUARI 2009</t>
  </si>
  <si>
    <t>NIKOLAUS LOLON LEWAR</t>
  </si>
  <si>
    <t>0089273734</t>
  </si>
  <si>
    <t>6 DESEMBER 2008</t>
  </si>
  <si>
    <t>OLIVER ERICO BALELLA</t>
  </si>
  <si>
    <t>0087651633</t>
  </si>
  <si>
    <t>PAULINA ERNI ARIANA</t>
  </si>
  <si>
    <t>0076103920</t>
  </si>
  <si>
    <t>18 NOVEMBER 2007</t>
  </si>
  <si>
    <t>ROSALINDA PERIDI PUTRI HAYON</t>
  </si>
  <si>
    <t>0096141167</t>
  </si>
  <si>
    <t>THERESIA OKTAVIA PADJU DEI</t>
  </si>
  <si>
    <t>0084624007</t>
  </si>
  <si>
    <t>Thresia Valeriana Hurint</t>
  </si>
  <si>
    <t>0092092782</t>
  </si>
  <si>
    <t>12 januari 2009</t>
  </si>
  <si>
    <t>VERONIKA NOVALIA NABINE</t>
  </si>
  <si>
    <t>0097994622</t>
  </si>
  <si>
    <t>12 FEBRUARI 2009</t>
  </si>
  <si>
    <t>YOHANES ALVARO LUSI NITIT</t>
  </si>
  <si>
    <t>0092786326</t>
  </si>
  <si>
    <t>24 OKTOBER 2009</t>
  </si>
  <si>
    <t>YOHANES MARIA VIANEY SINA NIRON</t>
  </si>
  <si>
    <t>0073878791</t>
  </si>
  <si>
    <t>2 DESEMBER 2007</t>
  </si>
  <si>
    <t>ADVENTUS SIMON SOLA PAYONG</t>
  </si>
  <si>
    <t>0085217946</t>
  </si>
  <si>
    <t>30 NOVEMBER 2008</t>
  </si>
  <si>
    <t>ANASTASYA BRIGITA C.N. KOSAY</t>
  </si>
  <si>
    <t>0096317541</t>
  </si>
  <si>
    <t>1 JANUARI 2009</t>
  </si>
  <si>
    <t xml:space="preserve">ANDREAS ADO BETAN </t>
  </si>
  <si>
    <t>0092509716</t>
  </si>
  <si>
    <t>3 FEBRUARI 2009</t>
  </si>
  <si>
    <t xml:space="preserve">ANTONIO WIRASAKTI RIVALDO KAI BOLENG </t>
  </si>
  <si>
    <t>0082936999</t>
  </si>
  <si>
    <t>10 NOPEMBER 2008</t>
  </si>
  <si>
    <t>AZARYA MODESTA PRICILIA</t>
  </si>
  <si>
    <t>CLARA ROSWITA SABU KLEDEN</t>
  </si>
  <si>
    <t>0098968545</t>
  </si>
  <si>
    <t xml:space="preserve">DAMIAN HAMESTRY KELEN </t>
  </si>
  <si>
    <t>0096666129</t>
  </si>
  <si>
    <t>02 FEBRUARI 2009</t>
  </si>
  <si>
    <t>DAMIANUS DIPPY LIKO HURINT</t>
  </si>
  <si>
    <t>0099204552</t>
  </si>
  <si>
    <t>18 JULI 2009</t>
  </si>
  <si>
    <t>FELIX RENALDY KIA BOLEN</t>
  </si>
  <si>
    <t>0099334792</t>
  </si>
  <si>
    <t>14 JANUARI 2009</t>
  </si>
  <si>
    <t>FRANSISKO KOPONG TUAN</t>
  </si>
  <si>
    <t>0096186538</t>
  </si>
  <si>
    <t>20 PEBRUARI 2009</t>
  </si>
  <si>
    <t>FRANSISKO OLA KIA</t>
  </si>
  <si>
    <t>0092046331</t>
  </si>
  <si>
    <t>GABRIEL JULIO HURINT</t>
  </si>
  <si>
    <t>0086753754</t>
  </si>
  <si>
    <t>12 JULI 2008</t>
  </si>
  <si>
    <t>JESUIT CRISTIAN ASYER MUDA</t>
  </si>
  <si>
    <t>0098836648</t>
  </si>
  <si>
    <t>29 MEI 2009</t>
  </si>
  <si>
    <t>JOHANA CAECILIA SAYA GERODA</t>
  </si>
  <si>
    <t>0093513770</t>
  </si>
  <si>
    <t>MARIA ANGELINA BITA OLA</t>
  </si>
  <si>
    <t>0093845481</t>
  </si>
  <si>
    <t>28 APRIL 2009</t>
  </si>
  <si>
    <t>MARIA AURELIA BAHY</t>
  </si>
  <si>
    <t>0094688850</t>
  </si>
  <si>
    <t>15 MEI 2009</t>
  </si>
  <si>
    <t>MARIANA ELVIVERENA SURAT UMAKELA</t>
  </si>
  <si>
    <t>0091366586</t>
  </si>
  <si>
    <t>22 SEPTEMBER 2009</t>
  </si>
  <si>
    <t>MARIO DONI WUNBLOLON</t>
  </si>
  <si>
    <t>0093331834</t>
  </si>
  <si>
    <t>PAULUS FOLGELFO HABA</t>
  </si>
  <si>
    <t>0093369378</t>
  </si>
  <si>
    <t>20 AGUSTUS 2009</t>
  </si>
  <si>
    <t>PAULUS NAAN LAMA URAN</t>
  </si>
  <si>
    <t>0101933405</t>
  </si>
  <si>
    <t>PETRA BERNADET KERANS</t>
  </si>
  <si>
    <t>0096832749</t>
  </si>
  <si>
    <t>PETRUS BASTEN BEBE LAMAWITAK</t>
  </si>
  <si>
    <t>0081224587</t>
  </si>
  <si>
    <t>04 OKTOBER 2008</t>
  </si>
  <si>
    <t>ROBERTUS GULA HAYON</t>
  </si>
  <si>
    <t>0088804566</t>
  </si>
  <si>
    <t>17 SEPTEMBER 2008</t>
  </si>
  <si>
    <t>ROSWITA DEA PASIONIS</t>
  </si>
  <si>
    <t>0092416407</t>
  </si>
  <si>
    <t>29 MARET 2009</t>
  </si>
  <si>
    <t>SIPRIANUS DEMON INGULIMAN</t>
  </si>
  <si>
    <t>0087213118</t>
  </si>
  <si>
    <t>5 OKTOBER 2008</t>
  </si>
  <si>
    <t>SIPRIANUS LI MANUK</t>
  </si>
  <si>
    <t>0091012804</t>
  </si>
  <si>
    <t>2 MARET 2009</t>
  </si>
  <si>
    <t>SIRILUS BAHY</t>
  </si>
  <si>
    <t>0083572632</t>
  </si>
  <si>
    <t>30 DESEMBER 2008</t>
  </si>
  <si>
    <t>STEFANUS YALVETSON SABA HERA</t>
  </si>
  <si>
    <t>0072651162</t>
  </si>
  <si>
    <t>26 DESEMBER 2007</t>
  </si>
  <si>
    <t>VINCINCIA MARTINA GITA</t>
  </si>
  <si>
    <t>0085192584</t>
  </si>
  <si>
    <t>VINSENSIUS WOLO WULOBOLENG</t>
  </si>
  <si>
    <t>0098950690</t>
  </si>
  <si>
    <t>22 JANUARI 2009</t>
  </si>
  <si>
    <t>YULIANA C.C. SANIA WITIN</t>
  </si>
  <si>
    <t>0085930473</t>
  </si>
  <si>
    <t>14 APRIL 2008</t>
  </si>
  <si>
    <t>BERTVIN GIBRIEL PUTRA BAHY</t>
  </si>
  <si>
    <t>0094601845</t>
  </si>
  <si>
    <t>25 MARET 2009</t>
  </si>
  <si>
    <t>ADEL GONSIA ANA SABU</t>
  </si>
  <si>
    <t>0085226243</t>
  </si>
  <si>
    <t>27 NOPEMBER 2008</t>
  </si>
  <si>
    <t>AGUSTINA ABONG MARAN</t>
  </si>
  <si>
    <t>0104515425</t>
  </si>
  <si>
    <t>09 Agustus 2010</t>
  </si>
  <si>
    <t>ANASTASIA LUA BOLI</t>
  </si>
  <si>
    <t>0098427236</t>
  </si>
  <si>
    <t>ANTONIUS KAU SOGE</t>
  </si>
  <si>
    <t>0094346496</t>
  </si>
  <si>
    <t>17 APRIL 2009</t>
  </si>
  <si>
    <t>BENEDIKTA KASE OLA</t>
  </si>
  <si>
    <t>0084100665</t>
  </si>
  <si>
    <t>5 JULI 2008</t>
  </si>
  <si>
    <t>BERNADETH GIRE MARE</t>
  </si>
  <si>
    <t>0086409418</t>
  </si>
  <si>
    <t>16 APRIL 2008</t>
  </si>
  <si>
    <t>DOMINGGUS WELLIP</t>
  </si>
  <si>
    <t>FRANSISKA DINA OPEN</t>
  </si>
  <si>
    <t>0078531434</t>
  </si>
  <si>
    <t>2 APRIL 2007</t>
  </si>
  <si>
    <t xml:space="preserve">FRANSISKUS X. BALAMAKING </t>
  </si>
  <si>
    <t>0082300842</t>
  </si>
  <si>
    <t>3 DESEMBER 2008</t>
  </si>
  <si>
    <t>GREGORIUS C. KOLIN</t>
  </si>
  <si>
    <t>0087375008</t>
  </si>
  <si>
    <t>25 MEI 2008</t>
  </si>
  <si>
    <t>ISODORUS OLA LAMAROBEK</t>
  </si>
  <si>
    <t>0072632367</t>
  </si>
  <si>
    <t>15 MEI 2007</t>
  </si>
  <si>
    <t>MARIA ROSARI TINI</t>
  </si>
  <si>
    <t>0088073135</t>
  </si>
  <si>
    <t>03 SEPTEMBER 2008</t>
  </si>
  <si>
    <t>MARIANUS GERODA BORO</t>
  </si>
  <si>
    <t>0083256215</t>
  </si>
  <si>
    <t>08 DESEMBER 2008</t>
  </si>
  <si>
    <t>MELANIA DEVISTA LUDIANA URAN</t>
  </si>
  <si>
    <t>0095031513</t>
  </si>
  <si>
    <t>OKTOVIANUS POWA RURON</t>
  </si>
  <si>
    <t>0081601552</t>
  </si>
  <si>
    <t>PRISCILLIA EVA FREMIA SANDOSI</t>
  </si>
  <si>
    <t>0098329789</t>
  </si>
  <si>
    <t>6 JANUARI 2009</t>
  </si>
  <si>
    <t>RENDIYAN NICK YOSE</t>
  </si>
  <si>
    <t>0085281687</t>
  </si>
  <si>
    <t>18 MEI 2008</t>
  </si>
  <si>
    <t>SILVANUS VALERIAN RESI WATO</t>
  </si>
  <si>
    <t>0093472839</t>
  </si>
  <si>
    <t>15 SEPTEMBER 2009</t>
  </si>
  <si>
    <t>STEFANIA LUSIANI GAMA SOGEN</t>
  </si>
  <si>
    <t>0082377145</t>
  </si>
  <si>
    <t>25 JULI 2008</t>
  </si>
  <si>
    <t>THERESIA MARIANA HINGI SAWUN</t>
  </si>
  <si>
    <t>0095584179</t>
  </si>
  <si>
    <t xml:space="preserve">VALENTINUS DE PAULO OLA BELEN </t>
  </si>
  <si>
    <t>0093532978</t>
  </si>
  <si>
    <t>27 SEPTEMBER 2009</t>
  </si>
  <si>
    <t>YOHANES PATI SUBAN</t>
  </si>
  <si>
    <t>0088896821</t>
  </si>
  <si>
    <t>24 JUNI 2008</t>
  </si>
  <si>
    <t>YOSEFINA GUNA BELAJA</t>
  </si>
  <si>
    <t>0085827963</t>
  </si>
  <si>
    <t>07 JANUARI 2008</t>
  </si>
  <si>
    <t>YOSEP BENI KALAN</t>
  </si>
  <si>
    <t>0094290206</t>
  </si>
  <si>
    <t>13 MARET 2009</t>
  </si>
  <si>
    <t>KRISTIAN PUTRA MOAT LIRO</t>
  </si>
  <si>
    <t>0093052069</t>
  </si>
  <si>
    <t>27 juli 2009</t>
  </si>
  <si>
    <t>ALIF RIZQI MOCHSEN</t>
  </si>
  <si>
    <t>0099367326</t>
  </si>
  <si>
    <t>12 JUNI 2009</t>
  </si>
  <si>
    <t>ANJELINA APRILIA MAHARYA</t>
  </si>
  <si>
    <t>0091519170</t>
  </si>
  <si>
    <t>20 APRIL 2009</t>
  </si>
  <si>
    <t>BENEDIKTA DERAN BEAN</t>
  </si>
  <si>
    <t>BERNADINUS PILE TUKAN RIWU</t>
  </si>
  <si>
    <t>0097690094</t>
  </si>
  <si>
    <t>11 AGUSTUS 2009</t>
  </si>
  <si>
    <t>BONEFASIUS REALDO KEAN</t>
  </si>
  <si>
    <t>CHRISTIANUS LORENZO MULI KEDANG</t>
  </si>
  <si>
    <t>0084508602</t>
  </si>
  <si>
    <t>14 JUNI 2009</t>
  </si>
  <si>
    <t>FRANSISKUS NOENG SADIPUN</t>
  </si>
  <si>
    <t>0067972716</t>
  </si>
  <si>
    <t>26 JULI 2009</t>
  </si>
  <si>
    <t>FREDICKO R.G. ROGALELI</t>
  </si>
  <si>
    <t>0097916608</t>
  </si>
  <si>
    <t>8 Juli 2009</t>
  </si>
  <si>
    <t>JESSICA OLIVIA STEVEN</t>
  </si>
  <si>
    <t>3 AGUSTUS 2008</t>
  </si>
  <si>
    <t>MARGARETHA ROSNINTAN SARONG</t>
  </si>
  <si>
    <t>0089135494</t>
  </si>
  <si>
    <t>30 MARET 2008</t>
  </si>
  <si>
    <t>MARIA AGUSTINA BAREK GORAN</t>
  </si>
  <si>
    <t>0096474459</t>
  </si>
  <si>
    <t>30 AGUSTUS 2009</t>
  </si>
  <si>
    <t>MARIA M. LITO LAMAROBEK</t>
  </si>
  <si>
    <t>0071359708</t>
  </si>
  <si>
    <t>16 AGUSTUS 2007</t>
  </si>
  <si>
    <t xml:space="preserve">MARIA RIKARDA MOTONG </t>
  </si>
  <si>
    <t>0076149623</t>
  </si>
  <si>
    <t>07 APRIL 2007</t>
  </si>
  <si>
    <t>MARIA THERESIA BOTA WATON</t>
  </si>
  <si>
    <t>0086483905</t>
  </si>
  <si>
    <t>25 SEPTEMBER 2008</t>
  </si>
  <si>
    <t>MARSELINA SULISTIA YELSI SOGE</t>
  </si>
  <si>
    <t>0092500208</t>
  </si>
  <si>
    <t>Martha Lita Carensia</t>
  </si>
  <si>
    <t>0083017282</t>
  </si>
  <si>
    <t>26 Maret 2009</t>
  </si>
  <si>
    <t>MISTALIA INA MAMI BINTI ABAS</t>
  </si>
  <si>
    <t>0086841112</t>
  </si>
  <si>
    <t>23 APRIL 2008</t>
  </si>
  <si>
    <t>NOLAN MAIPAUW</t>
  </si>
  <si>
    <t>0091359661</t>
  </si>
  <si>
    <t>28 MARET 2009</t>
  </si>
  <si>
    <t>ODILIA MANOLE WERANG</t>
  </si>
  <si>
    <t>0067279171</t>
  </si>
  <si>
    <t>19 JULI 2009</t>
  </si>
  <si>
    <t>OKTAFIANUS LAGA DONI</t>
  </si>
  <si>
    <t>0092373337</t>
  </si>
  <si>
    <t>PADREPIO PETU KOTEN</t>
  </si>
  <si>
    <t>0088553247</t>
  </si>
  <si>
    <t xml:space="preserve">PANKRASIO DOMINICK KIDI BAN TUKAN </t>
  </si>
  <si>
    <t>0098185148</t>
  </si>
  <si>
    <t>23 MARET 2009</t>
  </si>
  <si>
    <t xml:space="preserve">PAULUS UDJE PIRAN </t>
  </si>
  <si>
    <t>0108943990</t>
  </si>
  <si>
    <t>19 JANUARI 2010</t>
  </si>
  <si>
    <t>SAVERIUS EBANG ROTOK</t>
  </si>
  <si>
    <t>0098552027</t>
  </si>
  <si>
    <t>7 APRIL 2009</t>
  </si>
  <si>
    <t>SESILIA CELSIANA TAENA</t>
  </si>
  <si>
    <t>0089731947</t>
  </si>
  <si>
    <t>06 SEPTEMBER 2008</t>
  </si>
  <si>
    <t>Sesilia Jia Tukan</t>
  </si>
  <si>
    <t>VALERIUS KORNELIUS K. NIRON TUKAN</t>
  </si>
  <si>
    <t>0092617808</t>
  </si>
  <si>
    <t>19 FEBRUARI 2009</t>
  </si>
  <si>
    <t>VERENA KATRIANA WAIN</t>
  </si>
  <si>
    <t>0096237132</t>
  </si>
  <si>
    <t>31 JANUARI 2009</t>
  </si>
  <si>
    <t>VERENA SEFI INA DUE</t>
  </si>
  <si>
    <t>0109770874</t>
  </si>
  <si>
    <t>15 FEBRUARI 2010</t>
  </si>
  <si>
    <t>Albertus Nier S. Hurit</t>
  </si>
  <si>
    <t>0089739329</t>
  </si>
  <si>
    <t>15 November 2008</t>
  </si>
  <si>
    <t xml:space="preserve">Anania margaretha fernandez </t>
  </si>
  <si>
    <t>ANTONIUS ALEXSANDRIO PETER LAMARIAN</t>
  </si>
  <si>
    <t>0089352479</t>
  </si>
  <si>
    <t>5 SEPTEMBER 2008</t>
  </si>
  <si>
    <t>Aurelia Paskalia Barek Lein</t>
  </si>
  <si>
    <t>0092612748</t>
  </si>
  <si>
    <t>18 MARET 2009</t>
  </si>
  <si>
    <t>Bernad muller carvallo</t>
  </si>
  <si>
    <t>0068271791</t>
  </si>
  <si>
    <t>15 SEPTEMBER  2006</t>
  </si>
  <si>
    <t>Bernardino R. Rera Dei</t>
  </si>
  <si>
    <t>0099024839</t>
  </si>
  <si>
    <t>2 JULI 2009</t>
  </si>
  <si>
    <t>Ester Sabu Kopon</t>
  </si>
  <si>
    <t>0083081573</t>
  </si>
  <si>
    <t>15 JUNI 2008</t>
  </si>
  <si>
    <t>Fransiskus begama</t>
  </si>
  <si>
    <t>0069436984</t>
  </si>
  <si>
    <t>18 JUNI 2006</t>
  </si>
  <si>
    <t>Gerardus Boli Betekeneng</t>
  </si>
  <si>
    <t>0082647965</t>
  </si>
  <si>
    <t>29 MEI 2008</t>
  </si>
  <si>
    <t>Ignasia Ayu Tuto Dosin</t>
  </si>
  <si>
    <t>0078888554</t>
  </si>
  <si>
    <t>31 JULI 2007</t>
  </si>
  <si>
    <t xml:space="preserve">Maria Delasterada Lito Maran </t>
  </si>
  <si>
    <t>0081858256</t>
  </si>
  <si>
    <t>12 MEI 2008</t>
  </si>
  <si>
    <t>Maria Familia Ina Lewar</t>
  </si>
  <si>
    <t>0089503409</t>
  </si>
  <si>
    <t>26 SEPTEMBER 2008</t>
  </si>
  <si>
    <t>Maria Vianey Auliana Supriati</t>
  </si>
  <si>
    <t>0097388345</t>
  </si>
  <si>
    <t xml:space="preserve">NIKOLAUS NEBO ARGAREDO SIRIE </t>
  </si>
  <si>
    <t>0087467055</t>
  </si>
  <si>
    <t>Petrus Pablo Temu</t>
  </si>
  <si>
    <t>0086079249</t>
  </si>
  <si>
    <t>25 NOVEMBER 2008</t>
  </si>
  <si>
    <t>ROSVITA RIKA OSE TUKAN</t>
  </si>
  <si>
    <t>0096991796</t>
  </si>
  <si>
    <t xml:space="preserve">SAVATORA INA MAGA KOKOMAKING </t>
  </si>
  <si>
    <t>0088051292</t>
  </si>
  <si>
    <t>STEFANUS WENDESBE LEYN</t>
  </si>
  <si>
    <t>007462642</t>
  </si>
  <si>
    <t>9 DESEMBER 2007</t>
  </si>
  <si>
    <t>THOBIAS WATU AZANG</t>
  </si>
  <si>
    <t>0095352362</t>
  </si>
  <si>
    <t>17 FEBRUARI 2009</t>
  </si>
  <si>
    <t>YAKOBUS RIKARDO KABELEN</t>
  </si>
  <si>
    <t>0098411974</t>
  </si>
  <si>
    <t>03 April 2009</t>
  </si>
  <si>
    <t xml:space="preserve">YOHANES AFRIDIANUS </t>
  </si>
  <si>
    <t>0086880369</t>
  </si>
  <si>
    <t>06 AGUSTUS 2008</t>
  </si>
  <si>
    <t>YOHANES YOSEVITO APRIANTO DA SILVA</t>
  </si>
  <si>
    <t>0092100020</t>
  </si>
  <si>
    <t>YOSEPH BARON RADJO</t>
  </si>
  <si>
    <t>0079442683</t>
  </si>
  <si>
    <t>26 APRIL 2007</t>
  </si>
  <si>
    <t>NO</t>
  </si>
  <si>
    <t>NISN/NIK</t>
  </si>
  <si>
    <t>Nama Penerima</t>
  </si>
  <si>
    <t>Tanggal Lahir</t>
  </si>
  <si>
    <t>Jenis Kelamin ID</t>
  </si>
  <si>
    <t>ID</t>
  </si>
  <si>
    <t>Keterangan</t>
  </si>
  <si>
    <t>ID KELAS X</t>
  </si>
  <si>
    <t>Laki-laki</t>
  </si>
  <si>
    <t>Perempuan</t>
  </si>
  <si>
    <t>TOTAL</t>
  </si>
  <si>
    <t>1 Juni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</si>
</sst>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rgb="FF1E6BB5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1E6BB5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106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7" fillId="0" borderId="1" xfId="0" quotePrefix="1" applyFont="1" applyFill="1" applyBorder="1" applyAlignment="1">
      <alignment vertical="center"/>
    </xf>
    <xf numFmtId="15" fontId="7" fillId="0" borderId="1" xfId="0" quotePrefix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quotePrefix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quotePrefix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1" xfId="0" applyFill="1" applyBorder="1"/>
    <xf numFmtId="0" fontId="8" fillId="0" borderId="1" xfId="0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15" fontId="8" fillId="0" borderId="1" xfId="0" quotePrefix="1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8" fillId="0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0" fontId="9" fillId="0" borderId="1" xfId="1" applyFont="1" applyFill="1" applyBorder="1" applyAlignment="1">
      <alignment vertical="center"/>
    </xf>
    <xf numFmtId="15" fontId="7" fillId="0" borderId="1" xfId="0" quotePrefix="1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quotePrefix="1" applyFont="1" applyFill="1" applyBorder="1" applyAlignment="1">
      <alignment vertical="center"/>
    </xf>
    <xf numFmtId="0" fontId="10" fillId="0" borderId="1" xfId="0" quotePrefix="1" applyFont="1" applyFill="1" applyBorder="1" applyAlignment="1">
      <alignment horizontal="center" vertical="center"/>
    </xf>
    <xf numFmtId="15" fontId="10" fillId="0" borderId="1" xfId="0" quotePrefix="1" applyNumberFormat="1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quotePrefix="1" applyFont="1" applyBorder="1" applyAlignment="1">
      <alignment vertical="center"/>
    </xf>
    <xf numFmtId="15" fontId="10" fillId="0" borderId="1" xfId="0" quotePrefix="1" applyNumberFormat="1" applyFont="1" applyBorder="1" applyAlignment="1">
      <alignment vertical="center"/>
    </xf>
    <xf numFmtId="15" fontId="10" fillId="0" borderId="1" xfId="0" applyNumberFormat="1" applyFont="1" applyFill="1" applyBorder="1" applyAlignment="1">
      <alignment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/>
    </xf>
    <xf numFmtId="0" fontId="10" fillId="0" borderId="2" xfId="0" quotePrefix="1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15" fontId="7" fillId="0" borderId="1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top"/>
    </xf>
    <xf numFmtId="0" fontId="0" fillId="0" borderId="1" xfId="0" quotePrefix="1" applyBorder="1" applyAlignment="1">
      <alignment horizontal="center" vertical="top"/>
    </xf>
    <xf numFmtId="0" fontId="0" fillId="5" borderId="1" xfId="0" applyFill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6" fillId="8" borderId="1" xfId="0" applyFont="1" applyFill="1" applyBorder="1" applyAlignment="1">
      <alignment horizontal="center"/>
    </xf>
    <xf numFmtId="9" fontId="10" fillId="0" borderId="1" xfId="0" quotePrefix="1" applyNumberFormat="1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7" fillId="6" borderId="1" xfId="0" quotePrefix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0" fillId="4" borderId="1" xfId="0" quotePrefix="1" applyFont="1" applyFill="1" applyBorder="1" applyAlignment="1">
      <alignment horizontal="center" vertical="center"/>
    </xf>
    <xf numFmtId="15" fontId="10" fillId="4" borderId="1" xfId="0" applyNumberFormat="1" applyFont="1" applyFill="1" applyBorder="1" applyAlignment="1">
      <alignment vertical="center"/>
    </xf>
    <xf numFmtId="15" fontId="0" fillId="4" borderId="1" xfId="0" applyNumberFormat="1" applyFill="1" applyBorder="1"/>
    <xf numFmtId="0" fontId="1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5" fontId="10" fillId="4" borderId="1" xfId="0" quotePrefix="1" applyNumberFormat="1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4" borderId="1" xfId="0" quotePrefix="1" applyFont="1" applyFill="1" applyBorder="1" applyAlignment="1">
      <alignment vertical="center"/>
    </xf>
    <xf numFmtId="0" fontId="0" fillId="4" borderId="1" xfId="0" quotePrefix="1" applyFill="1" applyBorder="1" applyAlignment="1">
      <alignment vertical="center"/>
    </xf>
    <xf numFmtId="0" fontId="10" fillId="4" borderId="1" xfId="0" quotePrefix="1" applyFont="1" applyFill="1" applyBorder="1"/>
    <xf numFmtId="0" fontId="10" fillId="4" borderId="1" xfId="0" applyFont="1" applyFill="1" applyBorder="1"/>
    <xf numFmtId="0" fontId="0" fillId="4" borderId="1" xfId="0" applyFill="1" applyBorder="1"/>
    <xf numFmtId="0" fontId="10" fillId="4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vertical="center" wrapText="1"/>
    </xf>
    <xf numFmtId="0" fontId="8" fillId="4" borderId="1" xfId="0" quotePrefix="1" applyFont="1" applyFill="1" applyBorder="1" applyAlignment="1">
      <alignment vertical="center"/>
    </xf>
    <xf numFmtId="0" fontId="7" fillId="4" borderId="1" xfId="0" quotePrefix="1" applyFont="1" applyFill="1" applyBorder="1" applyAlignment="1">
      <alignment vertical="center"/>
    </xf>
    <xf numFmtId="0" fontId="9" fillId="6" borderId="1" xfId="1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7" fillId="4" borderId="1" xfId="0" quotePrefix="1" applyFont="1" applyFill="1" applyBorder="1" applyAlignment="1">
      <alignment horizontal="center" vertical="center"/>
    </xf>
    <xf numFmtId="0" fontId="7" fillId="0" borderId="1" xfId="0" quotePrefix="1" applyFont="1" applyFill="1" applyBorder="1" applyAlignment="1">
      <alignment horizontal="center" vertical="center"/>
    </xf>
    <xf numFmtId="15" fontId="7" fillId="0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5" fontId="7" fillId="4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96">
    <dxf>
      <fill>
        <patternFill patternType="gray0625">
          <bgColor rgb="FFFF0000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0000"/>
        </patternFill>
      </fill>
    </dxf>
    <dxf>
      <fill>
        <patternFill patternType="gray0625">
          <bgColor rgb="FFFF0000"/>
        </patternFill>
      </fill>
    </dxf>
    <dxf>
      <fill>
        <patternFill>
          <bgColor rgb="FFFFFF00"/>
        </patternFill>
      </fill>
    </dxf>
    <dxf>
      <fill>
        <patternFill patternType="gray0625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 patternType="gray0625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 patternType="gray0625"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0625"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180975</xdr:rowOff>
    </xdr:from>
    <xdr:to>
      <xdr:col>0</xdr:col>
      <xdr:colOff>581025</xdr:colOff>
      <xdr:row>5</xdr:row>
      <xdr:rowOff>28575</xdr:rowOff>
    </xdr:to>
    <xdr:pic>
      <xdr:nvPicPr>
        <xdr:cNvPr id="10339" name="Picture 1">
          <a:extLst>
            <a:ext uri="{FF2B5EF4-FFF2-40B4-BE49-F238E27FC236}">
              <a16:creationId xmlns:a16="http://schemas.microsoft.com/office/drawing/2014/main" id="{6744694E-ABAC-4DCA-92A2-066088EF3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4" t="2734" r="3358" b="3720"/>
        <a:stretch>
          <a:fillRect/>
        </a:stretch>
      </xdr:blipFill>
      <xdr:spPr bwMode="auto">
        <a:xfrm>
          <a:off x="0" y="371475"/>
          <a:ext cx="5810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7:L40"/>
  <sheetViews>
    <sheetView tabSelected="1" topLeftCell="A22" workbookViewId="0">
      <selection activeCell="B31" sqref="B31:F31"/>
    </sheetView>
  </sheetViews>
  <sheetFormatPr defaultRowHeight="15" x14ac:dyDescent="0.25"/>
  <cols>
    <col min="3" max="3" width="12.42578125" bestFit="1" customWidth="1"/>
    <col min="4" max="4" width="39.140625" bestFit="1" customWidth="1"/>
    <col min="5" max="5" width="20.42578125" bestFit="1" customWidth="1"/>
    <col min="6" max="6" width="15.5703125" bestFit="1" customWidth="1"/>
    <col min="9" max="9" width="17.7109375" customWidth="1"/>
    <col min="11" max="11" width="10.140625" bestFit="1" customWidth="1"/>
    <col min="12" max="12" width="18" customWidth="1"/>
  </cols>
  <sheetData>
    <row r="7" spans="2:12" s="5" customFormat="1" ht="29.25" customHeight="1" x14ac:dyDescent="0.25">
      <c r="B7" s="103" t="s">
        <v>1112</v>
      </c>
      <c r="C7" s="103" t="s">
        <v>1113</v>
      </c>
      <c r="D7" s="103" t="s">
        <v>1114</v>
      </c>
      <c r="E7" s="103" t="s">
        <v>1115</v>
      </c>
      <c r="F7" s="103" t="s">
        <v>1116</v>
      </c>
      <c r="G7"/>
      <c r="H7" s="103" t="s">
        <v>1117</v>
      </c>
      <c r="I7" s="103" t="s">
        <v>1118</v>
      </c>
      <c r="J7"/>
      <c r="K7" s="103" t="s">
        <v>1119</v>
      </c>
      <c r="L7" s="103" t="s">
        <v>1118</v>
      </c>
    </row>
    <row r="8" spans="2:12" s="1" customFormat="1" ht="20.100000000000001" customHeight="1" x14ac:dyDescent="0.25">
      <c r="B8" s="103"/>
      <c r="C8" s="103"/>
      <c r="D8" s="103"/>
      <c r="E8" s="103"/>
      <c r="F8" s="103"/>
      <c r="G8"/>
      <c r="H8" s="103"/>
      <c r="I8" s="103"/>
      <c r="J8"/>
      <c r="K8" s="103"/>
      <c r="L8" s="103"/>
    </row>
    <row r="9" spans="2:12" s="1" customFormat="1" ht="15.75" x14ac:dyDescent="0.25">
      <c r="B9" s="84">
        <v>1</v>
      </c>
      <c r="C9" s="80" t="s">
        <v>226</v>
      </c>
      <c r="D9" s="81" t="s">
        <v>589</v>
      </c>
      <c r="E9" s="82"/>
      <c r="F9" s="83" t="s">
        <v>1</v>
      </c>
      <c r="G9"/>
      <c r="H9" s="67">
        <f>COUNTIF(F9:F42,"L")</f>
        <v>10</v>
      </c>
      <c r="I9" s="68" t="s">
        <v>1120</v>
      </c>
      <c r="J9"/>
      <c r="K9" s="67"/>
      <c r="L9" s="68" t="s">
        <v>1120</v>
      </c>
    </row>
    <row r="10" spans="2:12" s="1" customFormat="1" ht="15.75" x14ac:dyDescent="0.25">
      <c r="B10" s="47">
        <f>1+B9</f>
        <v>2</v>
      </c>
      <c r="C10" s="33" t="s">
        <v>227</v>
      </c>
      <c r="D10" s="39" t="s">
        <v>14</v>
      </c>
      <c r="E10" s="72" t="s">
        <v>1123</v>
      </c>
      <c r="F10" s="34" t="s">
        <v>0</v>
      </c>
      <c r="G10"/>
      <c r="H10" s="69">
        <f>COUNTIF(F9:F42,"P")</f>
        <v>22</v>
      </c>
      <c r="I10" s="70" t="s">
        <v>1121</v>
      </c>
      <c r="J10"/>
      <c r="K10" s="69"/>
      <c r="L10" s="70" t="s">
        <v>1121</v>
      </c>
    </row>
    <row r="11" spans="2:12" s="1" customFormat="1" ht="15.75" x14ac:dyDescent="0.25">
      <c r="B11" s="47">
        <f t="shared" ref="B11:B40" si="0">1+B10</f>
        <v>3</v>
      </c>
      <c r="C11" s="33" t="s">
        <v>224</v>
      </c>
      <c r="D11" s="39" t="s">
        <v>223</v>
      </c>
      <c r="E11" s="35" t="s">
        <v>225</v>
      </c>
      <c r="F11" s="30" t="s">
        <v>1</v>
      </c>
      <c r="G11"/>
      <c r="H11" s="71">
        <f>SUM(H9:H10)</f>
        <v>32</v>
      </c>
      <c r="I11" s="71" t="s">
        <v>1122</v>
      </c>
      <c r="J11"/>
      <c r="K11" s="71">
        <f>SUM(K9:K10)</f>
        <v>0</v>
      </c>
      <c r="L11" s="71" t="s">
        <v>1122</v>
      </c>
    </row>
    <row r="12" spans="2:12" s="1" customFormat="1" ht="15.75" x14ac:dyDescent="0.25">
      <c r="B12" s="47">
        <f t="shared" si="0"/>
        <v>4</v>
      </c>
      <c r="C12" s="33" t="s">
        <v>183</v>
      </c>
      <c r="D12" s="39" t="s">
        <v>182</v>
      </c>
      <c r="E12" s="35" t="s">
        <v>184</v>
      </c>
      <c r="F12" s="30" t="s">
        <v>0</v>
      </c>
    </row>
    <row r="13" spans="2:12" s="1" customFormat="1" ht="15.75" x14ac:dyDescent="0.25">
      <c r="B13" s="47">
        <f t="shared" si="0"/>
        <v>5</v>
      </c>
      <c r="C13" s="33" t="s">
        <v>219</v>
      </c>
      <c r="D13" s="39" t="s">
        <v>150</v>
      </c>
      <c r="E13" s="35" t="s">
        <v>220</v>
      </c>
      <c r="F13" s="30" t="s">
        <v>1</v>
      </c>
    </row>
    <row r="14" spans="2:12" s="1" customFormat="1" ht="15.75" x14ac:dyDescent="0.25">
      <c r="B14" s="47">
        <f t="shared" si="0"/>
        <v>6</v>
      </c>
      <c r="C14" s="33" t="s">
        <v>634</v>
      </c>
      <c r="D14" s="39" t="s">
        <v>256</v>
      </c>
      <c r="E14" s="35" t="s">
        <v>635</v>
      </c>
      <c r="F14" s="30" t="s">
        <v>0</v>
      </c>
    </row>
    <row r="15" spans="2:12" s="1" customFormat="1" ht="15.75" x14ac:dyDescent="0.25">
      <c r="B15" s="47">
        <f t="shared" si="0"/>
        <v>7</v>
      </c>
      <c r="C15" s="33" t="s">
        <v>455</v>
      </c>
      <c r="D15" s="39" t="s">
        <v>454</v>
      </c>
      <c r="E15" s="35" t="s">
        <v>456</v>
      </c>
      <c r="F15" s="30" t="s">
        <v>0</v>
      </c>
    </row>
    <row r="16" spans="2:12" s="1" customFormat="1" ht="15.75" x14ac:dyDescent="0.25">
      <c r="B16" s="47">
        <f t="shared" si="0"/>
        <v>8</v>
      </c>
      <c r="C16" s="33" t="s">
        <v>169</v>
      </c>
      <c r="D16" s="39" t="s">
        <v>168</v>
      </c>
      <c r="E16" s="35" t="s">
        <v>310</v>
      </c>
      <c r="F16" s="30" t="s">
        <v>0</v>
      </c>
    </row>
    <row r="17" spans="2:6" s="1" customFormat="1" ht="15.75" x14ac:dyDescent="0.25">
      <c r="B17" s="47">
        <f t="shared" si="0"/>
        <v>9</v>
      </c>
      <c r="C17" s="33" t="s">
        <v>364</v>
      </c>
      <c r="D17" s="39" t="s">
        <v>363</v>
      </c>
      <c r="E17" s="35" t="s">
        <v>365</v>
      </c>
      <c r="F17" s="30" t="s">
        <v>1</v>
      </c>
    </row>
    <row r="18" spans="2:6" s="1" customFormat="1" ht="15.75" x14ac:dyDescent="0.25">
      <c r="B18" s="47">
        <f t="shared" si="0"/>
        <v>10</v>
      </c>
      <c r="C18" s="33" t="s">
        <v>313</v>
      </c>
      <c r="D18" s="39" t="s">
        <v>555</v>
      </c>
      <c r="E18" s="35" t="s">
        <v>556</v>
      </c>
      <c r="F18" s="30" t="s">
        <v>0</v>
      </c>
    </row>
    <row r="19" spans="2:6" s="1" customFormat="1" ht="15.75" x14ac:dyDescent="0.25">
      <c r="B19" s="47">
        <f t="shared" si="0"/>
        <v>11</v>
      </c>
      <c r="C19" s="33" t="s">
        <v>440</v>
      </c>
      <c r="D19" s="39" t="s">
        <v>439</v>
      </c>
      <c r="E19" s="35" t="s">
        <v>441</v>
      </c>
      <c r="F19" s="30" t="s">
        <v>0</v>
      </c>
    </row>
    <row r="20" spans="2:6" s="1" customFormat="1" ht="15.75" x14ac:dyDescent="0.25">
      <c r="B20" s="47">
        <f t="shared" si="0"/>
        <v>12</v>
      </c>
      <c r="C20" s="33" t="s">
        <v>210</v>
      </c>
      <c r="D20" s="39" t="s">
        <v>100</v>
      </c>
      <c r="E20" s="35" t="s">
        <v>211</v>
      </c>
      <c r="F20" s="30" t="s">
        <v>0</v>
      </c>
    </row>
    <row r="21" spans="2:6" s="1" customFormat="1" ht="15.75" x14ac:dyDescent="0.25">
      <c r="B21" s="84">
        <f t="shared" si="0"/>
        <v>13</v>
      </c>
      <c r="C21" s="80" t="s">
        <v>226</v>
      </c>
      <c r="D21" s="81" t="s">
        <v>149</v>
      </c>
      <c r="E21" s="85" t="s">
        <v>568</v>
      </c>
      <c r="F21" s="83" t="s">
        <v>1</v>
      </c>
    </row>
    <row r="22" spans="2:6" s="1" customFormat="1" ht="15.75" x14ac:dyDescent="0.25">
      <c r="B22" s="47">
        <f t="shared" si="0"/>
        <v>14</v>
      </c>
      <c r="C22" s="33" t="s">
        <v>235</v>
      </c>
      <c r="D22" s="39" t="s">
        <v>29</v>
      </c>
      <c r="E22" s="35" t="s">
        <v>236</v>
      </c>
      <c r="F22" s="30" t="s">
        <v>0</v>
      </c>
    </row>
    <row r="23" spans="2:6" s="1" customFormat="1" ht="15.75" x14ac:dyDescent="0.25">
      <c r="B23" s="47">
        <f t="shared" si="0"/>
        <v>15</v>
      </c>
      <c r="C23" s="33" t="s">
        <v>538</v>
      </c>
      <c r="D23" s="39" t="s">
        <v>11</v>
      </c>
      <c r="E23" s="35" t="s">
        <v>539</v>
      </c>
      <c r="F23" s="30" t="s">
        <v>1</v>
      </c>
    </row>
    <row r="24" spans="2:6" s="1" customFormat="1" ht="15.75" x14ac:dyDescent="0.25">
      <c r="B24" s="47">
        <f t="shared" si="0"/>
        <v>16</v>
      </c>
      <c r="C24" s="33" t="s">
        <v>587</v>
      </c>
      <c r="D24" s="39" t="s">
        <v>198</v>
      </c>
      <c r="E24" s="35" t="s">
        <v>588</v>
      </c>
      <c r="F24" s="30" t="s">
        <v>0</v>
      </c>
    </row>
    <row r="25" spans="2:6" s="1" customFormat="1" ht="15.75" x14ac:dyDescent="0.25">
      <c r="B25" s="47">
        <f t="shared" si="0"/>
        <v>17</v>
      </c>
      <c r="C25" s="33" t="s">
        <v>549</v>
      </c>
      <c r="D25" s="39" t="s">
        <v>193</v>
      </c>
      <c r="E25" s="35" t="s">
        <v>271</v>
      </c>
      <c r="F25" s="30" t="s">
        <v>0</v>
      </c>
    </row>
    <row r="26" spans="2:6" s="1" customFormat="1" ht="15.75" x14ac:dyDescent="0.25">
      <c r="B26" s="47">
        <f t="shared" si="0"/>
        <v>18</v>
      </c>
      <c r="C26" s="33" t="s">
        <v>557</v>
      </c>
      <c r="D26" s="39" t="s">
        <v>126</v>
      </c>
      <c r="E26" s="35" t="s">
        <v>211</v>
      </c>
      <c r="F26" s="30" t="s">
        <v>1</v>
      </c>
    </row>
    <row r="27" spans="2:6" ht="15.75" x14ac:dyDescent="0.25">
      <c r="B27" s="84">
        <f t="shared" si="0"/>
        <v>19</v>
      </c>
      <c r="C27" s="80" t="s">
        <v>226</v>
      </c>
      <c r="D27" s="81" t="s">
        <v>41</v>
      </c>
      <c r="E27" s="81"/>
      <c r="F27" s="83" t="s">
        <v>0</v>
      </c>
    </row>
    <row r="28" spans="2:6" ht="15.75" x14ac:dyDescent="0.25">
      <c r="B28" s="47">
        <f t="shared" si="0"/>
        <v>20</v>
      </c>
      <c r="C28" s="37" t="s">
        <v>151</v>
      </c>
      <c r="D28" s="39" t="s">
        <v>101</v>
      </c>
      <c r="E28" s="38" t="s">
        <v>152</v>
      </c>
      <c r="F28" s="29" t="s">
        <v>0</v>
      </c>
    </row>
    <row r="29" spans="2:6" ht="15.75" x14ac:dyDescent="0.25">
      <c r="B29" s="47">
        <f t="shared" si="0"/>
        <v>21</v>
      </c>
      <c r="C29" s="37" t="s">
        <v>233</v>
      </c>
      <c r="D29" s="39" t="s">
        <v>107</v>
      </c>
      <c r="E29" s="38" t="s">
        <v>234</v>
      </c>
      <c r="F29" s="29" t="s">
        <v>0</v>
      </c>
    </row>
    <row r="30" spans="2:6" ht="15.75" x14ac:dyDescent="0.25">
      <c r="B30" s="47">
        <f t="shared" si="0"/>
        <v>22</v>
      </c>
      <c r="C30" s="37" t="s">
        <v>328</v>
      </c>
      <c r="D30" s="39" t="s">
        <v>257</v>
      </c>
      <c r="E30" s="38" t="s">
        <v>329</v>
      </c>
      <c r="F30" s="29" t="s">
        <v>0</v>
      </c>
    </row>
    <row r="31" spans="2:6" s="1" customFormat="1" ht="15.75" x14ac:dyDescent="0.25">
      <c r="B31" s="84">
        <f t="shared" si="0"/>
        <v>23</v>
      </c>
      <c r="C31" s="80" t="s">
        <v>226</v>
      </c>
      <c r="D31" s="81" t="s">
        <v>9</v>
      </c>
      <c r="E31" s="85" t="s">
        <v>10</v>
      </c>
      <c r="F31" s="83" t="s">
        <v>0</v>
      </c>
    </row>
    <row r="32" spans="2:6" ht="15.75" x14ac:dyDescent="0.25">
      <c r="B32" s="47">
        <f t="shared" si="0"/>
        <v>24</v>
      </c>
      <c r="C32" s="33" t="s">
        <v>295</v>
      </c>
      <c r="D32" s="39" t="s">
        <v>54</v>
      </c>
      <c r="E32" s="35" t="s">
        <v>204</v>
      </c>
      <c r="F32" s="30" t="s">
        <v>0</v>
      </c>
    </row>
    <row r="33" spans="2:6" s="1" customFormat="1" ht="15.75" x14ac:dyDescent="0.25">
      <c r="B33" s="47">
        <f t="shared" si="0"/>
        <v>25</v>
      </c>
      <c r="C33" s="37" t="s">
        <v>427</v>
      </c>
      <c r="D33" s="39" t="s">
        <v>20</v>
      </c>
      <c r="E33" s="38" t="s">
        <v>428</v>
      </c>
      <c r="F33" s="29" t="s">
        <v>0</v>
      </c>
    </row>
    <row r="34" spans="2:6" ht="15.75" x14ac:dyDescent="0.25">
      <c r="B34" s="47">
        <f t="shared" si="0"/>
        <v>26</v>
      </c>
      <c r="C34" s="33" t="s">
        <v>166</v>
      </c>
      <c r="D34" s="39" t="s">
        <v>165</v>
      </c>
      <c r="E34" s="35" t="s">
        <v>637</v>
      </c>
      <c r="F34" s="30" t="s">
        <v>1</v>
      </c>
    </row>
    <row r="35" spans="2:6" ht="15.75" x14ac:dyDescent="0.25">
      <c r="B35" s="47">
        <f t="shared" si="0"/>
        <v>27</v>
      </c>
      <c r="C35" s="33" t="s">
        <v>631</v>
      </c>
      <c r="D35" s="39" t="s">
        <v>113</v>
      </c>
      <c r="E35" s="35" t="s">
        <v>632</v>
      </c>
      <c r="F35" s="30" t="s">
        <v>0</v>
      </c>
    </row>
    <row r="36" spans="2:6" ht="15.75" x14ac:dyDescent="0.25">
      <c r="B36" s="47">
        <f t="shared" si="0"/>
        <v>28</v>
      </c>
      <c r="C36" s="37" t="s">
        <v>326</v>
      </c>
      <c r="D36" s="39" t="s">
        <v>120</v>
      </c>
      <c r="E36" s="38" t="s">
        <v>327</v>
      </c>
      <c r="F36" s="29" t="s">
        <v>1</v>
      </c>
    </row>
    <row r="37" spans="2:6" ht="15.75" x14ac:dyDescent="0.25">
      <c r="B37" s="47">
        <f t="shared" si="0"/>
        <v>29</v>
      </c>
      <c r="C37" s="37" t="s">
        <v>601</v>
      </c>
      <c r="D37" s="39" t="s">
        <v>215</v>
      </c>
      <c r="E37" s="38" t="s">
        <v>236</v>
      </c>
      <c r="F37" s="29" t="s">
        <v>0</v>
      </c>
    </row>
    <row r="38" spans="2:6" ht="15.75" x14ac:dyDescent="0.25">
      <c r="B38" s="47">
        <f t="shared" si="0"/>
        <v>30</v>
      </c>
      <c r="C38" s="37" t="s">
        <v>175</v>
      </c>
      <c r="D38" s="39" t="s">
        <v>46</v>
      </c>
      <c r="E38" s="38" t="s">
        <v>176</v>
      </c>
      <c r="F38" s="29" t="s">
        <v>0</v>
      </c>
    </row>
    <row r="39" spans="2:6" ht="15.75" x14ac:dyDescent="0.25">
      <c r="B39" s="47">
        <f t="shared" si="0"/>
        <v>31</v>
      </c>
      <c r="C39" s="37" t="s">
        <v>378</v>
      </c>
      <c r="D39" s="39" t="s">
        <v>110</v>
      </c>
      <c r="E39" s="38" t="s">
        <v>379</v>
      </c>
      <c r="F39" s="29" t="s">
        <v>0</v>
      </c>
    </row>
    <row r="40" spans="2:6" ht="15.75" x14ac:dyDescent="0.25">
      <c r="B40" s="47">
        <f t="shared" si="0"/>
        <v>32</v>
      </c>
      <c r="C40" s="37" t="s">
        <v>251</v>
      </c>
      <c r="D40" s="39" t="s">
        <v>117</v>
      </c>
      <c r="E40" s="38" t="s">
        <v>375</v>
      </c>
      <c r="F40" s="29" t="s">
        <v>1</v>
      </c>
    </row>
  </sheetData>
  <mergeCells count="9">
    <mergeCell ref="I7:I8"/>
    <mergeCell ref="K7:K8"/>
    <mergeCell ref="L7:L8"/>
    <mergeCell ref="B7:B8"/>
    <mergeCell ref="C7:C8"/>
    <mergeCell ref="D7:D8"/>
    <mergeCell ref="E7:E8"/>
    <mergeCell ref="F7:F8"/>
    <mergeCell ref="H7:H8"/>
  </mergeCells>
  <pageMargins left="1.55" right="0.18" top="0.75" bottom="0.75" header="0.3" footer="0.3"/>
  <pageSetup paperSize="9" scale="90" orientation="portrait" horizontalDpi="4294967292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34"/>
  <sheetViews>
    <sheetView topLeftCell="A10" workbookViewId="0">
      <selection activeCell="F4" sqref="F4:F34"/>
    </sheetView>
  </sheetViews>
  <sheetFormatPr defaultRowHeight="15" x14ac:dyDescent="0.25"/>
  <cols>
    <col min="3" max="3" width="12.42578125" bestFit="1" customWidth="1"/>
    <col min="4" max="4" width="39.140625" bestFit="1" customWidth="1"/>
    <col min="5" max="5" width="20.42578125" bestFit="1" customWidth="1"/>
    <col min="6" max="6" width="15.5703125" bestFit="1" customWidth="1"/>
    <col min="9" max="9" width="17.7109375" customWidth="1"/>
  </cols>
  <sheetData>
    <row r="2" spans="2:9" x14ac:dyDescent="0.25">
      <c r="B2" s="103" t="s">
        <v>1112</v>
      </c>
      <c r="C2" s="103" t="s">
        <v>1113</v>
      </c>
      <c r="D2" s="103" t="s">
        <v>1114</v>
      </c>
      <c r="E2" s="103" t="s">
        <v>1115</v>
      </c>
      <c r="F2" s="103" t="s">
        <v>1116</v>
      </c>
      <c r="H2" s="103" t="s">
        <v>1117</v>
      </c>
      <c r="I2" s="103" t="s">
        <v>1118</v>
      </c>
    </row>
    <row r="3" spans="2:9" s="4" customFormat="1" ht="51" customHeight="1" x14ac:dyDescent="0.25">
      <c r="B3" s="103"/>
      <c r="C3" s="103"/>
      <c r="D3" s="103"/>
      <c r="E3" s="103"/>
      <c r="F3" s="103"/>
      <c r="G3"/>
      <c r="H3" s="103"/>
      <c r="I3" s="103"/>
    </row>
    <row r="4" spans="2:9" s="5" customFormat="1" ht="20.100000000000001" customHeight="1" x14ac:dyDescent="0.25">
      <c r="B4" s="47">
        <v>1</v>
      </c>
      <c r="C4" s="33" t="s">
        <v>76</v>
      </c>
      <c r="D4" s="31" t="s">
        <v>24</v>
      </c>
      <c r="E4" s="33" t="s">
        <v>362</v>
      </c>
      <c r="F4" s="83"/>
      <c r="G4"/>
      <c r="H4" s="67">
        <f>COUNTIF(F4:F37,"L")</f>
        <v>0</v>
      </c>
      <c r="I4" s="68" t="s">
        <v>1120</v>
      </c>
    </row>
    <row r="5" spans="2:9" s="5" customFormat="1" ht="20.100000000000001" customHeight="1" x14ac:dyDescent="0.25">
      <c r="B5" s="47">
        <f>1+B4</f>
        <v>2</v>
      </c>
      <c r="C5" s="37" t="s">
        <v>305</v>
      </c>
      <c r="D5" s="31" t="s">
        <v>32</v>
      </c>
      <c r="E5" s="37" t="s">
        <v>306</v>
      </c>
      <c r="F5" s="80"/>
      <c r="G5"/>
      <c r="H5" s="69">
        <f>COUNTIF(F4:F37,"P")</f>
        <v>0</v>
      </c>
      <c r="I5" s="70" t="s">
        <v>1121</v>
      </c>
    </row>
    <row r="6" spans="2:9" s="5" customFormat="1" ht="20.100000000000001" customHeight="1" x14ac:dyDescent="0.25">
      <c r="B6" s="47">
        <f t="shared" ref="B6:B34" si="0">1+B5</f>
        <v>3</v>
      </c>
      <c r="C6" s="37" t="s">
        <v>65</v>
      </c>
      <c r="D6" s="31" t="s">
        <v>64</v>
      </c>
      <c r="E6" s="37" t="s">
        <v>66</v>
      </c>
      <c r="F6" s="83"/>
      <c r="G6"/>
      <c r="H6" s="71">
        <f>SUM(H4:H5)</f>
        <v>0</v>
      </c>
      <c r="I6" s="71" t="s">
        <v>1122</v>
      </c>
    </row>
    <row r="7" spans="2:9" s="5" customFormat="1" ht="20.100000000000001" customHeight="1" x14ac:dyDescent="0.25">
      <c r="B7" s="47">
        <f t="shared" si="0"/>
        <v>4</v>
      </c>
      <c r="C7" s="37" t="s">
        <v>579</v>
      </c>
      <c r="D7" s="31" t="s">
        <v>546</v>
      </c>
      <c r="E7" s="37" t="s">
        <v>6</v>
      </c>
      <c r="F7" s="66"/>
    </row>
    <row r="8" spans="2:9" s="5" customFormat="1" ht="20.100000000000001" customHeight="1" x14ac:dyDescent="0.25">
      <c r="B8" s="47">
        <f t="shared" si="0"/>
        <v>5</v>
      </c>
      <c r="C8" s="33" t="s">
        <v>389</v>
      </c>
      <c r="D8" s="31" t="s">
        <v>388</v>
      </c>
      <c r="E8" s="33" t="s">
        <v>148</v>
      </c>
      <c r="F8" s="66"/>
    </row>
    <row r="9" spans="2:9" s="5" customFormat="1" ht="20.100000000000001" customHeight="1" x14ac:dyDescent="0.25">
      <c r="B9" s="47">
        <f t="shared" si="0"/>
        <v>6</v>
      </c>
      <c r="C9" s="37" t="s">
        <v>341</v>
      </c>
      <c r="D9" s="31" t="s">
        <v>27</v>
      </c>
      <c r="E9" s="37" t="s">
        <v>342</v>
      </c>
      <c r="F9" s="66"/>
    </row>
    <row r="10" spans="2:9" s="5" customFormat="1" ht="20.100000000000001" customHeight="1" x14ac:dyDescent="0.25">
      <c r="B10" s="47">
        <f t="shared" si="0"/>
        <v>7</v>
      </c>
      <c r="C10" s="37" t="s">
        <v>324</v>
      </c>
      <c r="D10" s="31" t="s">
        <v>52</v>
      </c>
      <c r="E10" s="37" t="s">
        <v>325</v>
      </c>
      <c r="F10" s="66"/>
    </row>
    <row r="11" spans="2:9" s="5" customFormat="1" ht="20.100000000000001" customHeight="1" x14ac:dyDescent="0.25">
      <c r="B11" s="47">
        <f t="shared" si="0"/>
        <v>8</v>
      </c>
      <c r="C11" s="37" t="s">
        <v>142</v>
      </c>
      <c r="D11" s="31" t="s">
        <v>138</v>
      </c>
      <c r="E11" s="37" t="s">
        <v>143</v>
      </c>
      <c r="F11" s="66"/>
    </row>
    <row r="12" spans="2:9" s="5" customFormat="1" ht="20.100000000000001" customHeight="1" x14ac:dyDescent="0.25">
      <c r="B12" s="47">
        <f t="shared" si="0"/>
        <v>9</v>
      </c>
      <c r="C12" s="37" t="s">
        <v>406</v>
      </c>
      <c r="D12" s="31" t="s">
        <v>405</v>
      </c>
      <c r="E12" s="37" t="s">
        <v>407</v>
      </c>
      <c r="F12" s="66"/>
    </row>
    <row r="13" spans="2:9" s="5" customFormat="1" ht="20.100000000000001" customHeight="1" x14ac:dyDescent="0.25">
      <c r="B13" s="47">
        <f t="shared" si="0"/>
        <v>10</v>
      </c>
      <c r="C13" s="33" t="s">
        <v>308</v>
      </c>
      <c r="D13" s="31" t="s">
        <v>307</v>
      </c>
      <c r="E13" s="33" t="s">
        <v>309</v>
      </c>
      <c r="F13" s="66"/>
    </row>
    <row r="14" spans="2:9" s="5" customFormat="1" ht="20.100000000000001" customHeight="1" x14ac:dyDescent="0.25">
      <c r="B14" s="47">
        <f t="shared" si="0"/>
        <v>11</v>
      </c>
      <c r="C14" s="37" t="s">
        <v>448</v>
      </c>
      <c r="D14" s="31" t="s">
        <v>447</v>
      </c>
      <c r="E14" s="37" t="s">
        <v>179</v>
      </c>
      <c r="F14" s="66"/>
    </row>
    <row r="15" spans="2:9" s="5" customFormat="1" ht="20.100000000000001" customHeight="1" x14ac:dyDescent="0.25">
      <c r="B15" s="47">
        <f t="shared" si="0"/>
        <v>12</v>
      </c>
      <c r="C15" s="37" t="s">
        <v>581</v>
      </c>
      <c r="D15" s="31" t="s">
        <v>218</v>
      </c>
      <c r="E15" s="37" t="s">
        <v>582</v>
      </c>
      <c r="F15" s="66"/>
    </row>
    <row r="16" spans="2:9" s="5" customFormat="1" ht="20.100000000000001" customHeight="1" x14ac:dyDescent="0.25">
      <c r="B16" s="47">
        <f t="shared" si="0"/>
        <v>13</v>
      </c>
      <c r="C16" s="37" t="s">
        <v>485</v>
      </c>
      <c r="D16" s="31" t="s">
        <v>15</v>
      </c>
      <c r="E16" s="37" t="s">
        <v>486</v>
      </c>
      <c r="F16" s="66"/>
    </row>
    <row r="17" spans="2:6" s="5" customFormat="1" ht="20.100000000000001" customHeight="1" x14ac:dyDescent="0.25">
      <c r="B17" s="47">
        <f t="shared" si="0"/>
        <v>14</v>
      </c>
      <c r="C17" s="33" t="s">
        <v>535</v>
      </c>
      <c r="D17" s="31" t="s">
        <v>534</v>
      </c>
      <c r="E17" s="33" t="s">
        <v>536</v>
      </c>
      <c r="F17" s="66"/>
    </row>
    <row r="18" spans="2:6" s="5" customFormat="1" ht="20.100000000000001" customHeight="1" x14ac:dyDescent="0.25">
      <c r="B18" s="47">
        <f t="shared" si="0"/>
        <v>15</v>
      </c>
      <c r="C18" s="33" t="s">
        <v>74</v>
      </c>
      <c r="D18" s="31" t="s">
        <v>73</v>
      </c>
      <c r="E18" s="33" t="s">
        <v>75</v>
      </c>
      <c r="F18" s="66"/>
    </row>
    <row r="19" spans="2:6" s="5" customFormat="1" ht="20.100000000000001" customHeight="1" x14ac:dyDescent="0.25">
      <c r="B19" s="47">
        <f t="shared" si="0"/>
        <v>16</v>
      </c>
      <c r="C19" s="33" t="s">
        <v>284</v>
      </c>
      <c r="D19" s="31" t="s">
        <v>79</v>
      </c>
      <c r="E19" s="33" t="s">
        <v>285</v>
      </c>
      <c r="F19" s="66"/>
    </row>
    <row r="20" spans="2:6" s="5" customFormat="1" ht="20.100000000000001" customHeight="1" x14ac:dyDescent="0.25">
      <c r="B20" s="47">
        <f t="shared" si="0"/>
        <v>17</v>
      </c>
      <c r="C20" s="37" t="s">
        <v>298</v>
      </c>
      <c r="D20" s="31" t="s">
        <v>21</v>
      </c>
      <c r="E20" s="37" t="s">
        <v>299</v>
      </c>
      <c r="F20" s="66"/>
    </row>
    <row r="21" spans="2:6" s="5" customFormat="1" ht="20.100000000000001" customHeight="1" x14ac:dyDescent="0.25">
      <c r="B21" s="47">
        <f t="shared" si="0"/>
        <v>18</v>
      </c>
      <c r="C21" s="33" t="s">
        <v>633</v>
      </c>
      <c r="D21" s="31" t="s">
        <v>417</v>
      </c>
      <c r="E21" s="33" t="s">
        <v>588</v>
      </c>
      <c r="F21" s="66"/>
    </row>
    <row r="22" spans="2:6" s="5" customFormat="1" ht="20.100000000000001" customHeight="1" x14ac:dyDescent="0.25">
      <c r="B22" s="47">
        <f t="shared" si="0"/>
        <v>19</v>
      </c>
      <c r="C22" s="37" t="s">
        <v>606</v>
      </c>
      <c r="D22" s="31" t="s">
        <v>605</v>
      </c>
      <c r="E22" s="37" t="s">
        <v>607</v>
      </c>
      <c r="F22" s="66"/>
    </row>
    <row r="23" spans="2:6" s="5" customFormat="1" ht="20.100000000000001" customHeight="1" x14ac:dyDescent="0.25">
      <c r="B23" s="47">
        <f t="shared" si="0"/>
        <v>20</v>
      </c>
      <c r="C23" s="33" t="s">
        <v>68</v>
      </c>
      <c r="D23" s="31" t="s">
        <v>67</v>
      </c>
      <c r="E23" s="33" t="s">
        <v>69</v>
      </c>
      <c r="F23" s="66"/>
    </row>
    <row r="24" spans="2:6" s="5" customFormat="1" ht="20.100000000000001" customHeight="1" x14ac:dyDescent="0.25">
      <c r="B24" s="47">
        <f t="shared" si="0"/>
        <v>21</v>
      </c>
      <c r="C24" s="37" t="s">
        <v>399</v>
      </c>
      <c r="D24" s="31" t="s">
        <v>16</v>
      </c>
      <c r="E24" s="37" t="s">
        <v>400</v>
      </c>
      <c r="F24" s="66"/>
    </row>
    <row r="25" spans="2:6" s="5" customFormat="1" ht="20.100000000000001" customHeight="1" x14ac:dyDescent="0.25">
      <c r="B25" s="47">
        <f t="shared" si="0"/>
        <v>22</v>
      </c>
      <c r="C25" s="37" t="s">
        <v>497</v>
      </c>
      <c r="D25" s="31" t="s">
        <v>33</v>
      </c>
      <c r="E25" s="37" t="s">
        <v>498</v>
      </c>
      <c r="F25" s="66"/>
    </row>
    <row r="26" spans="2:6" s="5" customFormat="1" ht="20.100000000000001" customHeight="1" x14ac:dyDescent="0.25">
      <c r="B26" s="47">
        <f t="shared" si="0"/>
        <v>23</v>
      </c>
      <c r="C26" s="37" t="s">
        <v>212</v>
      </c>
      <c r="D26" s="31" t="s">
        <v>109</v>
      </c>
      <c r="E26" s="37" t="s">
        <v>213</v>
      </c>
      <c r="F26" s="66"/>
    </row>
    <row r="27" spans="2:6" s="5" customFormat="1" ht="20.100000000000001" customHeight="1" x14ac:dyDescent="0.25">
      <c r="B27" s="47">
        <f t="shared" si="0"/>
        <v>24</v>
      </c>
      <c r="C27" s="37" t="s">
        <v>330</v>
      </c>
      <c r="D27" s="31" t="s">
        <v>195</v>
      </c>
      <c r="E27" s="38" t="s">
        <v>331</v>
      </c>
      <c r="F27" s="66"/>
    </row>
    <row r="28" spans="2:6" s="6" customFormat="1" ht="20.100000000000001" customHeight="1" x14ac:dyDescent="0.25">
      <c r="B28" s="84">
        <f t="shared" si="0"/>
        <v>25</v>
      </c>
      <c r="C28" s="86"/>
      <c r="D28" s="86" t="s">
        <v>25</v>
      </c>
      <c r="E28" s="87"/>
      <c r="F28" s="66"/>
    </row>
    <row r="29" spans="2:6" s="5" customFormat="1" ht="20.100000000000001" customHeight="1" x14ac:dyDescent="0.25">
      <c r="B29" s="47">
        <f t="shared" si="0"/>
        <v>26</v>
      </c>
      <c r="C29" s="37" t="s">
        <v>563</v>
      </c>
      <c r="D29" s="31" t="s">
        <v>122</v>
      </c>
      <c r="E29" s="37" t="s">
        <v>564</v>
      </c>
      <c r="F29" s="66"/>
    </row>
    <row r="30" spans="2:6" s="5" customFormat="1" ht="20.100000000000001" customHeight="1" x14ac:dyDescent="0.25">
      <c r="B30" s="47">
        <f t="shared" si="0"/>
        <v>27</v>
      </c>
      <c r="C30" s="37" t="s">
        <v>515</v>
      </c>
      <c r="D30" s="31" t="s">
        <v>514</v>
      </c>
      <c r="E30" s="37" t="s">
        <v>516</v>
      </c>
      <c r="F30" s="66"/>
    </row>
    <row r="31" spans="2:6" s="5" customFormat="1" ht="20.100000000000001" customHeight="1" x14ac:dyDescent="0.25">
      <c r="B31" s="47">
        <f t="shared" si="0"/>
        <v>28</v>
      </c>
      <c r="C31" s="33" t="s">
        <v>82</v>
      </c>
      <c r="D31" s="31" t="s">
        <v>81</v>
      </c>
      <c r="E31" s="33" t="s">
        <v>83</v>
      </c>
      <c r="F31" s="66"/>
    </row>
    <row r="32" spans="2:6" s="5" customFormat="1" ht="20.100000000000001" customHeight="1" x14ac:dyDescent="0.25">
      <c r="B32" s="47">
        <f t="shared" si="0"/>
        <v>29</v>
      </c>
      <c r="C32" s="37" t="s">
        <v>476</v>
      </c>
      <c r="D32" s="31" t="s">
        <v>425</v>
      </c>
      <c r="E32" s="37" t="s">
        <v>477</v>
      </c>
      <c r="F32" s="66"/>
    </row>
    <row r="33" spans="2:6" s="5" customFormat="1" ht="20.100000000000001" customHeight="1" x14ac:dyDescent="0.25">
      <c r="B33" s="47">
        <f t="shared" si="0"/>
        <v>30</v>
      </c>
      <c r="C33" s="33" t="s">
        <v>339</v>
      </c>
      <c r="D33" s="31" t="s">
        <v>338</v>
      </c>
      <c r="E33" s="33" t="s">
        <v>340</v>
      </c>
      <c r="F33" s="66"/>
    </row>
    <row r="34" spans="2:6" s="5" customFormat="1" ht="20.100000000000001" customHeight="1" x14ac:dyDescent="0.25">
      <c r="B34" s="84">
        <f t="shared" si="0"/>
        <v>31</v>
      </c>
      <c r="C34" s="88" t="s">
        <v>643</v>
      </c>
      <c r="D34" s="66" t="s">
        <v>642</v>
      </c>
      <c r="E34" s="66"/>
      <c r="F34" s="66"/>
    </row>
  </sheetData>
  <mergeCells count="7">
    <mergeCell ref="I2:I3"/>
    <mergeCell ref="B2:B3"/>
    <mergeCell ref="C2:C3"/>
    <mergeCell ref="D2:D3"/>
    <mergeCell ref="E2:E3"/>
    <mergeCell ref="F2:F3"/>
    <mergeCell ref="H2:H3"/>
  </mergeCells>
  <pageMargins left="1.94" right="0.25" top="0.75" bottom="0.75" header="0.3" footer="0.3"/>
  <pageSetup paperSize="9" scale="85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34"/>
  <sheetViews>
    <sheetView topLeftCell="A10" workbookViewId="0">
      <selection activeCell="B34" sqref="B34:F34"/>
    </sheetView>
  </sheetViews>
  <sheetFormatPr defaultRowHeight="15" x14ac:dyDescent="0.25"/>
  <cols>
    <col min="1" max="2" width="9.140625" style="1"/>
    <col min="3" max="3" width="12.42578125" style="1" bestFit="1" customWidth="1"/>
    <col min="4" max="4" width="39.140625" style="1" bestFit="1" customWidth="1"/>
    <col min="5" max="5" width="20.42578125" style="1" bestFit="1" customWidth="1"/>
    <col min="6" max="6" width="15.5703125" style="1" bestFit="1" customWidth="1"/>
    <col min="7" max="8" width="9.140625" style="1"/>
    <col min="9" max="9" width="17.7109375" style="1" customWidth="1"/>
    <col min="10" max="16384" width="9.140625" style="1"/>
  </cols>
  <sheetData>
    <row r="2" spans="2:9" ht="9.75" customHeight="1" x14ac:dyDescent="0.25">
      <c r="B2" s="103" t="s">
        <v>1112</v>
      </c>
      <c r="C2" s="103" t="s">
        <v>1113</v>
      </c>
      <c r="D2" s="103" t="s">
        <v>1114</v>
      </c>
      <c r="E2" s="103" t="s">
        <v>1115</v>
      </c>
      <c r="F2" s="103" t="s">
        <v>1116</v>
      </c>
      <c r="G2"/>
      <c r="H2" s="103" t="s">
        <v>1117</v>
      </c>
      <c r="I2" s="103" t="s">
        <v>1118</v>
      </c>
    </row>
    <row r="3" spans="2:9" ht="35.25" customHeight="1" x14ac:dyDescent="0.25">
      <c r="B3" s="103"/>
      <c r="C3" s="103"/>
      <c r="D3" s="103"/>
      <c r="E3" s="103"/>
      <c r="F3" s="103"/>
      <c r="G3"/>
      <c r="H3" s="103"/>
      <c r="I3" s="103"/>
    </row>
    <row r="4" spans="2:9" s="6" customFormat="1" ht="20.100000000000001" customHeight="1" x14ac:dyDescent="0.25">
      <c r="B4" s="47">
        <v>1</v>
      </c>
      <c r="C4" s="33" t="s">
        <v>144</v>
      </c>
      <c r="D4" s="31" t="s">
        <v>97</v>
      </c>
      <c r="E4" s="33" t="s">
        <v>145</v>
      </c>
      <c r="F4" s="30" t="s">
        <v>1</v>
      </c>
      <c r="G4"/>
      <c r="H4" s="67">
        <f>COUNTIF(F4:F37,"L")</f>
        <v>12</v>
      </c>
      <c r="I4" s="68" t="s">
        <v>1120</v>
      </c>
    </row>
    <row r="5" spans="2:9" s="6" customFormat="1" ht="20.100000000000001" customHeight="1" x14ac:dyDescent="0.25">
      <c r="B5" s="47">
        <f>1+B4</f>
        <v>2</v>
      </c>
      <c r="C5" s="33" t="s">
        <v>264</v>
      </c>
      <c r="D5" s="31" t="s">
        <v>114</v>
      </c>
      <c r="E5" s="33" t="s">
        <v>265</v>
      </c>
      <c r="F5" s="30" t="s">
        <v>0</v>
      </c>
      <c r="G5"/>
      <c r="H5" s="69">
        <f>COUNTIF(F4:F37,"P")</f>
        <v>19</v>
      </c>
      <c r="I5" s="70" t="s">
        <v>1121</v>
      </c>
    </row>
    <row r="6" spans="2:9" s="6" customFormat="1" ht="20.100000000000001" customHeight="1" x14ac:dyDescent="0.25">
      <c r="B6" s="47">
        <f t="shared" ref="B6:B34" si="0">1+B5</f>
        <v>3</v>
      </c>
      <c r="C6" s="33" t="s">
        <v>403</v>
      </c>
      <c r="D6" s="31" t="s">
        <v>28</v>
      </c>
      <c r="E6" s="33" t="s">
        <v>404</v>
      </c>
      <c r="F6" s="30" t="s">
        <v>0</v>
      </c>
      <c r="G6"/>
      <c r="H6" s="71">
        <f>SUM(H4:H5)</f>
        <v>31</v>
      </c>
      <c r="I6" s="71" t="s">
        <v>1122</v>
      </c>
    </row>
    <row r="7" spans="2:9" s="6" customFormat="1" ht="20.100000000000001" customHeight="1" x14ac:dyDescent="0.25">
      <c r="B7" s="47">
        <f t="shared" si="0"/>
        <v>4</v>
      </c>
      <c r="C7" s="33" t="s">
        <v>277</v>
      </c>
      <c r="D7" s="31" t="s">
        <v>276</v>
      </c>
      <c r="E7" s="33" t="s">
        <v>278</v>
      </c>
      <c r="F7" s="30" t="s">
        <v>1</v>
      </c>
    </row>
    <row r="8" spans="2:9" s="6" customFormat="1" ht="20.100000000000001" customHeight="1" x14ac:dyDescent="0.25">
      <c r="B8" s="47">
        <f t="shared" si="0"/>
        <v>5</v>
      </c>
      <c r="C8" s="33" t="s">
        <v>429</v>
      </c>
      <c r="D8" s="31" t="s">
        <v>42</v>
      </c>
      <c r="E8" s="33" t="s">
        <v>430</v>
      </c>
      <c r="F8" s="30" t="s">
        <v>0</v>
      </c>
    </row>
    <row r="9" spans="2:9" s="6" customFormat="1" ht="20.100000000000001" customHeight="1" x14ac:dyDescent="0.25">
      <c r="B9" s="47">
        <f t="shared" si="0"/>
        <v>6</v>
      </c>
      <c r="C9" s="33" t="s">
        <v>279</v>
      </c>
      <c r="D9" s="31" t="s">
        <v>63</v>
      </c>
      <c r="E9" s="33" t="s">
        <v>240</v>
      </c>
      <c r="F9" s="30" t="s">
        <v>0</v>
      </c>
    </row>
    <row r="10" spans="2:9" s="6" customFormat="1" ht="20.100000000000001" customHeight="1" x14ac:dyDescent="0.25">
      <c r="B10" s="84">
        <f t="shared" si="0"/>
        <v>7</v>
      </c>
      <c r="C10" s="87"/>
      <c r="D10" s="86" t="s">
        <v>44</v>
      </c>
      <c r="E10" s="87"/>
      <c r="F10" s="83" t="s">
        <v>1</v>
      </c>
    </row>
    <row r="11" spans="2:9" s="6" customFormat="1" ht="20.100000000000001" customHeight="1" x14ac:dyDescent="0.25">
      <c r="B11" s="47">
        <f t="shared" si="0"/>
        <v>8</v>
      </c>
      <c r="C11" s="33" t="s">
        <v>357</v>
      </c>
      <c r="D11" s="31" t="s">
        <v>86</v>
      </c>
      <c r="E11" s="33" t="s">
        <v>358</v>
      </c>
      <c r="F11" s="30" t="s">
        <v>0</v>
      </c>
    </row>
    <row r="12" spans="2:9" s="6" customFormat="1" ht="20.100000000000001" customHeight="1" x14ac:dyDescent="0.25">
      <c r="B12" s="47">
        <f t="shared" si="0"/>
        <v>9</v>
      </c>
      <c r="C12" s="33" t="s">
        <v>132</v>
      </c>
      <c r="D12" s="31" t="s">
        <v>131</v>
      </c>
      <c r="E12" s="33" t="s">
        <v>133</v>
      </c>
      <c r="F12" s="30" t="s">
        <v>0</v>
      </c>
    </row>
    <row r="13" spans="2:9" s="6" customFormat="1" ht="20.100000000000001" customHeight="1" x14ac:dyDescent="0.25">
      <c r="B13" s="47">
        <f t="shared" si="0"/>
        <v>10</v>
      </c>
      <c r="C13" s="33" t="s">
        <v>518</v>
      </c>
      <c r="D13" s="31" t="s">
        <v>517</v>
      </c>
      <c r="E13" s="33" t="s">
        <v>477</v>
      </c>
      <c r="F13" s="30" t="s">
        <v>0</v>
      </c>
    </row>
    <row r="14" spans="2:9" s="6" customFormat="1" ht="20.100000000000001" customHeight="1" x14ac:dyDescent="0.25">
      <c r="B14" s="47">
        <f t="shared" si="0"/>
        <v>11</v>
      </c>
      <c r="C14" s="33" t="s">
        <v>303</v>
      </c>
      <c r="D14" s="32" t="s">
        <v>40</v>
      </c>
      <c r="E14" s="33" t="s">
        <v>304</v>
      </c>
      <c r="F14" s="30" t="s">
        <v>1</v>
      </c>
    </row>
    <row r="15" spans="2:9" s="6" customFormat="1" ht="20.100000000000001" customHeight="1" x14ac:dyDescent="0.25">
      <c r="B15" s="47">
        <f t="shared" si="0"/>
        <v>12</v>
      </c>
      <c r="C15" s="33" t="s">
        <v>273</v>
      </c>
      <c r="D15" s="31" t="s">
        <v>116</v>
      </c>
      <c r="E15" s="33" t="s">
        <v>274</v>
      </c>
      <c r="F15" s="30" t="s">
        <v>1</v>
      </c>
    </row>
    <row r="16" spans="2:9" s="6" customFormat="1" ht="20.100000000000001" customHeight="1" x14ac:dyDescent="0.25">
      <c r="B16" s="47">
        <f t="shared" si="0"/>
        <v>13</v>
      </c>
      <c r="C16" s="33" t="s">
        <v>147</v>
      </c>
      <c r="D16" s="31" t="s">
        <v>58</v>
      </c>
      <c r="E16" s="33" t="s">
        <v>179</v>
      </c>
      <c r="F16" s="30" t="s">
        <v>1</v>
      </c>
    </row>
    <row r="17" spans="2:6" s="6" customFormat="1" ht="20.100000000000001" customHeight="1" x14ac:dyDescent="0.25">
      <c r="B17" s="47">
        <f t="shared" si="0"/>
        <v>14</v>
      </c>
      <c r="C17" s="33" t="s">
        <v>272</v>
      </c>
      <c r="D17" s="31" t="s">
        <v>105</v>
      </c>
      <c r="E17" s="33" t="s">
        <v>249</v>
      </c>
      <c r="F17" s="30" t="s">
        <v>1</v>
      </c>
    </row>
    <row r="18" spans="2:6" s="6" customFormat="1" ht="20.100000000000001" customHeight="1" x14ac:dyDescent="0.25">
      <c r="B18" s="47">
        <f t="shared" si="0"/>
        <v>15</v>
      </c>
      <c r="C18" s="33" t="s">
        <v>209</v>
      </c>
      <c r="D18" s="31" t="s">
        <v>53</v>
      </c>
      <c r="E18" s="33" t="s">
        <v>145</v>
      </c>
      <c r="F18" s="30" t="s">
        <v>0</v>
      </c>
    </row>
    <row r="19" spans="2:6" s="6" customFormat="1" ht="20.100000000000001" customHeight="1" x14ac:dyDescent="0.25">
      <c r="B19" s="47">
        <f t="shared" si="0"/>
        <v>16</v>
      </c>
      <c r="C19" s="42" t="s">
        <v>243</v>
      </c>
      <c r="D19" s="41" t="s">
        <v>85</v>
      </c>
      <c r="E19" s="42" t="s">
        <v>245</v>
      </c>
      <c r="F19" s="40" t="s">
        <v>1</v>
      </c>
    </row>
    <row r="20" spans="2:6" s="6" customFormat="1" ht="20.100000000000001" customHeight="1" x14ac:dyDescent="0.25">
      <c r="B20" s="47">
        <f t="shared" si="0"/>
        <v>17</v>
      </c>
      <c r="C20" s="33" t="s">
        <v>157</v>
      </c>
      <c r="D20" s="31" t="s">
        <v>156</v>
      </c>
      <c r="E20" s="33" t="s">
        <v>159</v>
      </c>
      <c r="F20" s="30" t="s">
        <v>0</v>
      </c>
    </row>
    <row r="21" spans="2:6" s="6" customFormat="1" ht="20.100000000000001" customHeight="1" x14ac:dyDescent="0.25">
      <c r="B21" s="47">
        <f t="shared" si="0"/>
        <v>18</v>
      </c>
      <c r="C21" s="33" t="s">
        <v>135</v>
      </c>
      <c r="D21" s="31" t="s">
        <v>134</v>
      </c>
      <c r="E21" s="33" t="s">
        <v>136</v>
      </c>
      <c r="F21" s="30" t="s">
        <v>0</v>
      </c>
    </row>
    <row r="22" spans="2:6" s="6" customFormat="1" ht="20.100000000000001" customHeight="1" x14ac:dyDescent="0.25">
      <c r="B22" s="47">
        <f t="shared" si="0"/>
        <v>19</v>
      </c>
      <c r="C22" s="33" t="s">
        <v>621</v>
      </c>
      <c r="D22" s="31" t="s">
        <v>626</v>
      </c>
      <c r="E22" s="33" t="s">
        <v>622</v>
      </c>
      <c r="F22" s="30" t="s">
        <v>0</v>
      </c>
    </row>
    <row r="23" spans="2:6" s="6" customFormat="1" ht="20.100000000000001" customHeight="1" x14ac:dyDescent="0.25">
      <c r="B23" s="47">
        <f t="shared" si="0"/>
        <v>20</v>
      </c>
      <c r="C23" s="33" t="s">
        <v>629</v>
      </c>
      <c r="D23" s="31" t="s">
        <v>294</v>
      </c>
      <c r="E23" s="33" t="s">
        <v>630</v>
      </c>
      <c r="F23" s="30" t="s">
        <v>0</v>
      </c>
    </row>
    <row r="24" spans="2:6" s="6" customFormat="1" ht="20.100000000000001" customHeight="1" x14ac:dyDescent="0.25">
      <c r="B24" s="47">
        <f t="shared" si="0"/>
        <v>21</v>
      </c>
      <c r="C24" s="33" t="s">
        <v>4</v>
      </c>
      <c r="D24" s="31" t="s">
        <v>3</v>
      </c>
      <c r="E24" s="33" t="s">
        <v>332</v>
      </c>
      <c r="F24" s="30" t="s">
        <v>0</v>
      </c>
    </row>
    <row r="25" spans="2:6" s="6" customFormat="1" ht="20.100000000000001" customHeight="1" x14ac:dyDescent="0.25">
      <c r="B25" s="47">
        <f t="shared" si="0"/>
        <v>22</v>
      </c>
      <c r="C25" s="33" t="s">
        <v>247</v>
      </c>
      <c r="D25" s="31" t="s">
        <v>246</v>
      </c>
      <c r="E25" s="33" t="s">
        <v>228</v>
      </c>
      <c r="F25" s="30" t="s">
        <v>1</v>
      </c>
    </row>
    <row r="26" spans="2:6" s="6" customFormat="1" ht="20.100000000000001" customHeight="1" x14ac:dyDescent="0.25">
      <c r="B26" s="84">
        <f t="shared" si="0"/>
        <v>23</v>
      </c>
      <c r="C26" s="87" t="s">
        <v>226</v>
      </c>
      <c r="D26" s="86" t="s">
        <v>359</v>
      </c>
      <c r="E26" s="81"/>
      <c r="F26" s="83" t="s">
        <v>0</v>
      </c>
    </row>
    <row r="27" spans="2:6" s="6" customFormat="1" ht="20.100000000000001" customHeight="1" x14ac:dyDescent="0.25">
      <c r="B27" s="47">
        <f t="shared" si="0"/>
        <v>24</v>
      </c>
      <c r="C27" s="33" t="s">
        <v>316</v>
      </c>
      <c r="D27" s="31" t="s">
        <v>118</v>
      </c>
      <c r="E27" s="33" t="s">
        <v>317</v>
      </c>
      <c r="F27" s="30" t="s">
        <v>1</v>
      </c>
    </row>
    <row r="28" spans="2:6" s="6" customFormat="1" ht="20.100000000000001" customHeight="1" x14ac:dyDescent="0.25">
      <c r="B28" s="47">
        <f t="shared" si="0"/>
        <v>25</v>
      </c>
      <c r="C28" s="33" t="s">
        <v>380</v>
      </c>
      <c r="D28" s="31" t="s">
        <v>258</v>
      </c>
      <c r="E28" s="33" t="s">
        <v>381</v>
      </c>
      <c r="F28" s="30" t="s">
        <v>0</v>
      </c>
    </row>
    <row r="29" spans="2:6" s="6" customFormat="1" ht="20.100000000000001" customHeight="1" x14ac:dyDescent="0.25">
      <c r="B29" s="47">
        <f t="shared" si="0"/>
        <v>26</v>
      </c>
      <c r="C29" s="33" t="s">
        <v>394</v>
      </c>
      <c r="D29" s="31" t="s">
        <v>263</v>
      </c>
      <c r="E29" s="33" t="s">
        <v>395</v>
      </c>
      <c r="F29" s="30" t="s">
        <v>0</v>
      </c>
    </row>
    <row r="30" spans="2:6" s="6" customFormat="1" ht="20.100000000000001" customHeight="1" x14ac:dyDescent="0.25">
      <c r="B30" s="47">
        <f t="shared" si="0"/>
        <v>27</v>
      </c>
      <c r="C30" s="33" t="s">
        <v>442</v>
      </c>
      <c r="D30" s="31" t="s">
        <v>48</v>
      </c>
      <c r="E30" s="33" t="s">
        <v>443</v>
      </c>
      <c r="F30" s="30" t="s">
        <v>0</v>
      </c>
    </row>
    <row r="31" spans="2:6" s="6" customFormat="1" ht="20.100000000000001" customHeight="1" x14ac:dyDescent="0.25">
      <c r="B31" s="47">
        <f t="shared" si="0"/>
        <v>28</v>
      </c>
      <c r="C31" s="33" t="s">
        <v>350</v>
      </c>
      <c r="D31" s="31" t="s">
        <v>38</v>
      </c>
      <c r="E31" s="33" t="s">
        <v>351</v>
      </c>
      <c r="F31" s="30" t="s">
        <v>0</v>
      </c>
    </row>
    <row r="32" spans="2:6" s="6" customFormat="1" ht="20.100000000000001" customHeight="1" x14ac:dyDescent="0.25">
      <c r="B32" s="47">
        <f t="shared" si="0"/>
        <v>29</v>
      </c>
      <c r="C32" s="33" t="s">
        <v>445</v>
      </c>
      <c r="D32" s="31" t="s">
        <v>47</v>
      </c>
      <c r="E32" s="33" t="s">
        <v>446</v>
      </c>
      <c r="F32" s="30" t="s">
        <v>0</v>
      </c>
    </row>
    <row r="33" spans="2:6" s="6" customFormat="1" ht="20.100000000000001" customHeight="1" x14ac:dyDescent="0.25">
      <c r="B33" s="47">
        <f t="shared" si="0"/>
        <v>30</v>
      </c>
      <c r="C33" s="33" t="s">
        <v>450</v>
      </c>
      <c r="D33" s="31" t="s">
        <v>449</v>
      </c>
      <c r="E33" s="33" t="s">
        <v>451</v>
      </c>
      <c r="F33" s="30" t="s">
        <v>1</v>
      </c>
    </row>
    <row r="34" spans="2:6" ht="15.75" x14ac:dyDescent="0.25">
      <c r="B34" s="84">
        <f t="shared" si="0"/>
        <v>31</v>
      </c>
      <c r="C34" s="89" t="s">
        <v>645</v>
      </c>
      <c r="D34" s="90" t="s">
        <v>644</v>
      </c>
      <c r="E34" s="91"/>
      <c r="F34" s="92" t="s">
        <v>1</v>
      </c>
    </row>
  </sheetData>
  <mergeCells count="7">
    <mergeCell ref="I2:I3"/>
    <mergeCell ref="B2:B3"/>
    <mergeCell ref="C2:C3"/>
    <mergeCell ref="D2:D3"/>
    <mergeCell ref="E2:E3"/>
    <mergeCell ref="F2:F3"/>
    <mergeCell ref="H2:H3"/>
  </mergeCells>
  <pageMargins left="0.51" right="0.19" top="0.75" bottom="0.75" header="0.3" footer="0.3"/>
  <pageSetup paperSize="9" scale="85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S65"/>
  <sheetViews>
    <sheetView topLeftCell="J22" workbookViewId="0">
      <selection activeCell="L30" sqref="L30:P30"/>
    </sheetView>
  </sheetViews>
  <sheetFormatPr defaultRowHeight="15" x14ac:dyDescent="0.25"/>
  <cols>
    <col min="1" max="1" width="5.7109375" customWidth="1"/>
    <col min="2" max="2" width="8" bestFit="1" customWidth="1"/>
    <col min="3" max="3" width="7" style="2" bestFit="1" customWidth="1"/>
    <col min="4" max="4" width="32.7109375" bestFit="1" customWidth="1"/>
    <col min="5" max="5" width="11.28515625" customWidth="1"/>
    <col min="6" max="6" width="10.140625" bestFit="1" customWidth="1"/>
    <col min="7" max="7" width="15.7109375" bestFit="1" customWidth="1"/>
    <col min="8" max="8" width="3" bestFit="1" customWidth="1"/>
    <col min="9" max="9" width="23.140625" bestFit="1" customWidth="1"/>
    <col min="13" max="13" width="12.42578125" bestFit="1" customWidth="1"/>
    <col min="14" max="14" width="39.140625" bestFit="1" customWidth="1"/>
    <col min="15" max="15" width="20.42578125" bestFit="1" customWidth="1"/>
    <col min="16" max="16" width="15.5703125" bestFit="1" customWidth="1"/>
    <col min="19" max="19" width="17.7109375" customWidth="1"/>
  </cols>
  <sheetData>
    <row r="3" spans="1:19" ht="4.5" customHeight="1" x14ac:dyDescent="0.25"/>
    <row r="4" spans="1:19" ht="20.100000000000001" customHeight="1" x14ac:dyDescent="0.25">
      <c r="A4" s="8">
        <v>1</v>
      </c>
      <c r="B4" s="14">
        <v>25.724699999999999</v>
      </c>
      <c r="C4" s="8" t="s">
        <v>2</v>
      </c>
      <c r="F4" s="15" t="s">
        <v>509</v>
      </c>
      <c r="I4" s="18"/>
      <c r="L4" s="103" t="s">
        <v>1112</v>
      </c>
      <c r="M4" s="103" t="s">
        <v>1113</v>
      </c>
      <c r="N4" s="103" t="s">
        <v>1114</v>
      </c>
      <c r="O4" s="103" t="s">
        <v>1115</v>
      </c>
      <c r="P4" s="103" t="s">
        <v>1116</v>
      </c>
      <c r="R4" s="103" t="s">
        <v>1117</v>
      </c>
      <c r="S4" s="103" t="s">
        <v>1118</v>
      </c>
    </row>
    <row r="5" spans="1:19" ht="20.100000000000001" customHeight="1" x14ac:dyDescent="0.25">
      <c r="A5" s="8">
        <v>2</v>
      </c>
      <c r="B5" s="14">
        <v>25.724799999999998</v>
      </c>
      <c r="C5" s="8" t="s">
        <v>2</v>
      </c>
      <c r="F5" s="15" t="s">
        <v>5</v>
      </c>
      <c r="I5" s="18" t="s">
        <v>188</v>
      </c>
      <c r="L5" s="103"/>
      <c r="M5" s="103"/>
      <c r="N5" s="103"/>
      <c r="O5" s="103"/>
      <c r="P5" s="103"/>
      <c r="R5" s="103"/>
      <c r="S5" s="103"/>
    </row>
    <row r="6" spans="1:19" x14ac:dyDescent="0.25">
      <c r="A6" s="8">
        <v>3</v>
      </c>
      <c r="B6" s="14">
        <v>25.724900000000002</v>
      </c>
      <c r="C6" s="8" t="s">
        <v>2</v>
      </c>
      <c r="F6" s="15" t="s">
        <v>202</v>
      </c>
      <c r="I6" s="18" t="s">
        <v>12</v>
      </c>
      <c r="L6" s="47">
        <v>1</v>
      </c>
      <c r="M6" s="16" t="s">
        <v>508</v>
      </c>
      <c r="N6" s="74" t="s">
        <v>7</v>
      </c>
      <c r="O6" s="16" t="s">
        <v>510</v>
      </c>
      <c r="P6" s="19" t="s">
        <v>1</v>
      </c>
      <c r="R6" s="67">
        <f>COUNTIF(P6:P39,"L")</f>
        <v>10</v>
      </c>
      <c r="S6" s="68" t="s">
        <v>1120</v>
      </c>
    </row>
    <row r="7" spans="1:19" ht="20.100000000000001" customHeight="1" x14ac:dyDescent="0.25">
      <c r="A7" s="8">
        <v>4</v>
      </c>
      <c r="B7" s="20" t="s">
        <v>640</v>
      </c>
      <c r="C7" s="8" t="s">
        <v>2</v>
      </c>
      <c r="F7" s="15" t="s">
        <v>267</v>
      </c>
      <c r="I7" s="18" t="s">
        <v>387</v>
      </c>
      <c r="L7" s="47">
        <f>1+L6</f>
        <v>2</v>
      </c>
      <c r="M7" s="16" t="s">
        <v>180</v>
      </c>
      <c r="N7" s="74" t="s">
        <v>55</v>
      </c>
      <c r="O7" s="16" t="s">
        <v>181</v>
      </c>
      <c r="P7" s="19" t="s">
        <v>1</v>
      </c>
      <c r="R7" s="69">
        <f>COUNTIF(P6:P39,"P")</f>
        <v>22</v>
      </c>
      <c r="S7" s="70" t="s">
        <v>1121</v>
      </c>
    </row>
    <row r="8" spans="1:19" ht="20.100000000000001" customHeight="1" x14ac:dyDescent="0.25">
      <c r="A8" s="8">
        <v>5</v>
      </c>
      <c r="B8" s="14">
        <v>25.725100000000001</v>
      </c>
      <c r="C8" s="8" t="s">
        <v>2</v>
      </c>
      <c r="F8" s="15" t="s">
        <v>283</v>
      </c>
      <c r="I8" s="18" t="s">
        <v>397</v>
      </c>
      <c r="L8" s="47">
        <f t="shared" ref="L8:L37" si="0">1+L7</f>
        <v>3</v>
      </c>
      <c r="M8" s="16" t="s">
        <v>201</v>
      </c>
      <c r="N8" s="93" t="s">
        <v>200</v>
      </c>
      <c r="O8" s="16" t="s">
        <v>203</v>
      </c>
      <c r="P8" s="19" t="s">
        <v>0</v>
      </c>
      <c r="R8" s="71">
        <f>SUM(R6:R7)</f>
        <v>32</v>
      </c>
      <c r="S8" s="71" t="s">
        <v>1122</v>
      </c>
    </row>
    <row r="9" spans="1:19" ht="20.100000000000001" customHeight="1" x14ac:dyDescent="0.25">
      <c r="A9" s="8">
        <v>6</v>
      </c>
      <c r="B9" s="14">
        <v>25.725200000000001</v>
      </c>
      <c r="C9" s="8" t="s">
        <v>2</v>
      </c>
      <c r="F9" s="15" t="s">
        <v>5</v>
      </c>
      <c r="I9" s="18" t="s">
        <v>153</v>
      </c>
      <c r="L9" s="47">
        <f t="shared" si="0"/>
        <v>4</v>
      </c>
      <c r="M9" s="16" t="s">
        <v>266</v>
      </c>
      <c r="N9" s="74" t="s">
        <v>197</v>
      </c>
      <c r="O9" s="21" t="s">
        <v>268</v>
      </c>
      <c r="P9" s="19" t="s">
        <v>1</v>
      </c>
    </row>
    <row r="10" spans="1:19" ht="20.100000000000001" customHeight="1" x14ac:dyDescent="0.25">
      <c r="A10" s="8">
        <v>7</v>
      </c>
      <c r="B10" s="14">
        <v>25.725300000000001</v>
      </c>
      <c r="C10" s="8" t="s">
        <v>2</v>
      </c>
      <c r="F10" s="15" t="s">
        <v>167</v>
      </c>
      <c r="I10" s="18" t="s">
        <v>164</v>
      </c>
      <c r="L10" s="47">
        <f t="shared" si="0"/>
        <v>5</v>
      </c>
      <c r="M10" s="16" t="s">
        <v>479</v>
      </c>
      <c r="N10" s="74" t="s">
        <v>478</v>
      </c>
      <c r="O10" s="16" t="s">
        <v>480</v>
      </c>
      <c r="P10" s="19" t="s">
        <v>1</v>
      </c>
    </row>
    <row r="11" spans="1:19" ht="20.100000000000001" customHeight="1" x14ac:dyDescent="0.25">
      <c r="A11" s="8">
        <v>8</v>
      </c>
      <c r="B11" s="14">
        <v>25.7254</v>
      </c>
      <c r="C11" s="8" t="s">
        <v>2</v>
      </c>
      <c r="F11" s="15" t="s">
        <v>206</v>
      </c>
      <c r="I11" s="18" t="s">
        <v>174</v>
      </c>
      <c r="L11" s="47">
        <f t="shared" si="0"/>
        <v>6</v>
      </c>
      <c r="M11" s="16" t="s">
        <v>390</v>
      </c>
      <c r="N11" s="74" t="s">
        <v>293</v>
      </c>
      <c r="O11" s="16" t="s">
        <v>391</v>
      </c>
      <c r="P11" s="19" t="s">
        <v>0</v>
      </c>
    </row>
    <row r="12" spans="1:19" ht="20.100000000000001" customHeight="1" x14ac:dyDescent="0.25">
      <c r="A12" s="8">
        <v>9</v>
      </c>
      <c r="B12" s="14">
        <v>25.7255</v>
      </c>
      <c r="C12" s="8" t="s">
        <v>2</v>
      </c>
      <c r="F12" s="15" t="s">
        <v>244</v>
      </c>
      <c r="I12" s="18" t="s">
        <v>72</v>
      </c>
      <c r="L12" s="47">
        <f t="shared" si="0"/>
        <v>7</v>
      </c>
      <c r="M12" s="16" t="s">
        <v>343</v>
      </c>
      <c r="N12" s="15" t="s">
        <v>111</v>
      </c>
      <c r="O12" s="16" t="s">
        <v>344</v>
      </c>
      <c r="P12" s="19" t="s">
        <v>1</v>
      </c>
    </row>
    <row r="13" spans="1:19" ht="20.100000000000001" customHeight="1" x14ac:dyDescent="0.25">
      <c r="A13" s="8">
        <v>10</v>
      </c>
      <c r="B13" s="14">
        <v>25.7256</v>
      </c>
      <c r="C13" s="8" t="s">
        <v>2</v>
      </c>
      <c r="F13" s="15" t="s">
        <v>542</v>
      </c>
      <c r="I13" s="18"/>
      <c r="L13" s="47">
        <f t="shared" si="0"/>
        <v>8</v>
      </c>
      <c r="M13" s="16" t="s">
        <v>205</v>
      </c>
      <c r="N13" s="15" t="s">
        <v>196</v>
      </c>
      <c r="O13" s="16" t="s">
        <v>207</v>
      </c>
      <c r="P13" s="19" t="s">
        <v>0</v>
      </c>
    </row>
    <row r="14" spans="1:19" ht="20.100000000000001" customHeight="1" x14ac:dyDescent="0.25">
      <c r="A14" s="8">
        <v>11</v>
      </c>
      <c r="B14" s="14">
        <v>25.7257</v>
      </c>
      <c r="C14" s="22" t="s">
        <v>318</v>
      </c>
      <c r="F14" s="15" t="s">
        <v>5</v>
      </c>
      <c r="I14" s="18" t="s">
        <v>77</v>
      </c>
      <c r="L14" s="47">
        <f t="shared" si="0"/>
        <v>9</v>
      </c>
      <c r="M14" s="16" t="s">
        <v>522</v>
      </c>
      <c r="N14" s="15" t="s">
        <v>61</v>
      </c>
      <c r="O14" s="16" t="s">
        <v>214</v>
      </c>
      <c r="P14" s="19" t="s">
        <v>0</v>
      </c>
    </row>
    <row r="15" spans="1:19" ht="20.100000000000001" customHeight="1" x14ac:dyDescent="0.25">
      <c r="A15" s="8">
        <v>12</v>
      </c>
      <c r="B15" s="14">
        <v>25.7258</v>
      </c>
      <c r="C15" s="8" t="s">
        <v>2</v>
      </c>
      <c r="F15" s="15" t="s">
        <v>385</v>
      </c>
      <c r="I15" s="18" t="s">
        <v>523</v>
      </c>
      <c r="L15" s="47">
        <f t="shared" si="0"/>
        <v>10</v>
      </c>
      <c r="M15" s="16" t="s">
        <v>541</v>
      </c>
      <c r="N15" s="24" t="s">
        <v>540</v>
      </c>
      <c r="O15" s="16" t="s">
        <v>543</v>
      </c>
      <c r="P15" s="19" t="s">
        <v>0</v>
      </c>
    </row>
    <row r="16" spans="1:19" ht="20.100000000000001" customHeight="1" x14ac:dyDescent="0.25">
      <c r="A16" s="8">
        <v>13</v>
      </c>
      <c r="B16" s="14">
        <v>25.725899999999999</v>
      </c>
      <c r="C16" s="8" t="s">
        <v>2</v>
      </c>
      <c r="F16" s="15" t="s">
        <v>5</v>
      </c>
      <c r="I16" s="18" t="s">
        <v>467</v>
      </c>
      <c r="L16" s="47">
        <f t="shared" si="0"/>
        <v>11</v>
      </c>
      <c r="M16" s="16" t="s">
        <v>319</v>
      </c>
      <c r="N16" s="15" t="s">
        <v>194</v>
      </c>
      <c r="O16" s="16" t="s">
        <v>320</v>
      </c>
      <c r="P16" s="19" t="s">
        <v>0</v>
      </c>
    </row>
    <row r="17" spans="1:16" ht="20.100000000000001" customHeight="1" x14ac:dyDescent="0.25">
      <c r="A17" s="8">
        <v>14</v>
      </c>
      <c r="B17" s="20" t="s">
        <v>641</v>
      </c>
      <c r="C17" s="8" t="s">
        <v>2</v>
      </c>
      <c r="F17" s="15" t="s">
        <v>5</v>
      </c>
      <c r="I17" s="18" t="s">
        <v>250</v>
      </c>
      <c r="L17" s="47">
        <f t="shared" si="0"/>
        <v>12</v>
      </c>
      <c r="M17" s="16" t="s">
        <v>384</v>
      </c>
      <c r="N17" s="15" t="s">
        <v>35</v>
      </c>
      <c r="O17" s="16" t="s">
        <v>386</v>
      </c>
      <c r="P17" s="19" t="s">
        <v>1</v>
      </c>
    </row>
    <row r="18" spans="1:16" ht="20.100000000000001" customHeight="1" x14ac:dyDescent="0.25">
      <c r="A18" s="8">
        <v>15</v>
      </c>
      <c r="B18" s="14">
        <v>25.726099999999999</v>
      </c>
      <c r="C18" s="8" t="s">
        <v>2</v>
      </c>
      <c r="F18" s="15" t="s">
        <v>5</v>
      </c>
      <c r="I18" s="18" t="s">
        <v>283</v>
      </c>
      <c r="L18" s="47">
        <f t="shared" si="0"/>
        <v>13</v>
      </c>
      <c r="M18" s="16" t="s">
        <v>162</v>
      </c>
      <c r="N18" s="15" t="s">
        <v>146</v>
      </c>
      <c r="O18" s="16" t="s">
        <v>163</v>
      </c>
      <c r="P18" s="19" t="s">
        <v>0</v>
      </c>
    </row>
    <row r="19" spans="1:16" ht="20.100000000000001" customHeight="1" x14ac:dyDescent="0.25">
      <c r="A19" s="8">
        <v>16</v>
      </c>
      <c r="B19" s="14">
        <v>25.726199999999999</v>
      </c>
      <c r="C19" s="8" t="s">
        <v>2</v>
      </c>
      <c r="F19" s="15" t="s">
        <v>5</v>
      </c>
      <c r="I19" s="18" t="s">
        <v>275</v>
      </c>
      <c r="L19" s="47">
        <f t="shared" si="0"/>
        <v>14</v>
      </c>
      <c r="M19" s="16" t="s">
        <v>248</v>
      </c>
      <c r="N19" s="15" t="s">
        <v>98</v>
      </c>
      <c r="O19" s="16" t="s">
        <v>249</v>
      </c>
      <c r="P19" s="19" t="s">
        <v>0</v>
      </c>
    </row>
    <row r="20" spans="1:16" ht="20.100000000000001" customHeight="1" x14ac:dyDescent="0.25">
      <c r="A20" s="8">
        <v>17</v>
      </c>
      <c r="B20" s="14">
        <v>25.726299999999998</v>
      </c>
      <c r="C20" s="8" t="s">
        <v>2</v>
      </c>
      <c r="F20" s="15" t="s">
        <v>5</v>
      </c>
      <c r="I20" s="18" t="s">
        <v>158</v>
      </c>
      <c r="L20" s="47">
        <f t="shared" si="0"/>
        <v>15</v>
      </c>
      <c r="M20" s="16" t="s">
        <v>333</v>
      </c>
      <c r="N20" s="15" t="s">
        <v>199</v>
      </c>
      <c r="O20" s="16" t="s">
        <v>334</v>
      </c>
      <c r="P20" s="19" t="s">
        <v>0</v>
      </c>
    </row>
    <row r="21" spans="1:16" ht="20.100000000000001" customHeight="1" x14ac:dyDescent="0.25">
      <c r="A21" s="8">
        <v>18</v>
      </c>
      <c r="B21" s="14">
        <v>25.726400000000002</v>
      </c>
      <c r="C21" s="8" t="s">
        <v>2</v>
      </c>
      <c r="F21" s="15" t="s">
        <v>239</v>
      </c>
      <c r="I21" s="18" t="s">
        <v>167</v>
      </c>
      <c r="L21" s="47">
        <f t="shared" si="0"/>
        <v>16</v>
      </c>
      <c r="M21" s="16" t="s">
        <v>414</v>
      </c>
      <c r="N21" s="15" t="s">
        <v>413</v>
      </c>
      <c r="O21" s="16" t="s">
        <v>415</v>
      </c>
      <c r="P21" s="19" t="s">
        <v>0</v>
      </c>
    </row>
    <row r="22" spans="1:16" ht="20.100000000000001" customHeight="1" x14ac:dyDescent="0.25">
      <c r="A22" s="8">
        <v>19</v>
      </c>
      <c r="B22" s="14">
        <v>25.726500000000001</v>
      </c>
      <c r="C22" s="8" t="s">
        <v>2</v>
      </c>
      <c r="F22" s="15" t="s">
        <v>5</v>
      </c>
      <c r="I22" s="18" t="s">
        <v>190</v>
      </c>
      <c r="L22" s="47">
        <f t="shared" si="0"/>
        <v>17</v>
      </c>
      <c r="M22" s="16" t="s">
        <v>373</v>
      </c>
      <c r="N22" s="15" t="s">
        <v>30</v>
      </c>
      <c r="O22" s="16" t="s">
        <v>374</v>
      </c>
      <c r="P22" s="19" t="s">
        <v>0</v>
      </c>
    </row>
    <row r="23" spans="1:16" ht="20.100000000000001" customHeight="1" x14ac:dyDescent="0.25">
      <c r="A23" s="8">
        <v>20</v>
      </c>
      <c r="B23" s="14">
        <v>25.726600000000001</v>
      </c>
      <c r="C23" s="8" t="s">
        <v>2</v>
      </c>
      <c r="F23" s="15" t="s">
        <v>296</v>
      </c>
      <c r="I23" s="18"/>
      <c r="L23" s="47">
        <f t="shared" si="0"/>
        <v>18</v>
      </c>
      <c r="M23" s="16" t="s">
        <v>238</v>
      </c>
      <c r="N23" s="15" t="s">
        <v>237</v>
      </c>
      <c r="O23" s="16" t="s">
        <v>240</v>
      </c>
      <c r="P23" s="19" t="s">
        <v>0</v>
      </c>
    </row>
    <row r="24" spans="1:16" ht="20.100000000000001" customHeight="1" x14ac:dyDescent="0.25">
      <c r="A24" s="8">
        <v>21</v>
      </c>
      <c r="B24" s="14">
        <v>25.726700000000001</v>
      </c>
      <c r="C24" s="8" t="s">
        <v>2</v>
      </c>
      <c r="F24" s="15" t="s">
        <v>5</v>
      </c>
      <c r="I24" s="18" t="s">
        <v>275</v>
      </c>
      <c r="L24" s="47">
        <f t="shared" si="0"/>
        <v>19</v>
      </c>
      <c r="M24" s="16" t="s">
        <v>574</v>
      </c>
      <c r="N24" s="15" t="s">
        <v>573</v>
      </c>
      <c r="O24" s="16" t="s">
        <v>575</v>
      </c>
      <c r="P24" s="19" t="s">
        <v>0</v>
      </c>
    </row>
    <row r="25" spans="1:16" ht="20.100000000000001" customHeight="1" x14ac:dyDescent="0.25">
      <c r="A25" s="8">
        <v>22</v>
      </c>
      <c r="B25" s="14">
        <v>25.726800000000001</v>
      </c>
      <c r="C25" s="8" t="s">
        <v>2</v>
      </c>
      <c r="F25" s="15" t="s">
        <v>397</v>
      </c>
      <c r="I25" s="18" t="s">
        <v>164</v>
      </c>
      <c r="L25" s="47">
        <f t="shared" si="0"/>
        <v>20</v>
      </c>
      <c r="M25" s="16" t="s">
        <v>221</v>
      </c>
      <c r="N25" s="74" t="s">
        <v>576</v>
      </c>
      <c r="O25" s="16" t="s">
        <v>297</v>
      </c>
      <c r="P25" s="19" t="s">
        <v>0</v>
      </c>
    </row>
    <row r="26" spans="1:16" ht="20.100000000000001" customHeight="1" x14ac:dyDescent="0.25">
      <c r="A26" s="8">
        <v>23</v>
      </c>
      <c r="B26" s="14">
        <v>25.726900000000001</v>
      </c>
      <c r="C26" s="8" t="s">
        <v>2</v>
      </c>
      <c r="F26" s="15" t="s">
        <v>5</v>
      </c>
      <c r="I26" s="18" t="s">
        <v>526</v>
      </c>
      <c r="L26" s="47">
        <f t="shared" si="0"/>
        <v>21</v>
      </c>
      <c r="M26" s="16" t="s">
        <v>501</v>
      </c>
      <c r="N26" s="74" t="s">
        <v>360</v>
      </c>
      <c r="O26" s="16" t="s">
        <v>502</v>
      </c>
      <c r="P26" s="19" t="s">
        <v>1</v>
      </c>
    </row>
    <row r="27" spans="1:16" ht="20.100000000000001" customHeight="1" x14ac:dyDescent="0.25">
      <c r="A27" s="8">
        <v>24</v>
      </c>
      <c r="B27" s="14">
        <v>25.727</v>
      </c>
      <c r="C27" s="8" t="s">
        <v>2</v>
      </c>
      <c r="F27" s="15" t="s">
        <v>5</v>
      </c>
      <c r="I27" s="18" t="s">
        <v>241</v>
      </c>
      <c r="L27" s="47">
        <f t="shared" si="0"/>
        <v>22</v>
      </c>
      <c r="M27" s="16" t="s">
        <v>396</v>
      </c>
      <c r="N27" s="74" t="s">
        <v>39</v>
      </c>
      <c r="O27" s="16" t="s">
        <v>398</v>
      </c>
      <c r="P27" s="19" t="s">
        <v>0</v>
      </c>
    </row>
    <row r="28" spans="1:16" ht="20.100000000000001" customHeight="1" x14ac:dyDescent="0.25">
      <c r="A28" s="8">
        <v>25</v>
      </c>
      <c r="B28" s="14">
        <v>25.7271</v>
      </c>
      <c r="C28" s="8" t="s">
        <v>2</v>
      </c>
      <c r="F28" s="15"/>
      <c r="G28" s="16"/>
      <c r="I28" s="18" t="s">
        <v>77</v>
      </c>
      <c r="L28" s="47">
        <f t="shared" si="0"/>
        <v>23</v>
      </c>
      <c r="M28" s="16" t="s">
        <v>154</v>
      </c>
      <c r="N28" s="74" t="s">
        <v>60</v>
      </c>
      <c r="O28" s="21" t="s">
        <v>155</v>
      </c>
      <c r="P28" s="19" t="s">
        <v>1</v>
      </c>
    </row>
    <row r="29" spans="1:16" ht="20.100000000000001" customHeight="1" x14ac:dyDescent="0.25">
      <c r="A29" s="8">
        <v>26</v>
      </c>
      <c r="B29" s="14">
        <v>25.7272</v>
      </c>
      <c r="C29" s="8" t="s">
        <v>2</v>
      </c>
      <c r="F29" s="15" t="s">
        <v>8</v>
      </c>
      <c r="G29" s="16" t="s">
        <v>356</v>
      </c>
      <c r="I29" s="18" t="s">
        <v>269</v>
      </c>
      <c r="L29" s="47">
        <f t="shared" si="0"/>
        <v>24</v>
      </c>
      <c r="M29" s="16" t="s">
        <v>345</v>
      </c>
      <c r="N29" s="74" t="s">
        <v>102</v>
      </c>
      <c r="O29" s="16" t="s">
        <v>346</v>
      </c>
      <c r="P29" s="19" t="s">
        <v>1</v>
      </c>
    </row>
    <row r="30" spans="1:16" ht="20.100000000000001" customHeight="1" x14ac:dyDescent="0.25">
      <c r="A30" s="8">
        <v>27</v>
      </c>
      <c r="B30" s="14">
        <v>25.7273</v>
      </c>
      <c r="C30" s="8" t="s">
        <v>2</v>
      </c>
      <c r="F30" s="15" t="s">
        <v>465</v>
      </c>
      <c r="G30" s="16" t="s">
        <v>466</v>
      </c>
      <c r="I30" s="18" t="s">
        <v>208</v>
      </c>
      <c r="L30" s="84">
        <f t="shared" si="0"/>
        <v>25</v>
      </c>
      <c r="M30" s="94"/>
      <c r="N30" s="44" t="s">
        <v>59</v>
      </c>
      <c r="O30" s="91"/>
      <c r="P30" s="57" t="s">
        <v>0</v>
      </c>
    </row>
    <row r="31" spans="1:16" ht="20.100000000000001" customHeight="1" x14ac:dyDescent="0.25">
      <c r="A31" s="8">
        <v>28</v>
      </c>
      <c r="B31" s="14">
        <v>25.727399999999999</v>
      </c>
      <c r="C31" s="8" t="s">
        <v>2</v>
      </c>
      <c r="F31" s="15" t="s">
        <v>282</v>
      </c>
      <c r="G31" s="16" t="s">
        <v>473</v>
      </c>
      <c r="I31" s="18" t="s">
        <v>222</v>
      </c>
      <c r="L31" s="47">
        <f t="shared" si="0"/>
        <v>26</v>
      </c>
      <c r="M31" s="16" t="s">
        <v>431</v>
      </c>
      <c r="N31" s="74" t="s">
        <v>422</v>
      </c>
      <c r="O31" s="91"/>
      <c r="P31" s="19" t="s">
        <v>0</v>
      </c>
    </row>
    <row r="32" spans="1:16" ht="20.100000000000001" customHeight="1" x14ac:dyDescent="0.25">
      <c r="A32" s="8">
        <v>29</v>
      </c>
      <c r="B32" s="14">
        <v>25.727499999999999</v>
      </c>
      <c r="C32" s="8" t="s">
        <v>2</v>
      </c>
      <c r="F32" s="15" t="s">
        <v>206</v>
      </c>
      <c r="G32" s="16" t="s">
        <v>525</v>
      </c>
      <c r="I32" s="18" t="s">
        <v>170</v>
      </c>
      <c r="L32" s="47">
        <f t="shared" si="0"/>
        <v>27</v>
      </c>
      <c r="M32" s="16" t="s">
        <v>464</v>
      </c>
      <c r="N32" s="74" t="s">
        <v>95</v>
      </c>
      <c r="O32" s="91"/>
      <c r="P32" s="19" t="s">
        <v>0</v>
      </c>
    </row>
    <row r="33" spans="1:16" ht="20.100000000000001" customHeight="1" x14ac:dyDescent="0.25">
      <c r="A33" s="8">
        <v>30</v>
      </c>
      <c r="B33" s="14">
        <v>25.727599999999999</v>
      </c>
      <c r="C33" s="8" t="s">
        <v>2</v>
      </c>
      <c r="F33" s="15" t="s">
        <v>5</v>
      </c>
      <c r="G33" s="16" t="s">
        <v>567</v>
      </c>
      <c r="I33" s="18" t="s">
        <v>141</v>
      </c>
      <c r="L33" s="47">
        <f t="shared" si="0"/>
        <v>28</v>
      </c>
      <c r="M33" s="16" t="s">
        <v>472</v>
      </c>
      <c r="N33" s="74" t="s">
        <v>424</v>
      </c>
      <c r="O33" s="91"/>
      <c r="P33" s="19" t="s">
        <v>1</v>
      </c>
    </row>
    <row r="34" spans="1:16" ht="20.100000000000001" customHeight="1" x14ac:dyDescent="0.25">
      <c r="A34" s="8">
        <v>31</v>
      </c>
      <c r="B34" s="14">
        <v>25.727699999999999</v>
      </c>
      <c r="C34" s="8" t="s">
        <v>2</v>
      </c>
      <c r="F34" s="15" t="s">
        <v>172</v>
      </c>
      <c r="G34" s="21" t="s">
        <v>173</v>
      </c>
      <c r="I34" s="18" t="s">
        <v>432</v>
      </c>
      <c r="L34" s="47">
        <f t="shared" si="0"/>
        <v>29</v>
      </c>
      <c r="M34" s="16" t="s">
        <v>524</v>
      </c>
      <c r="N34" s="74" t="s">
        <v>191</v>
      </c>
      <c r="O34" s="91"/>
      <c r="P34" s="19" t="s">
        <v>0</v>
      </c>
    </row>
    <row r="35" spans="1:16" ht="20.100000000000001" customHeight="1" x14ac:dyDescent="0.25">
      <c r="A35" s="8">
        <v>32</v>
      </c>
      <c r="B35" s="14">
        <v>25.727799999999998</v>
      </c>
      <c r="C35" s="8" t="s">
        <v>2</v>
      </c>
      <c r="F35" s="15" t="s">
        <v>188</v>
      </c>
      <c r="G35" s="16" t="s">
        <v>189</v>
      </c>
      <c r="I35" s="1" t="s">
        <v>474</v>
      </c>
      <c r="L35" s="47">
        <f t="shared" si="0"/>
        <v>30</v>
      </c>
      <c r="M35" s="16" t="s">
        <v>71</v>
      </c>
      <c r="N35" s="74" t="s">
        <v>70</v>
      </c>
      <c r="O35" s="91"/>
      <c r="P35" s="19" t="s">
        <v>0</v>
      </c>
    </row>
    <row r="36" spans="1:16" x14ac:dyDescent="0.25">
      <c r="A36" s="1"/>
      <c r="B36" s="1"/>
      <c r="C36" s="3"/>
      <c r="D36" s="1"/>
      <c r="E36" s="1"/>
      <c r="F36" s="1"/>
      <c r="G36" s="1"/>
      <c r="H36" s="1"/>
      <c r="I36" s="1"/>
      <c r="L36" s="47">
        <f t="shared" si="0"/>
        <v>31</v>
      </c>
      <c r="M36" s="16" t="s">
        <v>171</v>
      </c>
      <c r="N36" s="74" t="s">
        <v>56</v>
      </c>
      <c r="O36" s="91"/>
      <c r="P36" s="19" t="s">
        <v>0</v>
      </c>
    </row>
    <row r="37" spans="1:16" x14ac:dyDescent="0.25">
      <c r="A37" s="1"/>
      <c r="B37" s="1"/>
      <c r="C37" s="3"/>
      <c r="D37" s="1"/>
      <c r="E37" s="1"/>
      <c r="F37" s="1"/>
      <c r="G37" s="1"/>
      <c r="H37" s="1"/>
      <c r="I37" s="1"/>
      <c r="L37" s="47">
        <f t="shared" si="0"/>
        <v>32</v>
      </c>
      <c r="M37" s="16" t="s">
        <v>187</v>
      </c>
      <c r="N37" s="74" t="s">
        <v>112</v>
      </c>
      <c r="O37" s="91"/>
      <c r="P37" s="19" t="s">
        <v>0</v>
      </c>
    </row>
    <row r="38" spans="1:16" x14ac:dyDescent="0.25">
      <c r="A38" s="1"/>
      <c r="B38" s="1"/>
      <c r="C38" s="3"/>
      <c r="D38" s="1"/>
      <c r="E38" s="1"/>
      <c r="F38" s="1"/>
      <c r="G38" s="23" t="s">
        <v>638</v>
      </c>
      <c r="H38" s="23">
        <f>COUNTIF(P6:P37,"L")</f>
        <v>10</v>
      </c>
      <c r="I38" s="1"/>
    </row>
    <row r="39" spans="1:16" x14ac:dyDescent="0.25">
      <c r="A39" s="1"/>
      <c r="B39" s="1"/>
      <c r="C39" s="3"/>
      <c r="D39" s="1"/>
      <c r="E39" s="1"/>
      <c r="F39" s="1"/>
      <c r="G39" s="23" t="s">
        <v>639</v>
      </c>
      <c r="H39" s="23">
        <f>COUNTIF(H4:H36,"P")</f>
        <v>0</v>
      </c>
      <c r="I39" s="1"/>
    </row>
    <row r="40" spans="1:16" x14ac:dyDescent="0.25">
      <c r="A40" s="1"/>
      <c r="B40" s="1"/>
      <c r="C40" s="3"/>
      <c r="D40" s="1"/>
      <c r="E40" s="1"/>
      <c r="F40" s="1"/>
      <c r="G40" s="1"/>
      <c r="H40" s="1"/>
      <c r="I40" s="1"/>
    </row>
    <row r="41" spans="1:16" x14ac:dyDescent="0.25">
      <c r="A41" s="1"/>
      <c r="B41" s="1"/>
      <c r="C41" s="3"/>
      <c r="D41" s="1"/>
      <c r="E41" s="1"/>
      <c r="F41" s="1"/>
      <c r="G41" s="1"/>
      <c r="H41" s="1"/>
      <c r="I41" s="1"/>
    </row>
    <row r="42" spans="1:16" x14ac:dyDescent="0.25">
      <c r="A42" s="1"/>
      <c r="B42" s="1"/>
      <c r="C42" s="3"/>
      <c r="D42" s="1"/>
      <c r="E42" s="1"/>
      <c r="F42" s="1"/>
      <c r="G42" s="1"/>
      <c r="H42" s="1"/>
      <c r="I42" s="1"/>
    </row>
    <row r="43" spans="1:16" x14ac:dyDescent="0.25">
      <c r="A43" s="1"/>
      <c r="B43" s="1"/>
      <c r="C43" s="3"/>
      <c r="D43" s="1"/>
      <c r="E43" s="1"/>
      <c r="F43" s="1"/>
      <c r="G43" s="1"/>
      <c r="H43" s="1"/>
      <c r="I43" s="1"/>
    </row>
    <row r="44" spans="1:16" x14ac:dyDescent="0.25">
      <c r="A44" s="1"/>
      <c r="B44" s="1"/>
      <c r="C44" s="3"/>
      <c r="D44" s="1"/>
      <c r="E44" s="1"/>
      <c r="F44" s="1"/>
      <c r="G44" s="1"/>
      <c r="H44" s="1"/>
      <c r="I44" s="1"/>
    </row>
    <row r="45" spans="1:16" x14ac:dyDescent="0.25">
      <c r="A45" s="1"/>
      <c r="B45" s="1"/>
      <c r="C45" s="3"/>
      <c r="D45" s="1"/>
      <c r="E45" s="1"/>
      <c r="F45" s="1"/>
      <c r="G45" s="1"/>
      <c r="H45" s="1"/>
      <c r="I45" s="1"/>
    </row>
    <row r="46" spans="1:16" x14ac:dyDescent="0.25">
      <c r="A46" s="1"/>
      <c r="B46" s="1"/>
      <c r="C46" s="3"/>
      <c r="D46" s="1"/>
      <c r="E46" s="1"/>
      <c r="F46" s="1"/>
      <c r="G46" s="1"/>
      <c r="H46" s="1"/>
      <c r="I46" s="1"/>
    </row>
    <row r="47" spans="1:16" x14ac:dyDescent="0.25">
      <c r="A47" s="1"/>
      <c r="B47" s="1"/>
      <c r="C47" s="3"/>
      <c r="D47" s="1"/>
      <c r="E47" s="1"/>
      <c r="F47" s="1"/>
      <c r="G47" s="1"/>
      <c r="H47" s="1"/>
      <c r="I47" s="1"/>
    </row>
    <row r="48" spans="1:16" x14ac:dyDescent="0.25">
      <c r="A48" s="1"/>
      <c r="B48" s="1"/>
      <c r="C48" s="3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3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3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3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3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3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3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3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3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3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3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3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3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3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3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3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3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3"/>
      <c r="D65" s="1"/>
      <c r="E65" s="1"/>
      <c r="F65" s="1"/>
      <c r="G65" s="1"/>
      <c r="H65" s="1"/>
      <c r="I65" s="1"/>
    </row>
  </sheetData>
  <mergeCells count="7">
    <mergeCell ref="S4:S5"/>
    <mergeCell ref="L4:L5"/>
    <mergeCell ref="M4:M5"/>
    <mergeCell ref="N4:N5"/>
    <mergeCell ref="O4:O5"/>
    <mergeCell ref="P4:P5"/>
    <mergeCell ref="R4:R5"/>
  </mergeCells>
  <pageMargins left="0.28999999999999998" right="0.12" top="0.75" bottom="0.75" header="0.3" footer="0.3"/>
  <pageSetup paperSize="9" scale="90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33"/>
  <sheetViews>
    <sheetView topLeftCell="A22" workbookViewId="0">
      <selection activeCell="B15" sqref="B15:F15"/>
    </sheetView>
  </sheetViews>
  <sheetFormatPr defaultRowHeight="15" x14ac:dyDescent="0.25"/>
  <cols>
    <col min="3" max="3" width="12.42578125" bestFit="1" customWidth="1"/>
    <col min="4" max="4" width="39.140625" bestFit="1" customWidth="1"/>
    <col min="5" max="5" width="20.42578125" bestFit="1" customWidth="1"/>
    <col min="6" max="6" width="15.5703125" bestFit="1" customWidth="1"/>
    <col min="9" max="9" width="17.7109375" customWidth="1"/>
  </cols>
  <sheetData>
    <row r="2" spans="2:9" x14ac:dyDescent="0.25">
      <c r="B2" s="103" t="s">
        <v>1112</v>
      </c>
      <c r="C2" s="103" t="s">
        <v>1113</v>
      </c>
      <c r="D2" s="103" t="s">
        <v>1114</v>
      </c>
      <c r="E2" s="103" t="s">
        <v>1115</v>
      </c>
      <c r="F2" s="103" t="s">
        <v>1116</v>
      </c>
      <c r="H2" s="103" t="s">
        <v>1117</v>
      </c>
      <c r="I2" s="103" t="s">
        <v>1118</v>
      </c>
    </row>
    <row r="3" spans="2:9" s="4" customFormat="1" ht="23.25" customHeight="1" x14ac:dyDescent="0.25">
      <c r="B3" s="103"/>
      <c r="C3" s="103"/>
      <c r="D3" s="103"/>
      <c r="E3" s="103"/>
      <c r="F3" s="103"/>
      <c r="G3"/>
      <c r="H3" s="103"/>
      <c r="I3" s="103"/>
    </row>
    <row r="4" spans="2:9" ht="20.100000000000001" customHeight="1" x14ac:dyDescent="0.25">
      <c r="B4" s="47">
        <v>1</v>
      </c>
      <c r="C4" s="33" t="s">
        <v>287</v>
      </c>
      <c r="D4" s="31" t="s">
        <v>286</v>
      </c>
      <c r="E4" s="33" t="s">
        <v>288</v>
      </c>
      <c r="F4" s="30" t="s">
        <v>0</v>
      </c>
      <c r="H4" s="67">
        <f>COUNTIF(F4:F37,"L")</f>
        <v>9</v>
      </c>
      <c r="I4" s="68" t="s">
        <v>1120</v>
      </c>
    </row>
    <row r="5" spans="2:9" ht="20.100000000000001" customHeight="1" x14ac:dyDescent="0.25">
      <c r="B5" s="47">
        <f>1+B4</f>
        <v>2</v>
      </c>
      <c r="C5" s="33" t="s">
        <v>301</v>
      </c>
      <c r="D5" s="31" t="s">
        <v>300</v>
      </c>
      <c r="E5" s="33" t="s">
        <v>302</v>
      </c>
      <c r="F5" s="30" t="s">
        <v>1</v>
      </c>
      <c r="H5" s="69">
        <f>COUNTIF(F4:F37,"P")</f>
        <v>21</v>
      </c>
      <c r="I5" s="70" t="s">
        <v>1121</v>
      </c>
    </row>
    <row r="6" spans="2:9" ht="20.100000000000001" customHeight="1" x14ac:dyDescent="0.25">
      <c r="B6" s="47">
        <f t="shared" ref="B6:B33" si="0">1+B5</f>
        <v>3</v>
      </c>
      <c r="C6" s="33" t="s">
        <v>507</v>
      </c>
      <c r="D6" s="31" t="s">
        <v>488</v>
      </c>
      <c r="E6" s="33" t="s">
        <v>306</v>
      </c>
      <c r="F6" s="30" t="s">
        <v>0</v>
      </c>
      <c r="H6" s="71">
        <f>SUM(H4:H5)</f>
        <v>30</v>
      </c>
      <c r="I6" s="71" t="s">
        <v>1122</v>
      </c>
    </row>
    <row r="7" spans="2:9" ht="20.100000000000001" customHeight="1" x14ac:dyDescent="0.25">
      <c r="B7" s="84">
        <f t="shared" si="0"/>
        <v>4</v>
      </c>
      <c r="C7" s="86"/>
      <c r="D7" s="86" t="s">
        <v>217</v>
      </c>
      <c r="E7" s="86"/>
      <c r="F7" s="83" t="s">
        <v>0</v>
      </c>
    </row>
    <row r="8" spans="2:9" ht="20.100000000000001" customHeight="1" x14ac:dyDescent="0.25">
      <c r="B8" s="47">
        <f t="shared" si="0"/>
        <v>5</v>
      </c>
      <c r="C8" s="33" t="s">
        <v>160</v>
      </c>
      <c r="D8" s="31" t="s">
        <v>96</v>
      </c>
      <c r="E8" s="33" t="s">
        <v>161</v>
      </c>
      <c r="F8" s="30" t="s">
        <v>0</v>
      </c>
    </row>
    <row r="9" spans="2:9" ht="20.100000000000001" customHeight="1" x14ac:dyDescent="0.25">
      <c r="B9" s="47">
        <f t="shared" si="0"/>
        <v>6</v>
      </c>
      <c r="C9" s="33" t="s">
        <v>468</v>
      </c>
      <c r="D9" s="31" t="s">
        <v>426</v>
      </c>
      <c r="E9" s="33" t="s">
        <v>469</v>
      </c>
      <c r="F9" s="30" t="s">
        <v>0</v>
      </c>
    </row>
    <row r="10" spans="2:9" ht="20.100000000000001" customHeight="1" x14ac:dyDescent="0.25">
      <c r="B10" s="47">
        <f t="shared" si="0"/>
        <v>7</v>
      </c>
      <c r="C10" s="33" t="s">
        <v>503</v>
      </c>
      <c r="D10" s="31" t="s">
        <v>487</v>
      </c>
      <c r="E10" s="33" t="s">
        <v>504</v>
      </c>
      <c r="F10" s="30" t="s">
        <v>1</v>
      </c>
    </row>
    <row r="11" spans="2:9" ht="20.100000000000001" customHeight="1" x14ac:dyDescent="0.25">
      <c r="B11" s="47">
        <f t="shared" si="0"/>
        <v>8</v>
      </c>
      <c r="C11" s="33" t="s">
        <v>253</v>
      </c>
      <c r="D11" s="31" t="s">
        <v>34</v>
      </c>
      <c r="E11" s="33" t="s">
        <v>289</v>
      </c>
      <c r="F11" s="30" t="s">
        <v>1</v>
      </c>
    </row>
    <row r="12" spans="2:9" ht="20.100000000000001" customHeight="1" x14ac:dyDescent="0.25">
      <c r="B12" s="47">
        <f t="shared" si="0"/>
        <v>9</v>
      </c>
      <c r="C12" s="33" t="s">
        <v>229</v>
      </c>
      <c r="D12" s="31" t="s">
        <v>124</v>
      </c>
      <c r="E12" s="33" t="s">
        <v>230</v>
      </c>
      <c r="F12" s="30" t="s">
        <v>1</v>
      </c>
    </row>
    <row r="13" spans="2:9" ht="20.100000000000001" customHeight="1" x14ac:dyDescent="0.25">
      <c r="B13" s="47">
        <f t="shared" si="0"/>
        <v>10</v>
      </c>
      <c r="C13" s="33" t="s">
        <v>437</v>
      </c>
      <c r="D13" s="31" t="s">
        <v>436</v>
      </c>
      <c r="E13" s="33" t="s">
        <v>438</v>
      </c>
      <c r="F13" s="30" t="s">
        <v>0</v>
      </c>
    </row>
    <row r="14" spans="2:9" ht="20.100000000000001" customHeight="1" x14ac:dyDescent="0.25">
      <c r="B14" s="47">
        <f t="shared" si="0"/>
        <v>11</v>
      </c>
      <c r="C14" s="33" t="s">
        <v>583</v>
      </c>
      <c r="D14" s="31" t="s">
        <v>37</v>
      </c>
      <c r="E14" s="33" t="s">
        <v>584</v>
      </c>
      <c r="F14" s="30" t="s">
        <v>0</v>
      </c>
    </row>
    <row r="15" spans="2:9" ht="20.100000000000001" customHeight="1" x14ac:dyDescent="0.25">
      <c r="B15" s="84">
        <f t="shared" si="0"/>
        <v>12</v>
      </c>
      <c r="C15" s="87"/>
      <c r="D15" s="86" t="s">
        <v>49</v>
      </c>
      <c r="E15" s="86"/>
      <c r="F15" s="83" t="s">
        <v>1</v>
      </c>
    </row>
    <row r="16" spans="2:9" ht="20.100000000000001" customHeight="1" x14ac:dyDescent="0.25">
      <c r="B16" s="47">
        <f t="shared" si="0"/>
        <v>13</v>
      </c>
      <c r="C16" s="33" t="s">
        <v>409</v>
      </c>
      <c r="D16" s="31" t="s">
        <v>408</v>
      </c>
      <c r="E16" s="33" t="s">
        <v>410</v>
      </c>
      <c r="F16" s="30" t="s">
        <v>0</v>
      </c>
    </row>
    <row r="17" spans="2:6" ht="20.100000000000001" customHeight="1" x14ac:dyDescent="0.25">
      <c r="B17" s="47">
        <f t="shared" si="0"/>
        <v>14</v>
      </c>
      <c r="C17" s="33" t="s">
        <v>499</v>
      </c>
      <c r="D17" s="31" t="s">
        <v>489</v>
      </c>
      <c r="E17" s="33" t="s">
        <v>500</v>
      </c>
      <c r="F17" s="30" t="s">
        <v>0</v>
      </c>
    </row>
    <row r="18" spans="2:6" ht="20.100000000000001" customHeight="1" x14ac:dyDescent="0.25">
      <c r="B18" s="47">
        <f t="shared" si="0"/>
        <v>15</v>
      </c>
      <c r="C18" s="33" t="s">
        <v>435</v>
      </c>
      <c r="D18" s="31" t="s">
        <v>419</v>
      </c>
      <c r="E18" s="33" t="s">
        <v>428</v>
      </c>
      <c r="F18" s="30" t="s">
        <v>0</v>
      </c>
    </row>
    <row r="19" spans="2:6" ht="20.100000000000001" customHeight="1" x14ac:dyDescent="0.25">
      <c r="B19" s="47">
        <f t="shared" si="0"/>
        <v>16</v>
      </c>
      <c r="C19" s="33" t="s">
        <v>551</v>
      </c>
      <c r="D19" s="31" t="s">
        <v>550</v>
      </c>
      <c r="E19" s="33" t="s">
        <v>552</v>
      </c>
      <c r="F19" s="30" t="s">
        <v>0</v>
      </c>
    </row>
    <row r="20" spans="2:6" ht="20.100000000000001" customHeight="1" x14ac:dyDescent="0.25">
      <c r="B20" s="47">
        <f t="shared" si="0"/>
        <v>17</v>
      </c>
      <c r="C20" s="33" t="s">
        <v>512</v>
      </c>
      <c r="D20" s="31" t="s">
        <v>511</v>
      </c>
      <c r="E20" s="33" t="s">
        <v>513</v>
      </c>
      <c r="F20" s="30" t="s">
        <v>0</v>
      </c>
    </row>
    <row r="21" spans="2:6" ht="20.100000000000001" customHeight="1" x14ac:dyDescent="0.25">
      <c r="B21" s="47">
        <f t="shared" si="0"/>
        <v>18</v>
      </c>
      <c r="C21" s="33" t="s">
        <v>505</v>
      </c>
      <c r="D21" s="31" t="s">
        <v>260</v>
      </c>
      <c r="E21" s="33" t="s">
        <v>506</v>
      </c>
      <c r="F21" s="30" t="s">
        <v>1</v>
      </c>
    </row>
    <row r="22" spans="2:6" ht="20.100000000000001" customHeight="1" x14ac:dyDescent="0.25">
      <c r="B22" s="47">
        <f t="shared" si="0"/>
        <v>19</v>
      </c>
      <c r="C22" s="33" t="s">
        <v>366</v>
      </c>
      <c r="D22" s="31" t="s">
        <v>31</v>
      </c>
      <c r="E22" s="33" t="s">
        <v>367</v>
      </c>
      <c r="F22" s="30" t="s">
        <v>0</v>
      </c>
    </row>
    <row r="23" spans="2:6" ht="20.100000000000001" customHeight="1" x14ac:dyDescent="0.25">
      <c r="B23" s="47">
        <f t="shared" si="0"/>
        <v>20</v>
      </c>
      <c r="C23" s="33" t="s">
        <v>177</v>
      </c>
      <c r="D23" s="31" t="s">
        <v>88</v>
      </c>
      <c r="E23" s="33" t="s">
        <v>178</v>
      </c>
      <c r="F23" s="30" t="s">
        <v>0</v>
      </c>
    </row>
    <row r="24" spans="2:6" ht="20.100000000000001" customHeight="1" x14ac:dyDescent="0.25">
      <c r="B24" s="47">
        <f t="shared" si="0"/>
        <v>21</v>
      </c>
      <c r="C24" s="33" t="s">
        <v>382</v>
      </c>
      <c r="D24" s="31" t="s">
        <v>104</v>
      </c>
      <c r="E24" s="33" t="s">
        <v>383</v>
      </c>
      <c r="F24" s="30" t="s">
        <v>0</v>
      </c>
    </row>
    <row r="25" spans="2:6" ht="20.100000000000001" customHeight="1" x14ac:dyDescent="0.25">
      <c r="B25" s="47">
        <f t="shared" si="0"/>
        <v>22</v>
      </c>
      <c r="C25" s="33" t="s">
        <v>433</v>
      </c>
      <c r="D25" s="31" t="s">
        <v>421</v>
      </c>
      <c r="E25" s="33" t="s">
        <v>434</v>
      </c>
      <c r="F25" s="30" t="s">
        <v>0</v>
      </c>
    </row>
    <row r="26" spans="2:6" ht="20.100000000000001" customHeight="1" x14ac:dyDescent="0.25">
      <c r="B26" s="47">
        <f t="shared" si="0"/>
        <v>23</v>
      </c>
      <c r="C26" s="33" t="s">
        <v>452</v>
      </c>
      <c r="D26" s="31" t="s">
        <v>94</v>
      </c>
      <c r="E26" s="33" t="s">
        <v>453</v>
      </c>
      <c r="F26" s="30" t="s">
        <v>0</v>
      </c>
    </row>
    <row r="27" spans="2:6" ht="20.100000000000001" customHeight="1" x14ac:dyDescent="0.25">
      <c r="B27" s="47">
        <f t="shared" si="0"/>
        <v>24</v>
      </c>
      <c r="C27" s="33" t="s">
        <v>444</v>
      </c>
      <c r="D27" s="31" t="s">
        <v>418</v>
      </c>
      <c r="E27" s="33" t="s">
        <v>278</v>
      </c>
      <c r="F27" s="30" t="s">
        <v>0</v>
      </c>
    </row>
    <row r="28" spans="2:6" ht="20.100000000000001" customHeight="1" x14ac:dyDescent="0.25">
      <c r="B28" s="47">
        <f t="shared" si="0"/>
        <v>25</v>
      </c>
      <c r="C28" s="33" t="s">
        <v>627</v>
      </c>
      <c r="D28" s="31" t="s">
        <v>254</v>
      </c>
      <c r="E28" s="33" t="s">
        <v>628</v>
      </c>
      <c r="F28" s="30" t="s">
        <v>1</v>
      </c>
    </row>
    <row r="29" spans="2:6" ht="20.100000000000001" customHeight="1" x14ac:dyDescent="0.25">
      <c r="B29" s="47">
        <f t="shared" si="0"/>
        <v>26</v>
      </c>
      <c r="C29" s="33" t="s">
        <v>355</v>
      </c>
      <c r="D29" s="31" t="s">
        <v>354</v>
      </c>
      <c r="E29" s="33" t="s">
        <v>356</v>
      </c>
      <c r="F29" s="30" t="s">
        <v>1</v>
      </c>
    </row>
    <row r="30" spans="2:6" ht="20.100000000000001" customHeight="1" x14ac:dyDescent="0.25">
      <c r="B30" s="47">
        <f t="shared" si="0"/>
        <v>27</v>
      </c>
      <c r="C30" s="33" t="s">
        <v>314</v>
      </c>
      <c r="D30" s="31" t="s">
        <v>23</v>
      </c>
      <c r="E30" s="33" t="s">
        <v>315</v>
      </c>
      <c r="F30" s="30" t="s">
        <v>0</v>
      </c>
    </row>
    <row r="31" spans="2:6" ht="20.100000000000001" customHeight="1" x14ac:dyDescent="0.25">
      <c r="B31" s="47">
        <f t="shared" si="0"/>
        <v>28</v>
      </c>
      <c r="C31" s="33" t="s">
        <v>348</v>
      </c>
      <c r="D31" s="31" t="s">
        <v>347</v>
      </c>
      <c r="E31" s="33" t="s">
        <v>349</v>
      </c>
      <c r="F31" s="30" t="s">
        <v>0</v>
      </c>
    </row>
    <row r="32" spans="2:6" ht="20.100000000000001" customHeight="1" x14ac:dyDescent="0.25">
      <c r="B32" s="47">
        <f t="shared" si="0"/>
        <v>29</v>
      </c>
      <c r="C32" s="33" t="s">
        <v>492</v>
      </c>
      <c r="D32" s="31" t="s">
        <v>115</v>
      </c>
      <c r="E32" s="33" t="s">
        <v>493</v>
      </c>
      <c r="F32" s="30" t="s">
        <v>1</v>
      </c>
    </row>
    <row r="33" spans="2:6" ht="20.100000000000001" customHeight="1" x14ac:dyDescent="0.25">
      <c r="B33" s="47">
        <f t="shared" si="0"/>
        <v>30</v>
      </c>
      <c r="C33" s="33" t="s">
        <v>242</v>
      </c>
      <c r="D33" s="31" t="s">
        <v>216</v>
      </c>
      <c r="E33" s="33" t="s">
        <v>228</v>
      </c>
      <c r="F33" s="30" t="s">
        <v>0</v>
      </c>
    </row>
  </sheetData>
  <mergeCells count="7">
    <mergeCell ref="I2:I3"/>
    <mergeCell ref="B2:B3"/>
    <mergeCell ref="C2:C3"/>
    <mergeCell ref="D2:D3"/>
    <mergeCell ref="E2:E3"/>
    <mergeCell ref="F2:F3"/>
    <mergeCell ref="H2:H3"/>
  </mergeCells>
  <pageMargins left="1.48" right="0.25" top="0.75" bottom="0.75" header="0.26" footer="0.3"/>
  <pageSetup paperSize="9" scale="90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K33"/>
  <sheetViews>
    <sheetView topLeftCell="A25" workbookViewId="0">
      <selection activeCell="D20" sqref="D20:H20"/>
    </sheetView>
  </sheetViews>
  <sheetFormatPr defaultRowHeight="15" x14ac:dyDescent="0.25"/>
  <cols>
    <col min="1" max="1" width="3.85546875" customWidth="1"/>
    <col min="2" max="2" width="5.42578125" customWidth="1"/>
    <col min="5" max="5" width="12.42578125" bestFit="1" customWidth="1"/>
    <col min="6" max="6" width="39.140625" bestFit="1" customWidth="1"/>
    <col min="7" max="7" width="20.42578125" bestFit="1" customWidth="1"/>
    <col min="8" max="8" width="15.5703125" bestFit="1" customWidth="1"/>
    <col min="11" max="11" width="17.7109375" customWidth="1"/>
  </cols>
  <sheetData>
    <row r="2" spans="1:11" x14ac:dyDescent="0.25">
      <c r="D2" s="103" t="s">
        <v>1112</v>
      </c>
      <c r="E2" s="103" t="s">
        <v>1113</v>
      </c>
      <c r="F2" s="103" t="s">
        <v>1114</v>
      </c>
      <c r="G2" s="103" t="s">
        <v>1115</v>
      </c>
      <c r="H2" s="103" t="s">
        <v>1116</v>
      </c>
      <c r="J2" s="103" t="s">
        <v>1117</v>
      </c>
      <c r="K2" s="103" t="s">
        <v>1118</v>
      </c>
    </row>
    <row r="3" spans="1:11" ht="20.100000000000001" customHeight="1" x14ac:dyDescent="0.25">
      <c r="A3" s="1"/>
      <c r="B3" s="1"/>
      <c r="D3" s="103"/>
      <c r="E3" s="103"/>
      <c r="F3" s="103"/>
      <c r="G3" s="103"/>
      <c r="H3" s="103"/>
      <c r="J3" s="103"/>
      <c r="K3" s="103"/>
    </row>
    <row r="4" spans="1:11" ht="20.100000000000001" customHeight="1" x14ac:dyDescent="0.25">
      <c r="A4" s="1"/>
      <c r="B4" s="1"/>
      <c r="D4" s="47">
        <v>1</v>
      </c>
      <c r="E4" s="13" t="s">
        <v>624</v>
      </c>
      <c r="F4" s="9" t="s">
        <v>623</v>
      </c>
      <c r="G4" s="13" t="s">
        <v>625</v>
      </c>
      <c r="H4" s="14" t="s">
        <v>1</v>
      </c>
      <c r="J4" s="67">
        <f>COUNTIF(H4:H37,"L")</f>
        <v>10</v>
      </c>
      <c r="K4" s="68" t="s">
        <v>1120</v>
      </c>
    </row>
    <row r="5" spans="1:11" ht="20.100000000000001" customHeight="1" x14ac:dyDescent="0.25">
      <c r="A5" s="1"/>
      <c r="B5" s="1"/>
      <c r="D5" s="47">
        <f>1+D4</f>
        <v>2</v>
      </c>
      <c r="E5" s="10" t="s">
        <v>565</v>
      </c>
      <c r="F5" s="26" t="s">
        <v>84</v>
      </c>
      <c r="G5" s="10" t="s">
        <v>566</v>
      </c>
      <c r="H5" s="8" t="s">
        <v>0</v>
      </c>
      <c r="J5" s="69">
        <f>COUNTIF(H4:H37,"P")</f>
        <v>20</v>
      </c>
      <c r="K5" s="70" t="s">
        <v>1121</v>
      </c>
    </row>
    <row r="6" spans="1:11" ht="20.100000000000001" customHeight="1" x14ac:dyDescent="0.25">
      <c r="A6" s="1"/>
      <c r="B6" s="1"/>
      <c r="D6" s="47">
        <f t="shared" ref="D6:D33" si="0">1+D5</f>
        <v>3</v>
      </c>
      <c r="E6" s="13" t="s">
        <v>553</v>
      </c>
      <c r="F6" s="9" t="s">
        <v>62</v>
      </c>
      <c r="G6" s="13" t="s">
        <v>554</v>
      </c>
      <c r="H6" s="14" t="s">
        <v>1</v>
      </c>
      <c r="J6" s="71">
        <f>SUM(J4:J5)</f>
        <v>30</v>
      </c>
      <c r="K6" s="71" t="s">
        <v>1122</v>
      </c>
    </row>
    <row r="7" spans="1:11" ht="20.100000000000001" customHeight="1" x14ac:dyDescent="0.25">
      <c r="A7" s="1"/>
      <c r="B7" s="1"/>
      <c r="D7" s="47">
        <f t="shared" si="0"/>
        <v>4</v>
      </c>
      <c r="E7" s="13" t="s">
        <v>608</v>
      </c>
      <c r="F7" s="9" t="s">
        <v>45</v>
      </c>
      <c r="G7" s="13" t="s">
        <v>609</v>
      </c>
      <c r="H7" s="14" t="s">
        <v>0</v>
      </c>
    </row>
    <row r="8" spans="1:11" ht="20.100000000000001" customHeight="1" x14ac:dyDescent="0.25">
      <c r="A8" s="1"/>
      <c r="B8" s="1"/>
      <c r="D8" s="47">
        <f t="shared" si="0"/>
        <v>5</v>
      </c>
      <c r="E8" s="10" t="s">
        <v>89</v>
      </c>
      <c r="F8" s="9" t="s">
        <v>80</v>
      </c>
      <c r="G8" s="10" t="s">
        <v>90</v>
      </c>
      <c r="H8" s="8" t="s">
        <v>0</v>
      </c>
    </row>
    <row r="9" spans="1:11" ht="20.100000000000001" customHeight="1" x14ac:dyDescent="0.25">
      <c r="A9" s="1"/>
      <c r="B9" s="1"/>
      <c r="D9" s="47">
        <f t="shared" si="0"/>
        <v>6</v>
      </c>
      <c r="E9" s="13" t="s">
        <v>561</v>
      </c>
      <c r="F9" s="9" t="s">
        <v>560</v>
      </c>
      <c r="G9" s="13" t="s">
        <v>562</v>
      </c>
      <c r="H9" s="14" t="s">
        <v>0</v>
      </c>
    </row>
    <row r="10" spans="1:11" ht="20.100000000000001" customHeight="1" x14ac:dyDescent="0.25">
      <c r="A10" s="1"/>
      <c r="B10" s="1"/>
      <c r="D10" s="47">
        <f t="shared" si="0"/>
        <v>7</v>
      </c>
      <c r="E10" s="13" t="s">
        <v>548</v>
      </c>
      <c r="F10" s="9" t="s">
        <v>547</v>
      </c>
      <c r="G10" s="13" t="s">
        <v>83</v>
      </c>
      <c r="H10" s="14" t="s">
        <v>1</v>
      </c>
    </row>
    <row r="11" spans="1:11" ht="20.100000000000001" customHeight="1" x14ac:dyDescent="0.25">
      <c r="A11" s="1"/>
      <c r="B11" s="1"/>
      <c r="D11" s="47">
        <f t="shared" si="0"/>
        <v>8</v>
      </c>
      <c r="E11" s="13" t="s">
        <v>231</v>
      </c>
      <c r="F11" s="9" t="s">
        <v>125</v>
      </c>
      <c r="G11" s="13" t="s">
        <v>232</v>
      </c>
      <c r="H11" s="14" t="s">
        <v>0</v>
      </c>
    </row>
    <row r="12" spans="1:11" ht="20.100000000000001" customHeight="1" x14ac:dyDescent="0.25">
      <c r="A12" s="1"/>
      <c r="B12" s="1"/>
      <c r="D12" s="47">
        <f t="shared" si="0"/>
        <v>9</v>
      </c>
      <c r="E12" s="13" t="s">
        <v>569</v>
      </c>
      <c r="F12" s="9" t="s">
        <v>43</v>
      </c>
      <c r="G12" s="13" t="s">
        <v>570</v>
      </c>
      <c r="H12" s="14" t="s">
        <v>0</v>
      </c>
    </row>
    <row r="13" spans="1:11" s="5" customFormat="1" ht="20.100000000000001" customHeight="1" x14ac:dyDescent="0.25">
      <c r="A13" s="6"/>
      <c r="B13" s="6"/>
      <c r="D13" s="47">
        <f t="shared" si="0"/>
        <v>10</v>
      </c>
      <c r="E13" s="13" t="s">
        <v>462</v>
      </c>
      <c r="F13" s="9" t="s">
        <v>261</v>
      </c>
      <c r="G13" s="13" t="s">
        <v>463</v>
      </c>
      <c r="H13" s="14" t="s">
        <v>0</v>
      </c>
    </row>
    <row r="14" spans="1:11" ht="20.100000000000001" customHeight="1" x14ac:dyDescent="0.25">
      <c r="A14" s="1"/>
      <c r="B14" s="1"/>
      <c r="D14" s="47">
        <f t="shared" si="0"/>
        <v>11</v>
      </c>
      <c r="E14" s="13" t="s">
        <v>401</v>
      </c>
      <c r="F14" s="25" t="s">
        <v>259</v>
      </c>
      <c r="G14" s="13" t="s">
        <v>402</v>
      </c>
      <c r="H14" s="14" t="s">
        <v>0</v>
      </c>
    </row>
    <row r="15" spans="1:11" ht="20.100000000000001" customHeight="1" x14ac:dyDescent="0.25">
      <c r="A15" s="1"/>
      <c r="B15" s="1"/>
      <c r="D15" s="47">
        <f t="shared" si="0"/>
        <v>12</v>
      </c>
      <c r="E15" s="12">
        <v>93402982</v>
      </c>
      <c r="F15" s="9" t="s">
        <v>311</v>
      </c>
      <c r="G15" s="7" t="s">
        <v>312</v>
      </c>
      <c r="H15" s="14" t="s">
        <v>1</v>
      </c>
    </row>
    <row r="16" spans="1:11" ht="20.100000000000001" customHeight="1" x14ac:dyDescent="0.25">
      <c r="A16" s="1"/>
      <c r="B16" s="1"/>
      <c r="D16" s="47">
        <f t="shared" si="0"/>
        <v>13</v>
      </c>
      <c r="E16" s="13" t="s">
        <v>336</v>
      </c>
      <c r="F16" s="9" t="s">
        <v>335</v>
      </c>
      <c r="G16" s="13" t="s">
        <v>337</v>
      </c>
      <c r="H16" s="14" t="s">
        <v>0</v>
      </c>
    </row>
    <row r="17" spans="1:8" ht="20.100000000000001" customHeight="1" x14ac:dyDescent="0.25">
      <c r="A17" s="1"/>
      <c r="B17" s="1"/>
      <c r="D17" s="47">
        <f t="shared" si="0"/>
        <v>14</v>
      </c>
      <c r="E17" s="13" t="s">
        <v>532</v>
      </c>
      <c r="F17" s="9" t="s">
        <v>490</v>
      </c>
      <c r="G17" s="13" t="s">
        <v>533</v>
      </c>
      <c r="H17" s="14" t="s">
        <v>0</v>
      </c>
    </row>
    <row r="18" spans="1:8" ht="20.100000000000001" customHeight="1" x14ac:dyDescent="0.25">
      <c r="A18" s="1"/>
      <c r="B18" s="1"/>
      <c r="D18" s="84">
        <f t="shared" si="0"/>
        <v>15</v>
      </c>
      <c r="E18" s="95" t="s">
        <v>596</v>
      </c>
      <c r="F18" s="43" t="s">
        <v>13</v>
      </c>
      <c r="G18" s="95"/>
      <c r="H18" s="61" t="s">
        <v>0</v>
      </c>
    </row>
    <row r="19" spans="1:8" ht="20.100000000000001" customHeight="1" x14ac:dyDescent="0.25">
      <c r="A19" s="1"/>
      <c r="B19" s="1"/>
      <c r="D19" s="47">
        <f t="shared" si="0"/>
        <v>16</v>
      </c>
      <c r="E19" s="13" t="s">
        <v>371</v>
      </c>
      <c r="F19" s="9" t="s">
        <v>636</v>
      </c>
      <c r="G19" s="13" t="s">
        <v>372</v>
      </c>
      <c r="H19" s="14" t="s">
        <v>0</v>
      </c>
    </row>
    <row r="20" spans="1:8" ht="20.100000000000001" customHeight="1" x14ac:dyDescent="0.25">
      <c r="A20" s="1"/>
      <c r="B20" s="1"/>
      <c r="D20" s="84">
        <f t="shared" si="0"/>
        <v>17</v>
      </c>
      <c r="E20" s="95"/>
      <c r="F20" s="43" t="s">
        <v>36</v>
      </c>
      <c r="G20" s="95"/>
      <c r="H20" s="61" t="s">
        <v>0</v>
      </c>
    </row>
    <row r="21" spans="1:8" ht="20.100000000000001" customHeight="1" x14ac:dyDescent="0.25">
      <c r="A21" s="1"/>
      <c r="B21" s="1"/>
      <c r="D21" s="47">
        <f t="shared" si="0"/>
        <v>18</v>
      </c>
      <c r="E21" s="13" t="s">
        <v>558</v>
      </c>
      <c r="F21" s="9" t="s">
        <v>22</v>
      </c>
      <c r="G21" s="13" t="s">
        <v>559</v>
      </c>
      <c r="H21" s="14" t="s">
        <v>1</v>
      </c>
    </row>
    <row r="22" spans="1:8" ht="20.100000000000001" customHeight="1" x14ac:dyDescent="0.25">
      <c r="A22" s="1"/>
      <c r="B22" s="1"/>
      <c r="D22" s="47">
        <f t="shared" si="0"/>
        <v>19</v>
      </c>
      <c r="E22" s="10" t="s">
        <v>537</v>
      </c>
      <c r="F22" s="9" t="s">
        <v>416</v>
      </c>
      <c r="G22" s="10" t="s">
        <v>376</v>
      </c>
      <c r="H22" s="8" t="s">
        <v>0</v>
      </c>
    </row>
    <row r="23" spans="1:8" ht="20.100000000000001" customHeight="1" x14ac:dyDescent="0.25">
      <c r="A23" s="1"/>
      <c r="B23" s="1"/>
      <c r="D23" s="47">
        <f t="shared" si="0"/>
        <v>20</v>
      </c>
      <c r="E23" s="13" t="s">
        <v>280</v>
      </c>
      <c r="F23" s="9" t="s">
        <v>123</v>
      </c>
      <c r="G23" s="13" t="s">
        <v>281</v>
      </c>
      <c r="H23" s="14" t="s">
        <v>1</v>
      </c>
    </row>
    <row r="24" spans="1:8" ht="20.100000000000001" customHeight="1" x14ac:dyDescent="0.25">
      <c r="A24" s="1"/>
      <c r="B24" s="1"/>
      <c r="D24" s="47">
        <f t="shared" si="0"/>
        <v>21</v>
      </c>
      <c r="E24" s="13" t="s">
        <v>611</v>
      </c>
      <c r="F24" s="9" t="s">
        <v>610</v>
      </c>
      <c r="G24" s="13" t="s">
        <v>285</v>
      </c>
      <c r="H24" s="14" t="s">
        <v>0</v>
      </c>
    </row>
    <row r="25" spans="1:8" ht="20.100000000000001" customHeight="1" x14ac:dyDescent="0.25">
      <c r="A25" s="1"/>
      <c r="B25" s="1"/>
      <c r="D25" s="47">
        <f t="shared" si="0"/>
        <v>22</v>
      </c>
      <c r="E25" s="10" t="s">
        <v>494</v>
      </c>
      <c r="F25" s="9" t="s">
        <v>491</v>
      </c>
      <c r="G25" s="10" t="s">
        <v>495</v>
      </c>
      <c r="H25" s="8" t="s">
        <v>1</v>
      </c>
    </row>
    <row r="26" spans="1:8" ht="20.100000000000001" customHeight="1" x14ac:dyDescent="0.25">
      <c r="A26" s="1"/>
      <c r="B26" s="1"/>
      <c r="D26" s="47">
        <f t="shared" si="0"/>
        <v>23</v>
      </c>
      <c r="E26" s="13" t="s">
        <v>270</v>
      </c>
      <c r="F26" s="9" t="s">
        <v>119</v>
      </c>
      <c r="G26" s="13" t="s">
        <v>271</v>
      </c>
      <c r="H26" s="14" t="s">
        <v>0</v>
      </c>
    </row>
    <row r="27" spans="1:8" ht="20.100000000000001" customHeight="1" x14ac:dyDescent="0.25">
      <c r="A27" s="1"/>
      <c r="B27" s="1"/>
      <c r="D27" s="47">
        <f t="shared" si="0"/>
        <v>24</v>
      </c>
      <c r="E27" s="10" t="s">
        <v>616</v>
      </c>
      <c r="F27" s="9" t="s">
        <v>50</v>
      </c>
      <c r="G27" s="10" t="s">
        <v>618</v>
      </c>
      <c r="H27" s="8" t="s">
        <v>1</v>
      </c>
    </row>
    <row r="28" spans="1:8" ht="20.100000000000001" customHeight="1" x14ac:dyDescent="0.25">
      <c r="A28" s="1"/>
      <c r="B28" s="1"/>
      <c r="D28" s="47">
        <f t="shared" si="0"/>
        <v>25</v>
      </c>
      <c r="E28" s="13" t="s">
        <v>481</v>
      </c>
      <c r="F28" s="9" t="s">
        <v>262</v>
      </c>
      <c r="G28" s="13" t="s">
        <v>482</v>
      </c>
      <c r="H28" s="14" t="s">
        <v>1</v>
      </c>
    </row>
    <row r="29" spans="1:8" ht="20.100000000000001" customHeight="1" x14ac:dyDescent="0.25">
      <c r="A29" s="1"/>
      <c r="B29" s="1"/>
      <c r="D29" s="47">
        <f t="shared" si="0"/>
        <v>26</v>
      </c>
      <c r="E29" s="13" t="s">
        <v>393</v>
      </c>
      <c r="F29" s="9" t="s">
        <v>392</v>
      </c>
      <c r="G29" s="13" t="s">
        <v>163</v>
      </c>
      <c r="H29" s="14" t="s">
        <v>0</v>
      </c>
    </row>
    <row r="30" spans="1:8" ht="20.100000000000001" customHeight="1" x14ac:dyDescent="0.25">
      <c r="A30" s="1"/>
      <c r="B30" s="1"/>
      <c r="D30" s="47">
        <f t="shared" si="0"/>
        <v>27</v>
      </c>
      <c r="E30" s="10" t="s">
        <v>78</v>
      </c>
      <c r="F30" s="9" t="s">
        <v>19</v>
      </c>
      <c r="G30" s="10" t="s">
        <v>377</v>
      </c>
      <c r="H30" s="8" t="s">
        <v>0</v>
      </c>
    </row>
    <row r="31" spans="1:8" ht="20.100000000000001" customHeight="1" x14ac:dyDescent="0.25">
      <c r="A31" s="1"/>
      <c r="B31" s="1"/>
      <c r="D31" s="47">
        <f t="shared" si="0"/>
        <v>28</v>
      </c>
      <c r="E31" s="13" t="s">
        <v>571</v>
      </c>
      <c r="F31" s="9" t="s">
        <v>103</v>
      </c>
      <c r="G31" s="13" t="s">
        <v>572</v>
      </c>
      <c r="H31" s="14" t="s">
        <v>1</v>
      </c>
    </row>
    <row r="32" spans="1:8" ht="20.100000000000001" customHeight="1" x14ac:dyDescent="0.25">
      <c r="A32" s="1"/>
      <c r="B32" s="1"/>
      <c r="D32" s="47">
        <f t="shared" si="0"/>
        <v>29</v>
      </c>
      <c r="E32" s="13" t="s">
        <v>520</v>
      </c>
      <c r="F32" s="9" t="s">
        <v>519</v>
      </c>
      <c r="G32" s="13" t="s">
        <v>521</v>
      </c>
      <c r="H32" s="14" t="s">
        <v>0</v>
      </c>
    </row>
    <row r="33" spans="4:8" x14ac:dyDescent="0.25">
      <c r="D33" s="47">
        <f t="shared" si="0"/>
        <v>30</v>
      </c>
      <c r="E33" s="13" t="s">
        <v>252</v>
      </c>
      <c r="F33" s="9" t="s">
        <v>127</v>
      </c>
      <c r="G33" s="27" t="s">
        <v>376</v>
      </c>
      <c r="H33" s="14" t="s">
        <v>0</v>
      </c>
    </row>
  </sheetData>
  <mergeCells count="7">
    <mergeCell ref="K2:K3"/>
    <mergeCell ref="D2:D3"/>
    <mergeCell ref="E2:E3"/>
    <mergeCell ref="F2:F3"/>
    <mergeCell ref="G2:G3"/>
    <mergeCell ref="H2:H3"/>
    <mergeCell ref="J2:J3"/>
  </mergeCells>
  <pageMargins left="0.31" right="0.25" top="0.75" bottom="0.75" header="0.3" footer="0.3"/>
  <pageSetup paperSize="9" scale="85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3:J36"/>
  <sheetViews>
    <sheetView topLeftCell="A13" workbookViewId="0">
      <selection activeCell="C14" sqref="C14:G14"/>
    </sheetView>
  </sheetViews>
  <sheetFormatPr defaultRowHeight="15" x14ac:dyDescent="0.25"/>
  <cols>
    <col min="4" max="4" width="12.42578125" bestFit="1" customWidth="1"/>
    <col min="5" max="5" width="39.140625" bestFit="1" customWidth="1"/>
    <col min="6" max="6" width="20.42578125" bestFit="1" customWidth="1"/>
    <col min="7" max="7" width="15.5703125" bestFit="1" customWidth="1"/>
    <col min="10" max="10" width="17.7109375" customWidth="1"/>
  </cols>
  <sheetData>
    <row r="3" spans="3:10" ht="3.75" customHeight="1" x14ac:dyDescent="0.25"/>
    <row r="4" spans="3:10" ht="20.100000000000001" customHeight="1" x14ac:dyDescent="0.25">
      <c r="C4" s="103" t="s">
        <v>1112</v>
      </c>
      <c r="D4" s="103" t="s">
        <v>1113</v>
      </c>
      <c r="E4" s="103" t="s">
        <v>1114</v>
      </c>
      <c r="F4" s="103" t="s">
        <v>1115</v>
      </c>
      <c r="G4" s="103" t="s">
        <v>1116</v>
      </c>
      <c r="I4" s="103" t="s">
        <v>1117</v>
      </c>
      <c r="J4" s="103" t="s">
        <v>1118</v>
      </c>
    </row>
    <row r="5" spans="3:10" ht="20.100000000000001" customHeight="1" x14ac:dyDescent="0.25">
      <c r="C5" s="103"/>
      <c r="D5" s="103"/>
      <c r="E5" s="103"/>
      <c r="F5" s="103"/>
      <c r="G5" s="103"/>
      <c r="I5" s="103"/>
      <c r="J5" s="103"/>
    </row>
    <row r="6" spans="3:10" ht="20.100000000000001" customHeight="1" x14ac:dyDescent="0.25">
      <c r="C6" s="47">
        <v>1</v>
      </c>
      <c r="D6" s="10" t="s">
        <v>614</v>
      </c>
      <c r="E6" s="9" t="s">
        <v>593</v>
      </c>
      <c r="F6" s="10" t="s">
        <v>615</v>
      </c>
      <c r="G6" s="8" t="s">
        <v>0</v>
      </c>
      <c r="I6" s="67">
        <f>COUNTIF(G6:G39,"L")</f>
        <v>12</v>
      </c>
      <c r="J6" s="68" t="s">
        <v>1120</v>
      </c>
    </row>
    <row r="7" spans="3:10" ht="20.100000000000001" customHeight="1" x14ac:dyDescent="0.25">
      <c r="C7" s="47">
        <f>1+C6</f>
        <v>2</v>
      </c>
      <c r="D7" s="10" t="s">
        <v>612</v>
      </c>
      <c r="E7" s="9" t="s">
        <v>617</v>
      </c>
      <c r="F7" s="10" t="s">
        <v>613</v>
      </c>
      <c r="G7" s="8" t="s">
        <v>0</v>
      </c>
      <c r="I7" s="69">
        <f>COUNTIF(G6:G39,"P")</f>
        <v>19</v>
      </c>
      <c r="J7" s="70" t="s">
        <v>1121</v>
      </c>
    </row>
    <row r="8" spans="3:10" ht="20.100000000000001" customHeight="1" x14ac:dyDescent="0.25">
      <c r="C8" s="47">
        <f t="shared" ref="C8:C36" si="0">1+C7</f>
        <v>3</v>
      </c>
      <c r="D8" s="10" t="s">
        <v>544</v>
      </c>
      <c r="E8" s="9" t="s">
        <v>192</v>
      </c>
      <c r="F8" s="10" t="s">
        <v>545</v>
      </c>
      <c r="G8" s="8" t="s">
        <v>1</v>
      </c>
      <c r="I8" s="71">
        <f>SUM(I6:I7)</f>
        <v>31</v>
      </c>
      <c r="J8" s="71" t="s">
        <v>1122</v>
      </c>
    </row>
    <row r="9" spans="3:10" ht="20.100000000000001" customHeight="1" x14ac:dyDescent="0.25">
      <c r="C9" s="47">
        <f t="shared" si="0"/>
        <v>4</v>
      </c>
      <c r="D9" s="10" t="s">
        <v>603</v>
      </c>
      <c r="E9" s="9" t="s">
        <v>602</v>
      </c>
      <c r="F9" s="10" t="s">
        <v>604</v>
      </c>
      <c r="G9" s="8" t="s">
        <v>1</v>
      </c>
    </row>
    <row r="10" spans="3:10" ht="20.100000000000001" customHeight="1" x14ac:dyDescent="0.25">
      <c r="C10" s="47">
        <f t="shared" si="0"/>
        <v>5</v>
      </c>
      <c r="D10" s="10" t="s">
        <v>528</v>
      </c>
      <c r="E10" s="9" t="s">
        <v>527</v>
      </c>
      <c r="F10" s="10" t="s">
        <v>529</v>
      </c>
      <c r="G10" s="8" t="s">
        <v>1</v>
      </c>
    </row>
    <row r="11" spans="3:10" ht="20.100000000000001" customHeight="1" x14ac:dyDescent="0.25">
      <c r="C11" s="47">
        <f t="shared" si="0"/>
        <v>6</v>
      </c>
      <c r="D11" s="10" t="s">
        <v>530</v>
      </c>
      <c r="E11" s="9" t="s">
        <v>18</v>
      </c>
      <c r="F11" s="10" t="s">
        <v>531</v>
      </c>
      <c r="G11" s="8" t="s">
        <v>0</v>
      </c>
    </row>
    <row r="12" spans="3:10" ht="20.100000000000001" customHeight="1" x14ac:dyDescent="0.25">
      <c r="C12" s="47">
        <f t="shared" si="0"/>
        <v>7</v>
      </c>
      <c r="D12" s="10" t="s">
        <v>369</v>
      </c>
      <c r="E12" s="9" t="s">
        <v>368</v>
      </c>
      <c r="F12" s="10" t="s">
        <v>370</v>
      </c>
      <c r="G12" s="8" t="s">
        <v>0</v>
      </c>
    </row>
    <row r="13" spans="3:10" ht="20.100000000000001" customHeight="1" x14ac:dyDescent="0.25">
      <c r="C13" s="47">
        <f t="shared" si="0"/>
        <v>8</v>
      </c>
      <c r="D13" s="10" t="s">
        <v>483</v>
      </c>
      <c r="E13" s="9" t="s">
        <v>87</v>
      </c>
      <c r="F13" s="10" t="s">
        <v>484</v>
      </c>
      <c r="G13" s="8" t="s">
        <v>0</v>
      </c>
    </row>
    <row r="14" spans="3:10" ht="20.100000000000001" customHeight="1" x14ac:dyDescent="0.25">
      <c r="C14" s="84">
        <f t="shared" si="0"/>
        <v>9</v>
      </c>
      <c r="D14" s="43"/>
      <c r="E14" s="43" t="s">
        <v>496</v>
      </c>
      <c r="F14" s="43"/>
      <c r="G14" s="61" t="s">
        <v>0</v>
      </c>
    </row>
    <row r="15" spans="3:10" ht="20.100000000000001" customHeight="1" x14ac:dyDescent="0.25">
      <c r="C15" s="47">
        <f t="shared" si="0"/>
        <v>10</v>
      </c>
      <c r="D15" s="10" t="s">
        <v>322</v>
      </c>
      <c r="E15" s="9" t="s">
        <v>321</v>
      </c>
      <c r="F15" s="10" t="s">
        <v>323</v>
      </c>
      <c r="G15" s="8" t="s">
        <v>0</v>
      </c>
    </row>
    <row r="16" spans="3:10" ht="20.100000000000001" customHeight="1" x14ac:dyDescent="0.25">
      <c r="C16" s="47">
        <f t="shared" si="0"/>
        <v>11</v>
      </c>
      <c r="D16" s="10" t="s">
        <v>585</v>
      </c>
      <c r="E16" s="9" t="s">
        <v>17</v>
      </c>
      <c r="F16" s="10" t="s">
        <v>586</v>
      </c>
      <c r="G16" s="8" t="s">
        <v>0</v>
      </c>
    </row>
    <row r="17" spans="3:7" ht="20.100000000000001" customHeight="1" x14ac:dyDescent="0.25">
      <c r="C17" s="47">
        <f t="shared" si="0"/>
        <v>12</v>
      </c>
      <c r="D17" s="10" t="s">
        <v>594</v>
      </c>
      <c r="E17" s="9" t="s">
        <v>590</v>
      </c>
      <c r="F17" s="10" t="s">
        <v>595</v>
      </c>
      <c r="G17" s="8" t="s">
        <v>0</v>
      </c>
    </row>
    <row r="18" spans="3:7" ht="20.100000000000001" customHeight="1" x14ac:dyDescent="0.25">
      <c r="C18" s="47">
        <f t="shared" si="0"/>
        <v>13</v>
      </c>
      <c r="D18" s="10" t="s">
        <v>577</v>
      </c>
      <c r="E18" s="9" t="s">
        <v>108</v>
      </c>
      <c r="F18" s="10" t="s">
        <v>578</v>
      </c>
      <c r="G18" s="8" t="s">
        <v>0</v>
      </c>
    </row>
    <row r="19" spans="3:7" ht="20.100000000000001" customHeight="1" x14ac:dyDescent="0.25">
      <c r="C19" s="47">
        <f t="shared" si="0"/>
        <v>14</v>
      </c>
      <c r="D19" s="10" t="s">
        <v>361</v>
      </c>
      <c r="E19" s="9" t="s">
        <v>26</v>
      </c>
      <c r="F19" s="10" t="s">
        <v>310</v>
      </c>
      <c r="G19" s="8" t="s">
        <v>0</v>
      </c>
    </row>
    <row r="20" spans="3:7" ht="20.100000000000001" customHeight="1" x14ac:dyDescent="0.25">
      <c r="C20" s="47">
        <f t="shared" si="0"/>
        <v>15</v>
      </c>
      <c r="D20" s="10" t="s">
        <v>599</v>
      </c>
      <c r="E20" s="9" t="s">
        <v>592</v>
      </c>
      <c r="F20" s="10" t="s">
        <v>600</v>
      </c>
      <c r="G20" s="8" t="s">
        <v>0</v>
      </c>
    </row>
    <row r="21" spans="3:7" ht="20.100000000000001" customHeight="1" x14ac:dyDescent="0.25">
      <c r="C21" s="47">
        <f t="shared" si="0"/>
        <v>16</v>
      </c>
      <c r="D21" s="10" t="s">
        <v>139</v>
      </c>
      <c r="E21" s="9" t="s">
        <v>137</v>
      </c>
      <c r="F21" s="10" t="s">
        <v>140</v>
      </c>
      <c r="G21" s="8" t="s">
        <v>0</v>
      </c>
    </row>
    <row r="22" spans="3:7" ht="20.100000000000001" customHeight="1" x14ac:dyDescent="0.25">
      <c r="C22" s="47">
        <f t="shared" si="0"/>
        <v>17</v>
      </c>
      <c r="D22" s="10" t="s">
        <v>597</v>
      </c>
      <c r="E22" s="9" t="s">
        <v>591</v>
      </c>
      <c r="F22" s="10" t="s">
        <v>598</v>
      </c>
      <c r="G22" s="8" t="s">
        <v>0</v>
      </c>
    </row>
    <row r="23" spans="3:7" ht="20.100000000000001" customHeight="1" x14ac:dyDescent="0.25">
      <c r="C23" s="47">
        <f t="shared" si="0"/>
        <v>18</v>
      </c>
      <c r="D23" s="10" t="s">
        <v>460</v>
      </c>
      <c r="E23" s="9" t="s">
        <v>106</v>
      </c>
      <c r="F23" s="10" t="s">
        <v>461</v>
      </c>
      <c r="G23" s="8" t="s">
        <v>0</v>
      </c>
    </row>
    <row r="24" spans="3:7" ht="20.100000000000001" customHeight="1" x14ac:dyDescent="0.25">
      <c r="C24" s="47">
        <f t="shared" si="0"/>
        <v>19</v>
      </c>
      <c r="D24" s="10" t="s">
        <v>470</v>
      </c>
      <c r="E24" s="9" t="s">
        <v>420</v>
      </c>
      <c r="F24" s="10" t="s">
        <v>471</v>
      </c>
      <c r="G24" s="8" t="s">
        <v>1</v>
      </c>
    </row>
    <row r="25" spans="3:7" ht="20.100000000000001" customHeight="1" x14ac:dyDescent="0.25">
      <c r="C25" s="47">
        <f t="shared" si="0"/>
        <v>20</v>
      </c>
      <c r="D25" s="10" t="s">
        <v>92</v>
      </c>
      <c r="E25" s="9" t="s">
        <v>91</v>
      </c>
      <c r="F25" s="10" t="s">
        <v>93</v>
      </c>
      <c r="G25" s="8" t="s">
        <v>0</v>
      </c>
    </row>
    <row r="26" spans="3:7" ht="20.100000000000001" customHeight="1" x14ac:dyDescent="0.25">
      <c r="C26" s="47">
        <f t="shared" si="0"/>
        <v>21</v>
      </c>
      <c r="D26" s="10" t="s">
        <v>475</v>
      </c>
      <c r="E26" s="9" t="s">
        <v>423</v>
      </c>
      <c r="F26" s="10" t="s">
        <v>379</v>
      </c>
      <c r="G26" s="8" t="s">
        <v>1</v>
      </c>
    </row>
    <row r="27" spans="3:7" ht="20.100000000000001" customHeight="1" x14ac:dyDescent="0.25">
      <c r="C27" s="47">
        <f t="shared" si="0"/>
        <v>22</v>
      </c>
      <c r="D27" s="10" t="s">
        <v>458</v>
      </c>
      <c r="E27" s="9" t="s">
        <v>457</v>
      </c>
      <c r="F27" s="10" t="s">
        <v>459</v>
      </c>
      <c r="G27" s="8" t="s">
        <v>1</v>
      </c>
    </row>
    <row r="28" spans="3:7" ht="20.100000000000001" customHeight="1" x14ac:dyDescent="0.25">
      <c r="C28" s="47">
        <f t="shared" si="0"/>
        <v>23</v>
      </c>
      <c r="D28" s="10" t="s">
        <v>129</v>
      </c>
      <c r="E28" s="9" t="s">
        <v>128</v>
      </c>
      <c r="F28" s="10" t="s">
        <v>130</v>
      </c>
      <c r="G28" s="8" t="s">
        <v>1</v>
      </c>
    </row>
    <row r="29" spans="3:7" ht="20.100000000000001" customHeight="1" x14ac:dyDescent="0.25">
      <c r="C29" s="47">
        <f t="shared" si="0"/>
        <v>24</v>
      </c>
      <c r="D29" s="10" t="s">
        <v>580</v>
      </c>
      <c r="E29" s="9" t="s">
        <v>255</v>
      </c>
      <c r="F29" s="10" t="s">
        <v>500</v>
      </c>
      <c r="G29" s="8" t="s">
        <v>0</v>
      </c>
    </row>
    <row r="30" spans="3:7" ht="20.100000000000001" customHeight="1" x14ac:dyDescent="0.25">
      <c r="C30" s="47">
        <f t="shared" si="0"/>
        <v>25</v>
      </c>
      <c r="D30" s="10" t="s">
        <v>412</v>
      </c>
      <c r="E30" s="9" t="s">
        <v>411</v>
      </c>
      <c r="F30" s="10" t="s">
        <v>344</v>
      </c>
      <c r="G30" s="8" t="s">
        <v>0</v>
      </c>
    </row>
    <row r="31" spans="3:7" ht="20.100000000000001" customHeight="1" x14ac:dyDescent="0.25">
      <c r="C31" s="47">
        <f t="shared" si="0"/>
        <v>26</v>
      </c>
      <c r="D31" s="10" t="s">
        <v>291</v>
      </c>
      <c r="E31" s="9" t="s">
        <v>290</v>
      </c>
      <c r="F31" s="10" t="s">
        <v>292</v>
      </c>
      <c r="G31" s="8" t="s">
        <v>1</v>
      </c>
    </row>
    <row r="32" spans="3:7" ht="20.100000000000001" customHeight="1" x14ac:dyDescent="0.25">
      <c r="C32" s="47">
        <f t="shared" si="0"/>
        <v>27</v>
      </c>
      <c r="D32" s="10" t="s">
        <v>185</v>
      </c>
      <c r="E32" s="9" t="s">
        <v>51</v>
      </c>
      <c r="F32" s="10" t="s">
        <v>186</v>
      </c>
      <c r="G32" s="8" t="s">
        <v>1</v>
      </c>
    </row>
    <row r="33" spans="3:7" ht="20.100000000000001" customHeight="1" x14ac:dyDescent="0.25">
      <c r="C33" s="47">
        <f t="shared" si="0"/>
        <v>28</v>
      </c>
      <c r="D33" s="10" t="s">
        <v>352</v>
      </c>
      <c r="E33" s="9" t="s">
        <v>121</v>
      </c>
      <c r="F33" s="10" t="s">
        <v>240</v>
      </c>
      <c r="G33" s="8" t="s">
        <v>1</v>
      </c>
    </row>
    <row r="34" spans="3:7" x14ac:dyDescent="0.25">
      <c r="C34" s="47">
        <f t="shared" si="0"/>
        <v>29</v>
      </c>
      <c r="D34" s="10" t="s">
        <v>353</v>
      </c>
      <c r="E34" s="9" t="s">
        <v>57</v>
      </c>
      <c r="F34" s="11" t="s">
        <v>285</v>
      </c>
      <c r="G34" s="8" t="s">
        <v>0</v>
      </c>
    </row>
    <row r="35" spans="3:7" x14ac:dyDescent="0.25">
      <c r="C35" s="47">
        <f t="shared" si="0"/>
        <v>30</v>
      </c>
      <c r="D35" s="10" t="s">
        <v>619</v>
      </c>
      <c r="E35" s="9" t="s">
        <v>99</v>
      </c>
      <c r="F35" s="10" t="s">
        <v>620</v>
      </c>
      <c r="G35" s="8" t="s">
        <v>1</v>
      </c>
    </row>
    <row r="36" spans="3:7" x14ac:dyDescent="0.25">
      <c r="C36" s="47">
        <f t="shared" si="0"/>
        <v>31</v>
      </c>
      <c r="D36" s="10" t="s">
        <v>647</v>
      </c>
      <c r="E36" s="9" t="s">
        <v>646</v>
      </c>
      <c r="F36" s="9" t="s">
        <v>648</v>
      </c>
      <c r="G36" s="8" t="s">
        <v>1</v>
      </c>
    </row>
  </sheetData>
  <mergeCells count="7">
    <mergeCell ref="J4:J5"/>
    <mergeCell ref="C4:C5"/>
    <mergeCell ref="D4:D5"/>
    <mergeCell ref="E4:E5"/>
    <mergeCell ref="F4:F5"/>
    <mergeCell ref="G4:G5"/>
    <mergeCell ref="I4:I5"/>
  </mergeCells>
  <pageMargins left="0.42" right="0.25" top="0.75" bottom="0.75" header="0.3" footer="0.3"/>
  <pageSetup paperSize="9" scale="85"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6"/>
  <sheetViews>
    <sheetView topLeftCell="A28" workbookViewId="0">
      <selection activeCell="F5" sqref="F5:F18"/>
    </sheetView>
  </sheetViews>
  <sheetFormatPr defaultRowHeight="15" x14ac:dyDescent="0.25"/>
  <cols>
    <col min="1" max="1" width="4" style="4" customWidth="1"/>
    <col min="5" max="5" width="12.42578125" bestFit="1" customWidth="1"/>
    <col min="6" max="6" width="39.140625" bestFit="1" customWidth="1"/>
    <col min="7" max="7" width="20.42578125" bestFit="1" customWidth="1"/>
    <col min="8" max="8" width="15.5703125" bestFit="1" customWidth="1"/>
    <col min="11" max="11" width="17.7109375" customWidth="1"/>
  </cols>
  <sheetData>
    <row r="3" spans="4:11" ht="20.100000000000001" customHeight="1" x14ac:dyDescent="0.25">
      <c r="D3" s="103" t="s">
        <v>1112</v>
      </c>
      <c r="E3" s="103" t="s">
        <v>1113</v>
      </c>
      <c r="F3" s="103" t="s">
        <v>1114</v>
      </c>
      <c r="G3" s="103" t="s">
        <v>1115</v>
      </c>
      <c r="H3" s="103" t="s">
        <v>1116</v>
      </c>
      <c r="J3" s="103" t="s">
        <v>1117</v>
      </c>
      <c r="K3" s="103" t="s">
        <v>1118</v>
      </c>
    </row>
    <row r="4" spans="4:11" ht="20.100000000000001" customHeight="1" x14ac:dyDescent="0.25">
      <c r="D4" s="103"/>
      <c r="E4" s="103"/>
      <c r="F4" s="103"/>
      <c r="G4" s="103"/>
      <c r="H4" s="103"/>
      <c r="J4" s="103"/>
      <c r="K4" s="103"/>
    </row>
    <row r="5" spans="4:11" ht="20.100000000000001" customHeight="1" x14ac:dyDescent="0.25">
      <c r="D5" s="47">
        <v>1</v>
      </c>
      <c r="E5" s="45" t="s">
        <v>650</v>
      </c>
      <c r="F5" s="73" t="s">
        <v>649</v>
      </c>
      <c r="G5" s="20" t="s">
        <v>651</v>
      </c>
      <c r="H5" s="28" t="s">
        <v>1</v>
      </c>
      <c r="J5" s="67">
        <f>COUNTIF(H5:H38,"L")</f>
        <v>10</v>
      </c>
      <c r="K5" s="68" t="s">
        <v>1120</v>
      </c>
    </row>
    <row r="6" spans="4:11" ht="20.100000000000001" customHeight="1" x14ac:dyDescent="0.25">
      <c r="D6" s="47">
        <f>1+D5</f>
        <v>2</v>
      </c>
      <c r="E6" s="45" t="s">
        <v>653</v>
      </c>
      <c r="F6" s="73" t="s">
        <v>652</v>
      </c>
      <c r="G6" s="20" t="s">
        <v>654</v>
      </c>
      <c r="H6" s="28" t="s">
        <v>1</v>
      </c>
      <c r="J6" s="69">
        <f>COUNTIF(H5:H38,"P")</f>
        <v>20</v>
      </c>
      <c r="K6" s="70" t="s">
        <v>1121</v>
      </c>
    </row>
    <row r="7" spans="4:11" ht="20.100000000000001" customHeight="1" x14ac:dyDescent="0.25">
      <c r="D7" s="47">
        <f t="shared" ref="D7:D34" si="0">1+D6</f>
        <v>3</v>
      </c>
      <c r="E7" s="45" t="s">
        <v>656</v>
      </c>
      <c r="F7" s="73" t="s">
        <v>655</v>
      </c>
      <c r="G7" s="20" t="s">
        <v>657</v>
      </c>
      <c r="H7" s="28" t="s">
        <v>0</v>
      </c>
      <c r="J7" s="71">
        <f>SUM(J5:J6)</f>
        <v>30</v>
      </c>
      <c r="K7" s="71" t="s">
        <v>1122</v>
      </c>
    </row>
    <row r="8" spans="4:11" ht="20.100000000000001" customHeight="1" x14ac:dyDescent="0.25">
      <c r="D8" s="47">
        <f t="shared" si="0"/>
        <v>4</v>
      </c>
      <c r="E8" s="45" t="s">
        <v>659</v>
      </c>
      <c r="F8" s="96" t="s">
        <v>658</v>
      </c>
      <c r="G8" s="20" t="s">
        <v>529</v>
      </c>
      <c r="H8" s="28" t="s">
        <v>0</v>
      </c>
    </row>
    <row r="9" spans="4:11" ht="20.100000000000001" customHeight="1" x14ac:dyDescent="0.25">
      <c r="D9" s="47">
        <f t="shared" si="0"/>
        <v>5</v>
      </c>
      <c r="E9" s="45" t="s">
        <v>661</v>
      </c>
      <c r="F9" s="73" t="s">
        <v>660</v>
      </c>
      <c r="G9" s="20" t="s">
        <v>662</v>
      </c>
      <c r="H9" s="28" t="s">
        <v>1</v>
      </c>
    </row>
    <row r="10" spans="4:11" ht="20.100000000000001" customHeight="1" x14ac:dyDescent="0.25">
      <c r="D10" s="47">
        <f t="shared" si="0"/>
        <v>6</v>
      </c>
      <c r="E10" s="45" t="s">
        <v>664</v>
      </c>
      <c r="F10" s="73" t="s">
        <v>663</v>
      </c>
      <c r="G10" s="46" t="s">
        <v>665</v>
      </c>
      <c r="H10" s="28" t="s">
        <v>0</v>
      </c>
    </row>
    <row r="11" spans="4:11" ht="20.100000000000001" customHeight="1" x14ac:dyDescent="0.25">
      <c r="D11" s="47">
        <f t="shared" si="0"/>
        <v>7</v>
      </c>
      <c r="E11" s="45" t="s">
        <v>667</v>
      </c>
      <c r="F11" s="73" t="s">
        <v>666</v>
      </c>
      <c r="G11" s="14" t="s">
        <v>668</v>
      </c>
      <c r="H11" s="28" t="s">
        <v>0</v>
      </c>
    </row>
    <row r="12" spans="4:11" ht="20.100000000000001" customHeight="1" x14ac:dyDescent="0.25">
      <c r="D12" s="47">
        <f t="shared" si="0"/>
        <v>8</v>
      </c>
      <c r="E12" s="45" t="s">
        <v>670</v>
      </c>
      <c r="F12" s="73" t="s">
        <v>669</v>
      </c>
      <c r="G12" s="20" t="s">
        <v>671</v>
      </c>
      <c r="H12" s="28" t="s">
        <v>1</v>
      </c>
    </row>
    <row r="13" spans="4:11" ht="20.100000000000001" customHeight="1" x14ac:dyDescent="0.25">
      <c r="D13" s="47">
        <f t="shared" si="0"/>
        <v>9</v>
      </c>
      <c r="E13" s="45" t="s">
        <v>673</v>
      </c>
      <c r="F13" s="73" t="s">
        <v>672</v>
      </c>
      <c r="G13" s="20" t="s">
        <v>674</v>
      </c>
      <c r="H13" s="28" t="s">
        <v>0</v>
      </c>
    </row>
    <row r="14" spans="4:11" ht="20.100000000000001" customHeight="1" x14ac:dyDescent="0.25">
      <c r="D14" s="47">
        <f t="shared" si="0"/>
        <v>10</v>
      </c>
      <c r="E14" s="45" t="s">
        <v>676</v>
      </c>
      <c r="F14" s="73" t="s">
        <v>675</v>
      </c>
      <c r="G14" s="20" t="s">
        <v>677</v>
      </c>
      <c r="H14" s="28" t="s">
        <v>1</v>
      </c>
    </row>
    <row r="15" spans="4:11" ht="20.100000000000001" customHeight="1" x14ac:dyDescent="0.25">
      <c r="D15" s="47">
        <f t="shared" si="0"/>
        <v>11</v>
      </c>
      <c r="E15" s="45" t="s">
        <v>679</v>
      </c>
      <c r="F15" s="73" t="s">
        <v>678</v>
      </c>
      <c r="G15" s="20" t="s">
        <v>680</v>
      </c>
      <c r="H15" s="28" t="s">
        <v>0</v>
      </c>
    </row>
    <row r="16" spans="4:11" ht="20.100000000000001" customHeight="1" x14ac:dyDescent="0.25">
      <c r="D16" s="47">
        <f t="shared" si="0"/>
        <v>12</v>
      </c>
      <c r="E16" s="45" t="s">
        <v>682</v>
      </c>
      <c r="F16" s="73" t="s">
        <v>681</v>
      </c>
      <c r="G16" s="14" t="s">
        <v>683</v>
      </c>
      <c r="H16" s="28" t="s">
        <v>1</v>
      </c>
    </row>
    <row r="17" spans="4:8" ht="20.100000000000001" customHeight="1" x14ac:dyDescent="0.25">
      <c r="D17" s="47">
        <f t="shared" si="0"/>
        <v>13</v>
      </c>
      <c r="E17" s="45" t="s">
        <v>685</v>
      </c>
      <c r="F17" s="73" t="s">
        <v>684</v>
      </c>
      <c r="G17" s="20" t="s">
        <v>686</v>
      </c>
      <c r="H17" s="28" t="s">
        <v>0</v>
      </c>
    </row>
    <row r="18" spans="4:8" ht="20.100000000000001" customHeight="1" x14ac:dyDescent="0.25">
      <c r="D18" s="47">
        <f t="shared" si="0"/>
        <v>14</v>
      </c>
      <c r="E18" s="45" t="s">
        <v>688</v>
      </c>
      <c r="F18" s="73" t="s">
        <v>687</v>
      </c>
      <c r="G18" s="20" t="s">
        <v>372</v>
      </c>
      <c r="H18" s="28" t="s">
        <v>1</v>
      </c>
    </row>
    <row r="19" spans="4:8" ht="20.100000000000001" customHeight="1" x14ac:dyDescent="0.25">
      <c r="D19" s="47">
        <f t="shared" si="0"/>
        <v>15</v>
      </c>
      <c r="E19" s="45" t="s">
        <v>690</v>
      </c>
      <c r="F19" s="7" t="s">
        <v>689</v>
      </c>
      <c r="G19" s="20" t="s">
        <v>691</v>
      </c>
      <c r="H19" s="28" t="s">
        <v>1</v>
      </c>
    </row>
    <row r="20" spans="4:8" ht="20.100000000000001" customHeight="1" x14ac:dyDescent="0.25">
      <c r="D20" s="47">
        <f t="shared" si="0"/>
        <v>16</v>
      </c>
      <c r="E20" s="45" t="s">
        <v>693</v>
      </c>
      <c r="F20" s="7" t="s">
        <v>692</v>
      </c>
      <c r="G20" s="20" t="s">
        <v>694</v>
      </c>
      <c r="H20" s="28" t="s">
        <v>0</v>
      </c>
    </row>
    <row r="21" spans="4:8" ht="20.100000000000001" customHeight="1" x14ac:dyDescent="0.25">
      <c r="D21" s="47">
        <f t="shared" si="0"/>
        <v>17</v>
      </c>
      <c r="E21" s="45" t="s">
        <v>696</v>
      </c>
      <c r="F21" s="7" t="s">
        <v>695</v>
      </c>
      <c r="G21" s="20" t="s">
        <v>697</v>
      </c>
      <c r="H21" s="28" t="s">
        <v>0</v>
      </c>
    </row>
    <row r="22" spans="4:8" ht="20.100000000000001" customHeight="1" x14ac:dyDescent="0.25">
      <c r="D22" s="47">
        <f t="shared" si="0"/>
        <v>18</v>
      </c>
      <c r="E22" s="45" t="s">
        <v>699</v>
      </c>
      <c r="F22" s="7" t="s">
        <v>698</v>
      </c>
      <c r="G22" s="20" t="s">
        <v>700</v>
      </c>
      <c r="H22" s="28" t="s">
        <v>0</v>
      </c>
    </row>
    <row r="23" spans="4:8" ht="20.100000000000001" customHeight="1" x14ac:dyDescent="0.25">
      <c r="D23" s="47">
        <f t="shared" si="0"/>
        <v>19</v>
      </c>
      <c r="E23" s="45" t="s">
        <v>702</v>
      </c>
      <c r="F23" s="7" t="s">
        <v>701</v>
      </c>
      <c r="G23" s="20" t="s">
        <v>703</v>
      </c>
      <c r="H23" s="28" t="s">
        <v>0</v>
      </c>
    </row>
    <row r="24" spans="4:8" ht="20.100000000000001" customHeight="1" x14ac:dyDescent="0.25">
      <c r="D24" s="47">
        <f t="shared" si="0"/>
        <v>20</v>
      </c>
      <c r="E24" s="45" t="s">
        <v>705</v>
      </c>
      <c r="F24" s="7" t="s">
        <v>704</v>
      </c>
      <c r="G24" s="14" t="s">
        <v>706</v>
      </c>
      <c r="H24" s="28" t="s">
        <v>0</v>
      </c>
    </row>
    <row r="25" spans="4:8" ht="20.100000000000001" customHeight="1" x14ac:dyDescent="0.25">
      <c r="D25" s="47">
        <f t="shared" si="0"/>
        <v>21</v>
      </c>
      <c r="E25" s="45" t="s">
        <v>708</v>
      </c>
      <c r="F25" s="7" t="s">
        <v>707</v>
      </c>
      <c r="G25" s="20" t="s">
        <v>709</v>
      </c>
      <c r="H25" s="28" t="s">
        <v>0</v>
      </c>
    </row>
    <row r="26" spans="4:8" ht="20.100000000000001" customHeight="1" x14ac:dyDescent="0.25">
      <c r="D26" s="47">
        <f t="shared" si="0"/>
        <v>22</v>
      </c>
      <c r="E26" s="45" t="s">
        <v>711</v>
      </c>
      <c r="F26" s="7" t="s">
        <v>710</v>
      </c>
      <c r="G26" s="46" t="s">
        <v>712</v>
      </c>
      <c r="H26" s="28" t="s">
        <v>1</v>
      </c>
    </row>
    <row r="27" spans="4:8" ht="20.100000000000001" customHeight="1" x14ac:dyDescent="0.25">
      <c r="D27" s="47">
        <f t="shared" si="0"/>
        <v>23</v>
      </c>
      <c r="E27" s="45" t="s">
        <v>714</v>
      </c>
      <c r="F27" s="7" t="s">
        <v>713</v>
      </c>
      <c r="G27" s="20" t="s">
        <v>715</v>
      </c>
      <c r="H27" s="28" t="s">
        <v>0</v>
      </c>
    </row>
    <row r="28" spans="4:8" ht="20.100000000000001" customHeight="1" x14ac:dyDescent="0.25">
      <c r="D28" s="47">
        <f t="shared" si="0"/>
        <v>24</v>
      </c>
      <c r="E28" s="45" t="s">
        <v>717</v>
      </c>
      <c r="F28" s="7" t="s">
        <v>716</v>
      </c>
      <c r="G28" s="20" t="s">
        <v>718</v>
      </c>
      <c r="H28" s="28" t="s">
        <v>0</v>
      </c>
    </row>
    <row r="29" spans="4:8" ht="20.100000000000001" customHeight="1" x14ac:dyDescent="0.25">
      <c r="D29" s="47">
        <f t="shared" si="0"/>
        <v>25</v>
      </c>
      <c r="E29" s="45" t="s">
        <v>720</v>
      </c>
      <c r="F29" s="7" t="s">
        <v>719</v>
      </c>
      <c r="G29" s="20" t="s">
        <v>721</v>
      </c>
      <c r="H29" s="28" t="s">
        <v>0</v>
      </c>
    </row>
    <row r="30" spans="4:8" ht="20.100000000000001" customHeight="1" x14ac:dyDescent="0.25">
      <c r="D30" s="47">
        <f t="shared" si="0"/>
        <v>26</v>
      </c>
      <c r="E30" s="45" t="s">
        <v>723</v>
      </c>
      <c r="F30" s="7" t="s">
        <v>722</v>
      </c>
      <c r="G30" s="20" t="s">
        <v>724</v>
      </c>
      <c r="H30" s="28" t="s">
        <v>0</v>
      </c>
    </row>
    <row r="31" spans="4:8" ht="20.100000000000001" customHeight="1" x14ac:dyDescent="0.25">
      <c r="D31" s="47">
        <f t="shared" si="0"/>
        <v>27</v>
      </c>
      <c r="E31" s="45" t="s">
        <v>726</v>
      </c>
      <c r="F31" s="7" t="s">
        <v>725</v>
      </c>
      <c r="G31" s="20" t="s">
        <v>727</v>
      </c>
      <c r="H31" s="28" t="s">
        <v>0</v>
      </c>
    </row>
    <row r="32" spans="4:8" ht="20.100000000000001" customHeight="1" x14ac:dyDescent="0.25">
      <c r="D32" s="47">
        <f t="shared" si="0"/>
        <v>28</v>
      </c>
      <c r="E32" s="45" t="s">
        <v>729</v>
      </c>
      <c r="F32" s="7" t="s">
        <v>728</v>
      </c>
      <c r="G32" s="20" t="s">
        <v>730</v>
      </c>
      <c r="H32" s="28" t="s">
        <v>0</v>
      </c>
    </row>
    <row r="33" spans="1:8" x14ac:dyDescent="0.25">
      <c r="D33" s="47">
        <f t="shared" si="0"/>
        <v>29</v>
      </c>
      <c r="E33" s="45" t="s">
        <v>732</v>
      </c>
      <c r="F33" s="7" t="s">
        <v>731</v>
      </c>
      <c r="G33" s="20" t="s">
        <v>733</v>
      </c>
      <c r="H33" s="28" t="s">
        <v>0</v>
      </c>
    </row>
    <row r="34" spans="1:8" x14ac:dyDescent="0.25">
      <c r="D34" s="47">
        <f t="shared" si="0"/>
        <v>30</v>
      </c>
      <c r="E34" s="49" t="s">
        <v>735</v>
      </c>
      <c r="F34" s="48" t="s">
        <v>734</v>
      </c>
      <c r="G34" s="45" t="s">
        <v>736</v>
      </c>
      <c r="H34" s="28" t="s">
        <v>1</v>
      </c>
    </row>
    <row r="35" spans="1:8" x14ac:dyDescent="0.25">
      <c r="A35" s="50">
        <f>COUNTIF(H5:H34,"L")</f>
        <v>10</v>
      </c>
    </row>
    <row r="36" spans="1:8" x14ac:dyDescent="0.25">
      <c r="A36" s="50">
        <f>COUNTIF(A3:A33,"P")</f>
        <v>0</v>
      </c>
    </row>
  </sheetData>
  <mergeCells count="7">
    <mergeCell ref="K3:K4"/>
    <mergeCell ref="D3:D4"/>
    <mergeCell ref="E3:E4"/>
    <mergeCell ref="F3:F4"/>
    <mergeCell ref="G3:G4"/>
    <mergeCell ref="H3:H4"/>
    <mergeCell ref="J3:J4"/>
  </mergeCells>
  <conditionalFormatting sqref="F5:F34">
    <cfRule type="expression" dxfId="95" priority="1">
      <formula>SEARCH($B$5,$B3)</formula>
    </cfRule>
    <cfRule type="duplicateValues" dxfId="94" priority="2"/>
    <cfRule type="duplicateValues" dxfId="93" priority="3"/>
    <cfRule type="duplicateValues" dxfId="92" priority="4"/>
    <cfRule type="duplicateValues" dxfId="91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4"/>
  <sheetViews>
    <sheetView topLeftCell="A16" workbookViewId="0">
      <selection activeCell="D20" sqref="D20"/>
    </sheetView>
  </sheetViews>
  <sheetFormatPr defaultRowHeight="15" x14ac:dyDescent="0.25"/>
  <cols>
    <col min="1" max="1" width="17.85546875" customWidth="1"/>
    <col min="5" max="5" width="12.42578125" bestFit="1" customWidth="1"/>
    <col min="6" max="6" width="39.140625" bestFit="1" customWidth="1"/>
    <col min="7" max="7" width="20.42578125" bestFit="1" customWidth="1"/>
    <col min="8" max="8" width="15.5703125" bestFit="1" customWidth="1"/>
    <col min="11" max="11" width="17.7109375" customWidth="1"/>
  </cols>
  <sheetData>
    <row r="2" spans="2:11" x14ac:dyDescent="0.25">
      <c r="B2" s="4"/>
      <c r="C2" s="4"/>
      <c r="D2" s="103" t="s">
        <v>1112</v>
      </c>
      <c r="E2" s="103" t="s">
        <v>1113</v>
      </c>
      <c r="F2" s="103" t="s">
        <v>1114</v>
      </c>
      <c r="G2" s="103" t="s">
        <v>1115</v>
      </c>
      <c r="H2" s="103" t="s">
        <v>1116</v>
      </c>
      <c r="J2" s="103" t="s">
        <v>1117</v>
      </c>
      <c r="K2" s="103" t="s">
        <v>1118</v>
      </c>
    </row>
    <row r="3" spans="2:11" x14ac:dyDescent="0.25">
      <c r="B3" s="4"/>
      <c r="C3" s="4"/>
      <c r="D3" s="103"/>
      <c r="E3" s="103"/>
      <c r="F3" s="103"/>
      <c r="G3" s="103"/>
      <c r="H3" s="103"/>
      <c r="J3" s="103"/>
      <c r="K3" s="103"/>
    </row>
    <row r="4" spans="2:11" x14ac:dyDescent="0.25">
      <c r="B4" s="4"/>
      <c r="C4" s="4"/>
      <c r="D4" s="47">
        <v>1</v>
      </c>
      <c r="E4" s="20" t="s">
        <v>738</v>
      </c>
      <c r="F4" s="78" t="s">
        <v>737</v>
      </c>
      <c r="G4" s="20" t="s">
        <v>739</v>
      </c>
      <c r="H4" s="14" t="s">
        <v>1</v>
      </c>
      <c r="J4" s="67">
        <f>COUNTIF(H4:H37,"L")</f>
        <v>8</v>
      </c>
      <c r="K4" s="68" t="s">
        <v>1120</v>
      </c>
    </row>
    <row r="5" spans="2:11" x14ac:dyDescent="0.25">
      <c r="B5" s="4"/>
      <c r="C5" s="4"/>
      <c r="D5" s="47">
        <f>1+D4</f>
        <v>2</v>
      </c>
      <c r="E5" s="20" t="s">
        <v>741</v>
      </c>
      <c r="F5" s="78" t="s">
        <v>740</v>
      </c>
      <c r="G5" s="20" t="s">
        <v>742</v>
      </c>
      <c r="H5" s="14" t="s">
        <v>0</v>
      </c>
      <c r="J5" s="69">
        <f>COUNTIF(H4:H37,"P")</f>
        <v>21</v>
      </c>
      <c r="K5" s="70" t="s">
        <v>1121</v>
      </c>
    </row>
    <row r="6" spans="2:11" x14ac:dyDescent="0.25">
      <c r="B6" s="4"/>
      <c r="C6" s="4"/>
      <c r="D6" s="47">
        <f t="shared" ref="D6:D34" si="0">1+D5</f>
        <v>3</v>
      </c>
      <c r="E6" s="20" t="s">
        <v>744</v>
      </c>
      <c r="F6" s="78" t="s">
        <v>743</v>
      </c>
      <c r="G6" s="20" t="s">
        <v>745</v>
      </c>
      <c r="H6" s="14" t="s">
        <v>1</v>
      </c>
      <c r="J6" s="71">
        <f>SUM(J4:J5)</f>
        <v>29</v>
      </c>
      <c r="K6" s="71" t="s">
        <v>1122</v>
      </c>
    </row>
    <row r="7" spans="2:11" x14ac:dyDescent="0.25">
      <c r="B7" s="4"/>
      <c r="C7" s="4"/>
      <c r="D7" s="47">
        <f t="shared" si="0"/>
        <v>4</v>
      </c>
      <c r="E7" s="20" t="s">
        <v>747</v>
      </c>
      <c r="F7" s="78" t="s">
        <v>746</v>
      </c>
      <c r="G7" s="20" t="s">
        <v>173</v>
      </c>
      <c r="H7" s="14" t="s">
        <v>1</v>
      </c>
    </row>
    <row r="8" spans="2:11" s="5" customFormat="1" x14ac:dyDescent="0.25">
      <c r="B8" s="4"/>
      <c r="C8" s="4"/>
      <c r="D8" s="47">
        <f t="shared" si="0"/>
        <v>5</v>
      </c>
      <c r="E8" s="20" t="s">
        <v>749</v>
      </c>
      <c r="F8" s="78" t="s">
        <v>748</v>
      </c>
      <c r="G8" s="20" t="s">
        <v>750</v>
      </c>
      <c r="H8" s="14" t="s">
        <v>0</v>
      </c>
    </row>
    <row r="9" spans="2:11" x14ac:dyDescent="0.25">
      <c r="B9" s="4"/>
      <c r="C9" s="4"/>
      <c r="D9" s="47">
        <f t="shared" si="0"/>
        <v>6</v>
      </c>
      <c r="E9" s="20" t="s">
        <v>752</v>
      </c>
      <c r="F9" s="78" t="s">
        <v>751</v>
      </c>
      <c r="G9" s="20" t="s">
        <v>753</v>
      </c>
      <c r="H9" s="14" t="s">
        <v>0</v>
      </c>
    </row>
    <row r="10" spans="2:11" x14ac:dyDescent="0.25">
      <c r="B10" s="4"/>
      <c r="C10" s="4"/>
      <c r="D10" s="47">
        <f t="shared" si="0"/>
        <v>7</v>
      </c>
      <c r="E10" s="20" t="s">
        <v>755</v>
      </c>
      <c r="F10" s="78" t="s">
        <v>754</v>
      </c>
      <c r="G10" s="20" t="s">
        <v>756</v>
      </c>
      <c r="H10" s="14" t="s">
        <v>0</v>
      </c>
    </row>
    <row r="11" spans="2:11" x14ac:dyDescent="0.25">
      <c r="B11" s="4"/>
      <c r="C11" s="4"/>
      <c r="D11" s="47">
        <f t="shared" si="0"/>
        <v>8</v>
      </c>
      <c r="E11" s="20" t="s">
        <v>758</v>
      </c>
      <c r="F11" s="78" t="s">
        <v>757</v>
      </c>
      <c r="G11" s="20" t="s">
        <v>759</v>
      </c>
      <c r="H11" s="14" t="s">
        <v>0</v>
      </c>
    </row>
    <row r="12" spans="2:11" x14ac:dyDescent="0.25">
      <c r="B12" s="4"/>
      <c r="C12" s="4"/>
      <c r="D12" s="47">
        <f t="shared" si="0"/>
        <v>9</v>
      </c>
      <c r="E12" s="20" t="s">
        <v>761</v>
      </c>
      <c r="F12" s="78" t="s">
        <v>760</v>
      </c>
      <c r="G12" s="20" t="s">
        <v>762</v>
      </c>
      <c r="H12" s="14" t="s">
        <v>0</v>
      </c>
    </row>
    <row r="13" spans="2:11" x14ac:dyDescent="0.25">
      <c r="B13" s="4"/>
      <c r="C13" s="4"/>
      <c r="D13" s="47">
        <f t="shared" si="0"/>
        <v>10</v>
      </c>
      <c r="E13" s="20" t="s">
        <v>764</v>
      </c>
      <c r="F13" s="78" t="s">
        <v>763</v>
      </c>
      <c r="G13" s="20" t="s">
        <v>765</v>
      </c>
      <c r="H13" s="14" t="s">
        <v>0</v>
      </c>
    </row>
    <row r="14" spans="2:11" x14ac:dyDescent="0.25">
      <c r="B14" s="4"/>
      <c r="C14" s="4"/>
      <c r="D14" s="47">
        <f t="shared" si="0"/>
        <v>11</v>
      </c>
      <c r="E14" s="20" t="s">
        <v>767</v>
      </c>
      <c r="F14" s="78" t="s">
        <v>766</v>
      </c>
      <c r="G14" s="14" t="s">
        <v>768</v>
      </c>
      <c r="H14" s="14" t="s">
        <v>0</v>
      </c>
    </row>
    <row r="15" spans="2:11" x14ac:dyDescent="0.25">
      <c r="B15" s="4"/>
      <c r="C15" s="53"/>
      <c r="D15" s="47">
        <f t="shared" si="0"/>
        <v>12</v>
      </c>
      <c r="E15" s="20" t="s">
        <v>770</v>
      </c>
      <c r="F15" s="78" t="s">
        <v>769</v>
      </c>
      <c r="G15" s="20" t="s">
        <v>771</v>
      </c>
      <c r="H15" s="14" t="s">
        <v>0</v>
      </c>
    </row>
    <row r="16" spans="2:11" x14ac:dyDescent="0.25">
      <c r="B16" s="4"/>
      <c r="C16" s="4"/>
      <c r="D16" s="47">
        <f t="shared" si="0"/>
        <v>13</v>
      </c>
      <c r="E16" s="20" t="s">
        <v>773</v>
      </c>
      <c r="F16" s="78" t="s">
        <v>772</v>
      </c>
      <c r="G16" s="51">
        <v>39775</v>
      </c>
      <c r="H16" s="14" t="s">
        <v>1</v>
      </c>
    </row>
    <row r="17" spans="2:8" x14ac:dyDescent="0.25">
      <c r="B17" s="4"/>
      <c r="C17" s="4"/>
      <c r="D17" s="47">
        <f t="shared" si="0"/>
        <v>14</v>
      </c>
      <c r="E17" s="20" t="s">
        <v>775</v>
      </c>
      <c r="F17" s="78" t="s">
        <v>774</v>
      </c>
      <c r="G17" s="14" t="s">
        <v>776</v>
      </c>
      <c r="H17" s="14" t="s">
        <v>0</v>
      </c>
    </row>
    <row r="18" spans="2:8" x14ac:dyDescent="0.25">
      <c r="B18" s="4"/>
      <c r="C18" s="54"/>
      <c r="D18" s="47">
        <f t="shared" si="0"/>
        <v>15</v>
      </c>
      <c r="E18" s="20" t="s">
        <v>778</v>
      </c>
      <c r="F18" s="12" t="s">
        <v>777</v>
      </c>
      <c r="G18" s="20" t="s">
        <v>779</v>
      </c>
      <c r="H18" s="14" t="s">
        <v>0</v>
      </c>
    </row>
    <row r="19" spans="2:8" x14ac:dyDescent="0.25">
      <c r="B19" s="4"/>
      <c r="C19" s="4"/>
      <c r="D19" s="47">
        <f t="shared" si="0"/>
        <v>16</v>
      </c>
      <c r="E19" s="20" t="s">
        <v>781</v>
      </c>
      <c r="F19" s="12" t="s">
        <v>780</v>
      </c>
      <c r="G19" s="20" t="s">
        <v>782</v>
      </c>
      <c r="H19" s="14" t="s">
        <v>0</v>
      </c>
    </row>
    <row r="20" spans="2:8" x14ac:dyDescent="0.25">
      <c r="B20" s="4"/>
      <c r="C20" s="4"/>
      <c r="D20" s="84">
        <f t="shared" si="0"/>
        <v>17</v>
      </c>
      <c r="E20" s="61"/>
      <c r="F20" s="79" t="s">
        <v>783</v>
      </c>
      <c r="G20" s="61"/>
      <c r="H20" s="61" t="s">
        <v>0</v>
      </c>
    </row>
    <row r="21" spans="2:8" x14ac:dyDescent="0.25">
      <c r="B21" s="4"/>
      <c r="C21" s="4"/>
      <c r="D21" s="47">
        <f t="shared" si="0"/>
        <v>18</v>
      </c>
      <c r="E21" s="20" t="s">
        <v>785</v>
      </c>
      <c r="F21" s="12" t="s">
        <v>784</v>
      </c>
      <c r="G21" s="20" t="s">
        <v>786</v>
      </c>
      <c r="H21" s="14" t="s">
        <v>0</v>
      </c>
    </row>
    <row r="22" spans="2:8" x14ac:dyDescent="0.25">
      <c r="B22" s="4"/>
      <c r="C22" s="4"/>
      <c r="D22" s="47">
        <f t="shared" si="0"/>
        <v>19</v>
      </c>
      <c r="E22" s="20" t="s">
        <v>788</v>
      </c>
      <c r="F22" s="12" t="s">
        <v>787</v>
      </c>
      <c r="G22" s="20" t="s">
        <v>789</v>
      </c>
      <c r="H22" s="14" t="s">
        <v>0</v>
      </c>
    </row>
    <row r="23" spans="2:8" x14ac:dyDescent="0.25">
      <c r="B23" s="4"/>
      <c r="C23" s="4"/>
      <c r="D23" s="47">
        <f t="shared" si="0"/>
        <v>20</v>
      </c>
      <c r="E23" s="20" t="s">
        <v>791</v>
      </c>
      <c r="F23" s="12" t="s">
        <v>790</v>
      </c>
      <c r="G23" s="20" t="s">
        <v>792</v>
      </c>
      <c r="H23" s="14" t="s">
        <v>0</v>
      </c>
    </row>
    <row r="24" spans="2:8" x14ac:dyDescent="0.25">
      <c r="B24" s="4"/>
      <c r="C24" s="4"/>
      <c r="D24" s="47">
        <f t="shared" si="0"/>
        <v>21</v>
      </c>
      <c r="E24" s="20" t="s">
        <v>794</v>
      </c>
      <c r="F24" s="12" t="s">
        <v>793</v>
      </c>
      <c r="G24" s="20" t="s">
        <v>795</v>
      </c>
      <c r="H24" s="14" t="s">
        <v>1</v>
      </c>
    </row>
    <row r="25" spans="2:8" x14ac:dyDescent="0.25">
      <c r="B25" s="4"/>
      <c r="C25" s="4"/>
      <c r="D25" s="47">
        <f t="shared" si="0"/>
        <v>22</v>
      </c>
      <c r="E25" s="20" t="s">
        <v>797</v>
      </c>
      <c r="F25" s="12" t="s">
        <v>796</v>
      </c>
      <c r="G25" s="51">
        <v>39774</v>
      </c>
      <c r="H25" s="14" t="s">
        <v>1</v>
      </c>
    </row>
    <row r="26" spans="2:8" x14ac:dyDescent="0.25">
      <c r="B26" s="4"/>
      <c r="C26" s="4"/>
      <c r="D26" s="47">
        <f t="shared" si="0"/>
        <v>23</v>
      </c>
      <c r="E26" s="20" t="s">
        <v>799</v>
      </c>
      <c r="F26" s="12" t="s">
        <v>798</v>
      </c>
      <c r="G26" s="20" t="s">
        <v>800</v>
      </c>
      <c r="H26" s="14" t="s">
        <v>0</v>
      </c>
    </row>
    <row r="27" spans="2:8" x14ac:dyDescent="0.25">
      <c r="B27" s="4"/>
      <c r="C27" s="4"/>
      <c r="D27" s="47">
        <f t="shared" si="0"/>
        <v>24</v>
      </c>
      <c r="E27" s="20" t="s">
        <v>802</v>
      </c>
      <c r="F27" s="12" t="s">
        <v>801</v>
      </c>
      <c r="G27" s="20" t="s">
        <v>370</v>
      </c>
      <c r="H27" s="14" t="s">
        <v>0</v>
      </c>
    </row>
    <row r="28" spans="2:8" x14ac:dyDescent="0.25">
      <c r="B28" s="4"/>
      <c r="C28" s="4"/>
      <c r="D28" s="47">
        <f t="shared" si="0"/>
        <v>25</v>
      </c>
      <c r="E28" s="20" t="s">
        <v>804</v>
      </c>
      <c r="F28" s="12" t="s">
        <v>803</v>
      </c>
      <c r="G28" s="20" t="s">
        <v>281</v>
      </c>
      <c r="H28" s="14" t="s">
        <v>0</v>
      </c>
    </row>
    <row r="29" spans="2:8" x14ac:dyDescent="0.25">
      <c r="D29" s="47">
        <f t="shared" si="0"/>
        <v>26</v>
      </c>
      <c r="E29" s="20" t="s">
        <v>806</v>
      </c>
      <c r="F29" s="12" t="s">
        <v>805</v>
      </c>
      <c r="G29" s="14" t="s">
        <v>807</v>
      </c>
      <c r="H29" s="14" t="s">
        <v>0</v>
      </c>
    </row>
    <row r="30" spans="2:8" x14ac:dyDescent="0.25">
      <c r="D30" s="47">
        <f t="shared" si="0"/>
        <v>27</v>
      </c>
      <c r="E30" s="20" t="s">
        <v>809</v>
      </c>
      <c r="F30" s="12" t="s">
        <v>808</v>
      </c>
      <c r="G30" s="20" t="s">
        <v>810</v>
      </c>
      <c r="H30" s="14" t="s">
        <v>0</v>
      </c>
    </row>
    <row r="31" spans="2:8" x14ac:dyDescent="0.25">
      <c r="D31" s="47">
        <f t="shared" si="0"/>
        <v>28</v>
      </c>
      <c r="E31" s="20" t="s">
        <v>812</v>
      </c>
      <c r="F31" s="12" t="s">
        <v>811</v>
      </c>
      <c r="G31" s="20" t="s">
        <v>813</v>
      </c>
      <c r="H31" s="14" t="s">
        <v>1</v>
      </c>
    </row>
    <row r="32" spans="2:8" ht="9.75" customHeight="1" x14ac:dyDescent="0.25">
      <c r="D32" s="47">
        <f t="shared" si="0"/>
        <v>29</v>
      </c>
      <c r="E32" s="20" t="s">
        <v>815</v>
      </c>
      <c r="F32" s="12" t="s">
        <v>814</v>
      </c>
      <c r="G32" s="20" t="s">
        <v>816</v>
      </c>
      <c r="H32" s="14" t="s">
        <v>1</v>
      </c>
    </row>
    <row r="33" spans="4:4" hidden="1" x14ac:dyDescent="0.25">
      <c r="D33" s="47">
        <f t="shared" si="0"/>
        <v>30</v>
      </c>
    </row>
    <row r="34" spans="4:4" hidden="1" x14ac:dyDescent="0.25">
      <c r="D34" s="47">
        <f t="shared" si="0"/>
        <v>31</v>
      </c>
    </row>
  </sheetData>
  <mergeCells count="7">
    <mergeCell ref="K2:K3"/>
    <mergeCell ref="D2:D3"/>
    <mergeCell ref="E2:E3"/>
    <mergeCell ref="F2:F3"/>
    <mergeCell ref="G2:G3"/>
    <mergeCell ref="H2:H3"/>
    <mergeCell ref="J2:J3"/>
  </mergeCells>
  <conditionalFormatting sqref="F4:F18 F20:F32">
    <cfRule type="duplicateValues" dxfId="90" priority="16"/>
    <cfRule type="duplicateValues" dxfId="89" priority="17"/>
    <cfRule type="duplicateValues" dxfId="88" priority="18"/>
    <cfRule type="duplicateValues" dxfId="86" priority="19"/>
  </conditionalFormatting>
  <conditionalFormatting sqref="F20:F32 F4:F18">
    <cfRule type="expression" dxfId="87" priority="42">
      <formula>SEARCH(#REF!,#REF!)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35"/>
  <sheetViews>
    <sheetView topLeftCell="A25" workbookViewId="0">
      <selection activeCell="C8" sqref="C8:G8"/>
    </sheetView>
  </sheetViews>
  <sheetFormatPr defaultRowHeight="15" x14ac:dyDescent="0.25"/>
  <cols>
    <col min="4" max="4" width="12.42578125" bestFit="1" customWidth="1"/>
    <col min="5" max="5" width="39.140625" bestFit="1" customWidth="1"/>
    <col min="6" max="6" width="20.42578125" bestFit="1" customWidth="1"/>
    <col min="7" max="7" width="15.5703125" bestFit="1" customWidth="1"/>
    <col min="10" max="10" width="17.7109375" customWidth="1"/>
  </cols>
  <sheetData>
    <row r="2" spans="3:10" ht="20.100000000000001" customHeight="1" x14ac:dyDescent="0.25">
      <c r="C2" s="103" t="s">
        <v>1112</v>
      </c>
      <c r="D2" s="103" t="s">
        <v>1113</v>
      </c>
      <c r="E2" s="103" t="s">
        <v>1114</v>
      </c>
      <c r="F2" s="103" t="s">
        <v>1115</v>
      </c>
      <c r="G2" s="103" t="s">
        <v>1116</v>
      </c>
      <c r="I2" s="103" t="s">
        <v>1117</v>
      </c>
      <c r="J2" s="103" t="s">
        <v>1118</v>
      </c>
    </row>
    <row r="3" spans="3:10" ht="20.100000000000001" customHeight="1" x14ac:dyDescent="0.25">
      <c r="C3" s="103"/>
      <c r="D3" s="103"/>
      <c r="E3" s="103"/>
      <c r="F3" s="103"/>
      <c r="G3" s="103"/>
      <c r="I3" s="103"/>
      <c r="J3" s="103"/>
    </row>
    <row r="4" spans="3:10" ht="20.100000000000001" customHeight="1" x14ac:dyDescent="0.25">
      <c r="C4" s="47">
        <v>1</v>
      </c>
      <c r="D4" s="56" t="s">
        <v>818</v>
      </c>
      <c r="E4" s="17" t="s">
        <v>817</v>
      </c>
      <c r="F4" s="56" t="s">
        <v>819</v>
      </c>
      <c r="G4" s="55" t="s">
        <v>1</v>
      </c>
      <c r="I4" s="67">
        <f>COUNTIF(G4:G37,"L")</f>
        <v>21</v>
      </c>
      <c r="J4" s="68" t="s">
        <v>1120</v>
      </c>
    </row>
    <row r="5" spans="3:10" ht="20.100000000000001" customHeight="1" x14ac:dyDescent="0.25">
      <c r="C5" s="47">
        <f>1+C4</f>
        <v>2</v>
      </c>
      <c r="D5" s="56" t="s">
        <v>821</v>
      </c>
      <c r="E5" s="17" t="s">
        <v>820</v>
      </c>
      <c r="F5" s="55" t="s">
        <v>822</v>
      </c>
      <c r="G5" s="55" t="s">
        <v>0</v>
      </c>
      <c r="I5" s="69">
        <f>COUNTIF(G4:G37,"P")</f>
        <v>11</v>
      </c>
      <c r="J5" s="70" t="s">
        <v>1121</v>
      </c>
    </row>
    <row r="6" spans="3:10" ht="20.100000000000001" customHeight="1" x14ac:dyDescent="0.25">
      <c r="C6" s="47">
        <f t="shared" ref="C6:C35" si="0">1+C5</f>
        <v>3</v>
      </c>
      <c r="D6" s="20" t="s">
        <v>824</v>
      </c>
      <c r="E6" s="17" t="s">
        <v>823</v>
      </c>
      <c r="F6" s="20" t="s">
        <v>825</v>
      </c>
      <c r="G6" s="14" t="s">
        <v>1</v>
      </c>
      <c r="I6" s="71">
        <f>SUM(I4:I5)</f>
        <v>32</v>
      </c>
      <c r="J6" s="71" t="s">
        <v>1122</v>
      </c>
    </row>
    <row r="7" spans="3:10" ht="20.100000000000001" customHeight="1" x14ac:dyDescent="0.25">
      <c r="C7" s="47">
        <f t="shared" si="0"/>
        <v>4</v>
      </c>
      <c r="D7" s="56" t="s">
        <v>827</v>
      </c>
      <c r="E7" s="17" t="s">
        <v>826</v>
      </c>
      <c r="F7" s="56" t="s">
        <v>828</v>
      </c>
      <c r="G7" s="55" t="s">
        <v>1</v>
      </c>
    </row>
    <row r="8" spans="3:10" ht="20.100000000000001" customHeight="1" x14ac:dyDescent="0.25">
      <c r="C8" s="84">
        <f t="shared" si="0"/>
        <v>5</v>
      </c>
      <c r="D8" s="57"/>
      <c r="E8" s="44" t="s">
        <v>829</v>
      </c>
      <c r="F8" s="57"/>
      <c r="G8" s="57" t="s">
        <v>0</v>
      </c>
    </row>
    <row r="9" spans="3:10" ht="20.100000000000001" customHeight="1" x14ac:dyDescent="0.25">
      <c r="C9" s="47">
        <f t="shared" si="0"/>
        <v>6</v>
      </c>
      <c r="D9" s="60" t="s">
        <v>831</v>
      </c>
      <c r="E9" s="58" t="s">
        <v>830</v>
      </c>
      <c r="F9" s="59" t="s">
        <v>75</v>
      </c>
      <c r="G9" s="59" t="s">
        <v>0</v>
      </c>
    </row>
    <row r="10" spans="3:10" ht="20.100000000000001" customHeight="1" x14ac:dyDescent="0.25">
      <c r="C10" s="47">
        <f t="shared" si="0"/>
        <v>7</v>
      </c>
      <c r="D10" s="56" t="s">
        <v>833</v>
      </c>
      <c r="E10" s="17" t="s">
        <v>832</v>
      </c>
      <c r="F10" s="56" t="s">
        <v>834</v>
      </c>
      <c r="G10" s="55" t="s">
        <v>1</v>
      </c>
    </row>
    <row r="11" spans="3:10" ht="20.100000000000001" customHeight="1" x14ac:dyDescent="0.25">
      <c r="C11" s="47">
        <f t="shared" si="0"/>
        <v>8</v>
      </c>
      <c r="D11" s="20" t="s">
        <v>836</v>
      </c>
      <c r="E11" s="7" t="s">
        <v>835</v>
      </c>
      <c r="F11" s="14" t="s">
        <v>837</v>
      </c>
      <c r="G11" s="14" t="s">
        <v>1</v>
      </c>
    </row>
    <row r="12" spans="3:10" ht="20.100000000000001" customHeight="1" x14ac:dyDescent="0.25">
      <c r="C12" s="47">
        <f t="shared" si="0"/>
        <v>9</v>
      </c>
      <c r="D12" s="56" t="s">
        <v>839</v>
      </c>
      <c r="E12" s="17" t="s">
        <v>838</v>
      </c>
      <c r="F12" s="56" t="s">
        <v>840</v>
      </c>
      <c r="G12" s="55" t="s">
        <v>1</v>
      </c>
    </row>
    <row r="13" spans="3:10" ht="20.100000000000001" customHeight="1" x14ac:dyDescent="0.25">
      <c r="C13" s="47">
        <f t="shared" si="0"/>
        <v>10</v>
      </c>
      <c r="D13" s="56" t="s">
        <v>842</v>
      </c>
      <c r="E13" s="17" t="s">
        <v>841</v>
      </c>
      <c r="F13" s="56" t="s">
        <v>843</v>
      </c>
      <c r="G13" s="55" t="s">
        <v>1</v>
      </c>
    </row>
    <row r="14" spans="3:10" ht="20.100000000000001" customHeight="1" x14ac:dyDescent="0.25">
      <c r="C14" s="47">
        <f t="shared" si="0"/>
        <v>11</v>
      </c>
      <c r="D14" s="56" t="s">
        <v>845</v>
      </c>
      <c r="E14" s="17" t="s">
        <v>844</v>
      </c>
      <c r="F14" s="56" t="s">
        <v>843</v>
      </c>
      <c r="G14" s="55" t="s">
        <v>1</v>
      </c>
    </row>
    <row r="15" spans="3:10" ht="20.100000000000001" customHeight="1" x14ac:dyDescent="0.25">
      <c r="C15" s="47">
        <f t="shared" si="0"/>
        <v>12</v>
      </c>
      <c r="D15" s="20" t="s">
        <v>847</v>
      </c>
      <c r="E15" s="17" t="s">
        <v>846</v>
      </c>
      <c r="F15" s="20" t="s">
        <v>848</v>
      </c>
      <c r="G15" s="14" t="s">
        <v>1</v>
      </c>
    </row>
    <row r="16" spans="3:10" ht="20.100000000000001" customHeight="1" x14ac:dyDescent="0.25">
      <c r="C16" s="47">
        <f t="shared" si="0"/>
        <v>13</v>
      </c>
      <c r="D16" s="20" t="s">
        <v>850</v>
      </c>
      <c r="E16" s="17" t="s">
        <v>849</v>
      </c>
      <c r="F16" s="20" t="s">
        <v>851</v>
      </c>
      <c r="G16" s="14" t="s">
        <v>1</v>
      </c>
    </row>
    <row r="17" spans="3:7" ht="20.100000000000001" customHeight="1" x14ac:dyDescent="0.25">
      <c r="C17" s="47">
        <f t="shared" si="0"/>
        <v>14</v>
      </c>
      <c r="D17" s="56" t="s">
        <v>853</v>
      </c>
      <c r="E17" s="17" t="s">
        <v>852</v>
      </c>
      <c r="F17" s="56" t="s">
        <v>463</v>
      </c>
      <c r="G17" s="55" t="s">
        <v>0</v>
      </c>
    </row>
    <row r="18" spans="3:7" ht="20.100000000000001" customHeight="1" x14ac:dyDescent="0.25">
      <c r="C18" s="47">
        <f t="shared" si="0"/>
        <v>15</v>
      </c>
      <c r="D18" s="20" t="s">
        <v>855</v>
      </c>
      <c r="E18" s="17" t="s">
        <v>854</v>
      </c>
      <c r="F18" s="20" t="s">
        <v>856</v>
      </c>
      <c r="G18" s="14" t="s">
        <v>0</v>
      </c>
    </row>
    <row r="19" spans="3:7" ht="20.100000000000001" customHeight="1" x14ac:dyDescent="0.25">
      <c r="C19" s="47">
        <f t="shared" si="0"/>
        <v>16</v>
      </c>
      <c r="D19" s="20" t="s">
        <v>858</v>
      </c>
      <c r="E19" s="7" t="s">
        <v>857</v>
      </c>
      <c r="F19" s="20" t="s">
        <v>859</v>
      </c>
      <c r="G19" s="20" t="s">
        <v>0</v>
      </c>
    </row>
    <row r="20" spans="3:7" ht="20.100000000000001" customHeight="1" x14ac:dyDescent="0.25">
      <c r="C20" s="47">
        <f t="shared" si="0"/>
        <v>17</v>
      </c>
      <c r="D20" s="20" t="s">
        <v>861</v>
      </c>
      <c r="E20" s="17" t="s">
        <v>860</v>
      </c>
      <c r="F20" s="20" t="s">
        <v>862</v>
      </c>
      <c r="G20" s="14" t="s">
        <v>0</v>
      </c>
    </row>
    <row r="21" spans="3:7" ht="20.100000000000001" customHeight="1" x14ac:dyDescent="0.25">
      <c r="C21" s="47">
        <f t="shared" si="0"/>
        <v>18</v>
      </c>
      <c r="D21" s="56" t="s">
        <v>864</v>
      </c>
      <c r="E21" s="17" t="s">
        <v>863</v>
      </c>
      <c r="F21" s="55" t="s">
        <v>851</v>
      </c>
      <c r="G21" s="55" t="s">
        <v>1</v>
      </c>
    </row>
    <row r="22" spans="3:7" ht="20.100000000000001" customHeight="1" x14ac:dyDescent="0.25">
      <c r="C22" s="47">
        <f t="shared" si="0"/>
        <v>19</v>
      </c>
      <c r="D22" s="20" t="s">
        <v>866</v>
      </c>
      <c r="E22" s="7" t="s">
        <v>865</v>
      </c>
      <c r="F22" s="20" t="s">
        <v>867</v>
      </c>
      <c r="G22" s="14" t="s">
        <v>1</v>
      </c>
    </row>
    <row r="23" spans="3:7" ht="20.100000000000001" customHeight="1" x14ac:dyDescent="0.25">
      <c r="C23" s="47">
        <f t="shared" si="0"/>
        <v>20</v>
      </c>
      <c r="D23" s="56" t="s">
        <v>869</v>
      </c>
      <c r="E23" s="17" t="s">
        <v>868</v>
      </c>
      <c r="F23" s="56" t="s">
        <v>236</v>
      </c>
      <c r="G23" s="55" t="s">
        <v>1</v>
      </c>
    </row>
    <row r="24" spans="3:7" ht="20.100000000000001" customHeight="1" x14ac:dyDescent="0.25">
      <c r="C24" s="47">
        <f t="shared" si="0"/>
        <v>21</v>
      </c>
      <c r="D24" s="20" t="s">
        <v>871</v>
      </c>
      <c r="E24" s="7" t="s">
        <v>870</v>
      </c>
      <c r="F24" s="51">
        <v>39920</v>
      </c>
      <c r="G24" s="14" t="s">
        <v>0</v>
      </c>
    </row>
    <row r="25" spans="3:7" ht="20.100000000000001" customHeight="1" x14ac:dyDescent="0.25">
      <c r="C25" s="47">
        <f t="shared" si="0"/>
        <v>22</v>
      </c>
      <c r="D25" s="20" t="s">
        <v>873</v>
      </c>
      <c r="E25" s="7" t="s">
        <v>872</v>
      </c>
      <c r="F25" s="20" t="s">
        <v>874</v>
      </c>
      <c r="G25" s="14" t="s">
        <v>1</v>
      </c>
    </row>
    <row r="26" spans="3:7" ht="20.100000000000001" customHeight="1" x14ac:dyDescent="0.25">
      <c r="C26" s="47">
        <f t="shared" si="0"/>
        <v>23</v>
      </c>
      <c r="D26" s="20" t="s">
        <v>876</v>
      </c>
      <c r="E26" s="7" t="s">
        <v>875</v>
      </c>
      <c r="F26" s="46" t="s">
        <v>877</v>
      </c>
      <c r="G26" s="14" t="s">
        <v>1</v>
      </c>
    </row>
    <row r="27" spans="3:7" ht="20.100000000000001" customHeight="1" x14ac:dyDescent="0.25">
      <c r="C27" s="47">
        <f t="shared" si="0"/>
        <v>24</v>
      </c>
      <c r="D27" s="56" t="s">
        <v>879</v>
      </c>
      <c r="E27" s="17" t="s">
        <v>878</v>
      </c>
      <c r="F27" s="56" t="s">
        <v>880</v>
      </c>
      <c r="G27" s="55" t="s">
        <v>0</v>
      </c>
    </row>
    <row r="28" spans="3:7" ht="20.100000000000001" customHeight="1" x14ac:dyDescent="0.25">
      <c r="C28" s="47">
        <f t="shared" si="0"/>
        <v>25</v>
      </c>
      <c r="D28" s="20" t="s">
        <v>882</v>
      </c>
      <c r="E28" s="17" t="s">
        <v>881</v>
      </c>
      <c r="F28" s="20" t="s">
        <v>883</v>
      </c>
      <c r="G28" s="14" t="s">
        <v>1</v>
      </c>
    </row>
    <row r="29" spans="3:7" ht="20.100000000000001" customHeight="1" x14ac:dyDescent="0.25">
      <c r="C29" s="47">
        <f t="shared" si="0"/>
        <v>26</v>
      </c>
      <c r="D29" s="20" t="s">
        <v>885</v>
      </c>
      <c r="E29" s="17" t="s">
        <v>884</v>
      </c>
      <c r="F29" s="20" t="s">
        <v>886</v>
      </c>
      <c r="G29" s="14" t="s">
        <v>1</v>
      </c>
    </row>
    <row r="30" spans="3:7" ht="20.100000000000001" customHeight="1" x14ac:dyDescent="0.25">
      <c r="C30" s="47">
        <f t="shared" si="0"/>
        <v>27</v>
      </c>
      <c r="D30" s="20" t="s">
        <v>888</v>
      </c>
      <c r="E30" s="7" t="s">
        <v>887</v>
      </c>
      <c r="F30" s="20" t="s">
        <v>889</v>
      </c>
      <c r="G30" s="14" t="s">
        <v>1</v>
      </c>
    </row>
    <row r="31" spans="3:7" ht="20.100000000000001" customHeight="1" x14ac:dyDescent="0.25">
      <c r="C31" s="47">
        <f t="shared" si="0"/>
        <v>28</v>
      </c>
      <c r="D31" s="20" t="s">
        <v>891</v>
      </c>
      <c r="E31" s="7" t="s">
        <v>890</v>
      </c>
      <c r="F31" s="20" t="s">
        <v>892</v>
      </c>
      <c r="G31" s="14" t="s">
        <v>1</v>
      </c>
    </row>
    <row r="32" spans="3:7" ht="20.100000000000001" customHeight="1" x14ac:dyDescent="0.25">
      <c r="C32" s="47">
        <f t="shared" si="0"/>
        <v>29</v>
      </c>
      <c r="D32" s="20" t="s">
        <v>894</v>
      </c>
      <c r="E32" s="17" t="s">
        <v>893</v>
      </c>
      <c r="F32" s="51">
        <v>39549</v>
      </c>
      <c r="G32" s="14" t="s">
        <v>0</v>
      </c>
    </row>
    <row r="33" spans="3:7" ht="20.100000000000001" customHeight="1" x14ac:dyDescent="0.25">
      <c r="C33" s="47">
        <f t="shared" si="0"/>
        <v>30</v>
      </c>
      <c r="D33" s="56" t="s">
        <v>896</v>
      </c>
      <c r="E33" s="17" t="s">
        <v>895</v>
      </c>
      <c r="F33" s="56" t="s">
        <v>897</v>
      </c>
      <c r="G33" s="55" t="s">
        <v>1</v>
      </c>
    </row>
    <row r="34" spans="3:7" x14ac:dyDescent="0.25">
      <c r="C34" s="47">
        <f t="shared" si="0"/>
        <v>31</v>
      </c>
      <c r="D34" s="20" t="s">
        <v>899</v>
      </c>
      <c r="E34" s="7" t="s">
        <v>898</v>
      </c>
      <c r="F34" s="46" t="s">
        <v>900</v>
      </c>
      <c r="G34" s="14" t="s">
        <v>0</v>
      </c>
    </row>
    <row r="35" spans="3:7" ht="15.75" x14ac:dyDescent="0.25">
      <c r="C35" s="47">
        <f t="shared" si="0"/>
        <v>32</v>
      </c>
      <c r="D35" s="20" t="s">
        <v>902</v>
      </c>
      <c r="E35" s="36" t="s">
        <v>901</v>
      </c>
      <c r="F35" s="45" t="s">
        <v>903</v>
      </c>
      <c r="G35" s="14" t="s">
        <v>1</v>
      </c>
    </row>
  </sheetData>
  <mergeCells count="7">
    <mergeCell ref="J2:J3"/>
    <mergeCell ref="C2:C3"/>
    <mergeCell ref="D2:D3"/>
    <mergeCell ref="E2:E3"/>
    <mergeCell ref="F2:F3"/>
    <mergeCell ref="G2:G3"/>
    <mergeCell ref="I2:I3"/>
  </mergeCells>
  <conditionalFormatting sqref="E4:E35">
    <cfRule type="expression" dxfId="85" priority="1">
      <formula>SEARCH(#REF!,#REF!)</formula>
    </cfRule>
    <cfRule type="duplicateValues" dxfId="84" priority="2"/>
    <cfRule type="duplicateValues" dxfId="83" priority="3"/>
  </conditionalFormatting>
  <conditionalFormatting sqref="E18:E35 E4:E16">
    <cfRule type="duplicateValues" dxfId="82" priority="4"/>
    <cfRule type="duplicateValues" dxfId="81" priority="5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28"/>
  <sheetViews>
    <sheetView topLeftCell="A16" workbookViewId="0">
      <selection activeCell="C10" sqref="C10:G10"/>
    </sheetView>
  </sheetViews>
  <sheetFormatPr defaultRowHeight="15" x14ac:dyDescent="0.25"/>
  <cols>
    <col min="4" max="4" width="12.42578125" bestFit="1" customWidth="1"/>
    <col min="5" max="5" width="39.140625" bestFit="1" customWidth="1"/>
    <col min="6" max="6" width="20.42578125" bestFit="1" customWidth="1"/>
    <col min="7" max="7" width="15.5703125" bestFit="1" customWidth="1"/>
    <col min="10" max="10" width="17.7109375" customWidth="1"/>
  </cols>
  <sheetData>
    <row r="2" spans="3:10" ht="20.100000000000001" customHeight="1" x14ac:dyDescent="0.25">
      <c r="C2" s="104" t="s">
        <v>1112</v>
      </c>
      <c r="D2" s="103" t="s">
        <v>1113</v>
      </c>
      <c r="E2" s="103" t="s">
        <v>1114</v>
      </c>
      <c r="F2" s="103" t="s">
        <v>1115</v>
      </c>
      <c r="G2" s="103" t="s">
        <v>1116</v>
      </c>
      <c r="I2" s="103" t="s">
        <v>1117</v>
      </c>
      <c r="J2" s="103" t="s">
        <v>1118</v>
      </c>
    </row>
    <row r="3" spans="3:10" ht="20.100000000000001" customHeight="1" x14ac:dyDescent="0.25">
      <c r="C3" s="105"/>
      <c r="D3" s="103"/>
      <c r="E3" s="103"/>
      <c r="F3" s="103"/>
      <c r="G3" s="103"/>
      <c r="I3" s="103"/>
      <c r="J3" s="103"/>
    </row>
    <row r="4" spans="3:10" ht="20.100000000000001" customHeight="1" x14ac:dyDescent="0.25">
      <c r="C4" s="47">
        <v>1</v>
      </c>
      <c r="D4" s="20" t="s">
        <v>905</v>
      </c>
      <c r="E4" s="73" t="s">
        <v>904</v>
      </c>
      <c r="F4" s="20" t="s">
        <v>906</v>
      </c>
      <c r="G4" s="14" t="s">
        <v>0</v>
      </c>
      <c r="I4" s="67">
        <f>COUNTIF(G4:G37,"L")</f>
        <v>13</v>
      </c>
      <c r="J4" s="68" t="s">
        <v>1120</v>
      </c>
    </row>
    <row r="5" spans="3:10" ht="20.100000000000001" customHeight="1" x14ac:dyDescent="0.25">
      <c r="C5" s="47">
        <f>1+C4</f>
        <v>2</v>
      </c>
      <c r="D5" s="20" t="s">
        <v>908</v>
      </c>
      <c r="E5" s="74" t="s">
        <v>907</v>
      </c>
      <c r="F5" s="20" t="s">
        <v>909</v>
      </c>
      <c r="G5" s="55" t="s">
        <v>0</v>
      </c>
      <c r="I5" s="69">
        <f>COUNTIF(G4:G37,"P")</f>
        <v>12</v>
      </c>
      <c r="J5" s="70" t="s">
        <v>1121</v>
      </c>
    </row>
    <row r="6" spans="3:10" ht="20.100000000000001" customHeight="1" x14ac:dyDescent="0.25">
      <c r="C6" s="47">
        <f t="shared" ref="C6:C28" si="0">1+C5</f>
        <v>3</v>
      </c>
      <c r="D6" s="20" t="s">
        <v>911</v>
      </c>
      <c r="E6" s="74" t="s">
        <v>910</v>
      </c>
      <c r="F6" s="20" t="s">
        <v>709</v>
      </c>
      <c r="G6" s="55" t="s">
        <v>0</v>
      </c>
      <c r="I6" s="71">
        <f>SUM(I4:I5)</f>
        <v>25</v>
      </c>
      <c r="J6" s="71" t="s">
        <v>1122</v>
      </c>
    </row>
    <row r="7" spans="3:10" ht="20.100000000000001" customHeight="1" x14ac:dyDescent="0.25">
      <c r="C7" s="47">
        <f t="shared" si="0"/>
        <v>4</v>
      </c>
      <c r="D7" s="20" t="s">
        <v>913</v>
      </c>
      <c r="E7" s="73" t="s">
        <v>912</v>
      </c>
      <c r="F7" s="20" t="s">
        <v>914</v>
      </c>
      <c r="G7" s="14" t="s">
        <v>1</v>
      </c>
    </row>
    <row r="8" spans="3:10" ht="20.100000000000001" customHeight="1" x14ac:dyDescent="0.25">
      <c r="C8" s="47">
        <f t="shared" si="0"/>
        <v>5</v>
      </c>
      <c r="D8" s="20" t="s">
        <v>916</v>
      </c>
      <c r="E8" s="74" t="s">
        <v>915</v>
      </c>
      <c r="F8" s="20" t="s">
        <v>917</v>
      </c>
      <c r="G8" s="55" t="s">
        <v>0</v>
      </c>
    </row>
    <row r="9" spans="3:10" ht="20.100000000000001" customHeight="1" x14ac:dyDescent="0.25">
      <c r="C9" s="47">
        <f t="shared" si="0"/>
        <v>6</v>
      </c>
      <c r="D9" s="20" t="s">
        <v>919</v>
      </c>
      <c r="E9" s="73" t="s">
        <v>918</v>
      </c>
      <c r="F9" s="20" t="s">
        <v>920</v>
      </c>
      <c r="G9" s="14" t="s">
        <v>0</v>
      </c>
    </row>
    <row r="10" spans="3:10" ht="20.100000000000001" customHeight="1" x14ac:dyDescent="0.25">
      <c r="C10" s="84">
        <f t="shared" si="0"/>
        <v>7</v>
      </c>
      <c r="D10" s="61"/>
      <c r="E10" s="44" t="s">
        <v>921</v>
      </c>
      <c r="F10" s="61"/>
      <c r="G10" s="57" t="s">
        <v>1</v>
      </c>
    </row>
    <row r="11" spans="3:10" ht="20.100000000000001" customHeight="1" x14ac:dyDescent="0.25">
      <c r="C11" s="47">
        <f t="shared" si="0"/>
        <v>8</v>
      </c>
      <c r="D11" s="20" t="s">
        <v>923</v>
      </c>
      <c r="E11" s="73" t="s">
        <v>922</v>
      </c>
      <c r="F11" s="20" t="s">
        <v>924</v>
      </c>
      <c r="G11" s="14" t="s">
        <v>0</v>
      </c>
    </row>
    <row r="12" spans="3:10" ht="20.100000000000001" customHeight="1" x14ac:dyDescent="0.25">
      <c r="C12" s="47">
        <f t="shared" si="0"/>
        <v>9</v>
      </c>
      <c r="D12" s="20" t="s">
        <v>926</v>
      </c>
      <c r="E12" s="74" t="s">
        <v>925</v>
      </c>
      <c r="F12" s="20" t="s">
        <v>927</v>
      </c>
      <c r="G12" s="14" t="s">
        <v>1</v>
      </c>
    </row>
    <row r="13" spans="3:10" ht="20.100000000000001" customHeight="1" x14ac:dyDescent="0.25">
      <c r="C13" s="47">
        <f t="shared" si="0"/>
        <v>10</v>
      </c>
      <c r="D13" s="20" t="s">
        <v>929</v>
      </c>
      <c r="E13" s="73" t="s">
        <v>928</v>
      </c>
      <c r="F13" s="20" t="s">
        <v>930</v>
      </c>
      <c r="G13" s="14" t="s">
        <v>1</v>
      </c>
    </row>
    <row r="14" spans="3:10" ht="20.100000000000001" customHeight="1" x14ac:dyDescent="0.25">
      <c r="C14" s="47">
        <f t="shared" si="0"/>
        <v>11</v>
      </c>
      <c r="D14" s="20" t="s">
        <v>932</v>
      </c>
      <c r="E14" s="74" t="s">
        <v>931</v>
      </c>
      <c r="F14" s="20" t="s">
        <v>933</v>
      </c>
      <c r="G14" s="14" t="s">
        <v>1</v>
      </c>
    </row>
    <row r="15" spans="3:10" ht="20.100000000000001" customHeight="1" x14ac:dyDescent="0.25">
      <c r="C15" s="47">
        <f t="shared" si="0"/>
        <v>12</v>
      </c>
      <c r="D15" s="75" t="s">
        <v>935</v>
      </c>
      <c r="E15" s="73" t="s">
        <v>934</v>
      </c>
      <c r="F15" s="75" t="s">
        <v>936</v>
      </c>
      <c r="G15" s="76" t="s">
        <v>0</v>
      </c>
    </row>
    <row r="16" spans="3:10" ht="20.100000000000001" customHeight="1" x14ac:dyDescent="0.25">
      <c r="C16" s="47">
        <f t="shared" si="0"/>
        <v>13</v>
      </c>
      <c r="D16" s="75" t="s">
        <v>938</v>
      </c>
      <c r="E16" s="73" t="s">
        <v>937</v>
      </c>
      <c r="F16" s="76" t="s">
        <v>939</v>
      </c>
      <c r="G16" s="76" t="s">
        <v>1</v>
      </c>
    </row>
    <row r="17" spans="3:7" ht="20.100000000000001" customHeight="1" x14ac:dyDescent="0.25">
      <c r="C17" s="47">
        <f t="shared" si="0"/>
        <v>14</v>
      </c>
      <c r="D17" s="20" t="s">
        <v>941</v>
      </c>
      <c r="E17" s="17" t="s">
        <v>940</v>
      </c>
      <c r="F17" s="20" t="s">
        <v>404</v>
      </c>
      <c r="G17" s="55" t="s">
        <v>0</v>
      </c>
    </row>
    <row r="18" spans="3:7" ht="20.100000000000001" customHeight="1" x14ac:dyDescent="0.25">
      <c r="C18" s="47">
        <f t="shared" si="0"/>
        <v>15</v>
      </c>
      <c r="D18" s="20" t="s">
        <v>943</v>
      </c>
      <c r="E18" s="7" t="s">
        <v>942</v>
      </c>
      <c r="F18" s="14" t="s">
        <v>245</v>
      </c>
      <c r="G18" s="14" t="s">
        <v>1</v>
      </c>
    </row>
    <row r="19" spans="3:7" ht="20.100000000000001" customHeight="1" x14ac:dyDescent="0.25">
      <c r="C19" s="47">
        <f t="shared" si="0"/>
        <v>16</v>
      </c>
      <c r="D19" s="20" t="s">
        <v>945</v>
      </c>
      <c r="E19" s="7" t="s">
        <v>944</v>
      </c>
      <c r="F19" s="14" t="s">
        <v>946</v>
      </c>
      <c r="G19" s="14" t="s">
        <v>0</v>
      </c>
    </row>
    <row r="20" spans="3:7" ht="20.100000000000001" customHeight="1" x14ac:dyDescent="0.25">
      <c r="C20" s="47">
        <f t="shared" si="0"/>
        <v>17</v>
      </c>
      <c r="D20" s="20" t="s">
        <v>948</v>
      </c>
      <c r="E20" s="17" t="s">
        <v>947</v>
      </c>
      <c r="F20" s="20" t="s">
        <v>949</v>
      </c>
      <c r="G20" s="55" t="s">
        <v>1</v>
      </c>
    </row>
    <row r="21" spans="3:7" ht="20.100000000000001" customHeight="1" x14ac:dyDescent="0.25">
      <c r="C21" s="47">
        <f t="shared" si="0"/>
        <v>18</v>
      </c>
      <c r="D21" s="20" t="s">
        <v>951</v>
      </c>
      <c r="E21" s="17" t="s">
        <v>950</v>
      </c>
      <c r="F21" s="20" t="s">
        <v>952</v>
      </c>
      <c r="G21" s="55" t="s">
        <v>1</v>
      </c>
    </row>
    <row r="22" spans="3:7" ht="20.100000000000001" customHeight="1" x14ac:dyDescent="0.25">
      <c r="C22" s="47">
        <f t="shared" si="0"/>
        <v>19</v>
      </c>
      <c r="D22" s="20" t="s">
        <v>954</v>
      </c>
      <c r="E22" s="7" t="s">
        <v>953</v>
      </c>
      <c r="F22" s="20" t="s">
        <v>955</v>
      </c>
      <c r="G22" s="14" t="s">
        <v>0</v>
      </c>
    </row>
    <row r="23" spans="3:7" ht="20.100000000000001" customHeight="1" x14ac:dyDescent="0.25">
      <c r="C23" s="47">
        <f t="shared" si="0"/>
        <v>20</v>
      </c>
      <c r="D23" s="20" t="s">
        <v>957</v>
      </c>
      <c r="E23" s="17" t="s">
        <v>956</v>
      </c>
      <c r="F23" s="14" t="s">
        <v>691</v>
      </c>
      <c r="G23" s="55" t="s">
        <v>0</v>
      </c>
    </row>
    <row r="24" spans="3:7" ht="20.100000000000001" customHeight="1" x14ac:dyDescent="0.25">
      <c r="C24" s="47">
        <f t="shared" si="0"/>
        <v>21</v>
      </c>
      <c r="D24" s="20" t="s">
        <v>959</v>
      </c>
      <c r="E24" s="17" t="s">
        <v>958</v>
      </c>
      <c r="F24" s="20" t="s">
        <v>960</v>
      </c>
      <c r="G24" s="55" t="s">
        <v>1</v>
      </c>
    </row>
    <row r="25" spans="3:7" ht="20.100000000000001" customHeight="1" x14ac:dyDescent="0.25">
      <c r="C25" s="47">
        <f t="shared" si="0"/>
        <v>22</v>
      </c>
      <c r="D25" s="75" t="s">
        <v>962</v>
      </c>
      <c r="E25" s="74" t="s">
        <v>961</v>
      </c>
      <c r="F25" s="75" t="s">
        <v>963</v>
      </c>
      <c r="G25" s="77" t="s">
        <v>1</v>
      </c>
    </row>
    <row r="26" spans="3:7" x14ac:dyDescent="0.25">
      <c r="C26" s="47">
        <f t="shared" si="0"/>
        <v>23</v>
      </c>
      <c r="D26" s="20" t="s">
        <v>965</v>
      </c>
      <c r="E26" s="7" t="s">
        <v>964</v>
      </c>
      <c r="F26" s="20" t="s">
        <v>966</v>
      </c>
      <c r="G26" s="14" t="s">
        <v>0</v>
      </c>
    </row>
    <row r="27" spans="3:7" x14ac:dyDescent="0.25">
      <c r="C27" s="47">
        <f t="shared" si="0"/>
        <v>24</v>
      </c>
      <c r="D27" s="62" t="s">
        <v>968</v>
      </c>
      <c r="E27" s="63" t="s">
        <v>967</v>
      </c>
      <c r="F27" s="62" t="s">
        <v>969</v>
      </c>
      <c r="G27" s="64" t="s">
        <v>1</v>
      </c>
    </row>
    <row r="28" spans="3:7" x14ac:dyDescent="0.25">
      <c r="C28" s="47">
        <f t="shared" si="0"/>
        <v>25</v>
      </c>
      <c r="D28" s="53" t="s">
        <v>971</v>
      </c>
      <c r="E28" t="s">
        <v>970</v>
      </c>
      <c r="F28" s="4" t="s">
        <v>972</v>
      </c>
      <c r="G28" s="4" t="s">
        <v>1</v>
      </c>
    </row>
  </sheetData>
  <mergeCells count="7">
    <mergeCell ref="J2:J3"/>
    <mergeCell ref="C2:C3"/>
    <mergeCell ref="D2:D3"/>
    <mergeCell ref="E2:E3"/>
    <mergeCell ref="F2:F3"/>
    <mergeCell ref="G2:G3"/>
    <mergeCell ref="I2:I3"/>
  </mergeCells>
  <conditionalFormatting sqref="E4:E21 E23:E27">
    <cfRule type="expression" dxfId="80" priority="30">
      <formula>SEARCH(#REF!,#REF!)</formula>
    </cfRule>
  </conditionalFormatting>
  <conditionalFormatting sqref="E14">
    <cfRule type="duplicateValues" dxfId="79" priority="22"/>
    <cfRule type="duplicateValues" dxfId="78" priority="23"/>
    <cfRule type="duplicateValues" dxfId="77" priority="24"/>
    <cfRule type="duplicateValues" dxfId="58" priority="25"/>
  </conditionalFormatting>
  <conditionalFormatting sqref="E22">
    <cfRule type="expression" dxfId="76" priority="1">
      <formula>SEARCH(#REF!,#REF!)</formula>
    </cfRule>
    <cfRule type="duplicateValues" dxfId="75" priority="2"/>
    <cfRule type="duplicateValues" dxfId="74" priority="3"/>
    <cfRule type="duplicateValues" dxfId="57" priority="4"/>
    <cfRule type="duplicateValues" dxfId="56" priority="5"/>
  </conditionalFormatting>
  <conditionalFormatting sqref="E23">
    <cfRule type="duplicateValues" dxfId="73" priority="18"/>
    <cfRule type="duplicateValues" dxfId="72" priority="19"/>
    <cfRule type="duplicateValues" dxfId="71" priority="20"/>
    <cfRule type="duplicateValues" dxfId="55" priority="21"/>
  </conditionalFormatting>
  <conditionalFormatting sqref="E24">
    <cfRule type="duplicateValues" dxfId="70" priority="14"/>
    <cfRule type="duplicateValues" dxfId="69" priority="15"/>
    <cfRule type="duplicateValues" dxfId="68" priority="16"/>
    <cfRule type="duplicateValues" dxfId="54" priority="17"/>
  </conditionalFormatting>
  <conditionalFormatting sqref="E25">
    <cfRule type="duplicateValues" dxfId="67" priority="10"/>
    <cfRule type="duplicateValues" dxfId="66" priority="11"/>
    <cfRule type="duplicateValues" dxfId="65" priority="12"/>
    <cfRule type="duplicateValues" dxfId="53" priority="13"/>
  </conditionalFormatting>
  <conditionalFormatting sqref="E26 E15:E21 E4:E13">
    <cfRule type="duplicateValues" dxfId="64" priority="26"/>
    <cfRule type="duplicateValues" dxfId="63" priority="27"/>
    <cfRule type="duplicateValues" dxfId="62" priority="28"/>
    <cfRule type="duplicateValues" dxfId="52" priority="29"/>
  </conditionalFormatting>
  <conditionalFormatting sqref="E27">
    <cfRule type="duplicateValues" dxfId="61" priority="6"/>
    <cfRule type="duplicateValues" dxfId="60" priority="7"/>
    <cfRule type="duplicateValues" dxfId="59" priority="8"/>
    <cfRule type="duplicateValues" dxfId="51" priority="9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32"/>
  <sheetViews>
    <sheetView topLeftCell="A13" workbookViewId="0">
      <selection activeCell="C29" sqref="C29:G29"/>
    </sheetView>
  </sheetViews>
  <sheetFormatPr defaultRowHeight="15" x14ac:dyDescent="0.25"/>
  <cols>
    <col min="4" max="4" width="12.42578125" bestFit="1" customWidth="1"/>
    <col min="5" max="5" width="39.140625" bestFit="1" customWidth="1"/>
    <col min="6" max="6" width="20.42578125" bestFit="1" customWidth="1"/>
    <col min="7" max="7" width="15.5703125" bestFit="1" customWidth="1"/>
    <col min="10" max="10" width="17.7109375" customWidth="1"/>
  </cols>
  <sheetData>
    <row r="2" spans="3:10" x14ac:dyDescent="0.25">
      <c r="C2" s="104" t="s">
        <v>1112</v>
      </c>
      <c r="D2" s="103" t="s">
        <v>1113</v>
      </c>
      <c r="E2" s="103" t="s">
        <v>1114</v>
      </c>
      <c r="F2" s="103" t="s">
        <v>1115</v>
      </c>
      <c r="G2" s="103" t="s">
        <v>1116</v>
      </c>
      <c r="I2" s="103" t="s">
        <v>1117</v>
      </c>
      <c r="J2" s="103" t="s">
        <v>1118</v>
      </c>
    </row>
    <row r="3" spans="3:10" x14ac:dyDescent="0.25">
      <c r="C3" s="105"/>
      <c r="D3" s="103"/>
      <c r="E3" s="103"/>
      <c r="F3" s="103"/>
      <c r="G3" s="103"/>
      <c r="I3" s="103"/>
      <c r="J3" s="103"/>
    </row>
    <row r="4" spans="3:10" x14ac:dyDescent="0.25">
      <c r="C4" s="47">
        <v>1</v>
      </c>
      <c r="D4" s="20" t="s">
        <v>974</v>
      </c>
      <c r="E4" s="7" t="s">
        <v>973</v>
      </c>
      <c r="F4" s="20" t="s">
        <v>975</v>
      </c>
      <c r="G4" s="14" t="s">
        <v>1</v>
      </c>
      <c r="I4" s="67">
        <f>COUNTIF(G4:G37,"L")</f>
        <v>12</v>
      </c>
      <c r="J4" s="68" t="s">
        <v>1120</v>
      </c>
    </row>
    <row r="5" spans="3:10" x14ac:dyDescent="0.25">
      <c r="C5" s="47">
        <f>1+C4</f>
        <v>2</v>
      </c>
      <c r="D5" s="20" t="s">
        <v>977</v>
      </c>
      <c r="E5" s="7" t="s">
        <v>976</v>
      </c>
      <c r="F5" s="20" t="s">
        <v>978</v>
      </c>
      <c r="G5" s="14" t="s">
        <v>0</v>
      </c>
      <c r="I5" s="69">
        <f>COUNTIF(G4:G37,"P")</f>
        <v>17</v>
      </c>
      <c r="J5" s="70" t="s">
        <v>1121</v>
      </c>
    </row>
    <row r="6" spans="3:10" x14ac:dyDescent="0.25">
      <c r="C6" s="84">
        <f t="shared" ref="C6:C32" si="0">1+C5</f>
        <v>3</v>
      </c>
      <c r="D6" s="61"/>
      <c r="E6" s="43" t="s">
        <v>979</v>
      </c>
      <c r="F6" s="61"/>
      <c r="G6" s="61" t="s">
        <v>0</v>
      </c>
      <c r="I6" s="71">
        <f>SUM(I4:I5)</f>
        <v>29</v>
      </c>
      <c r="J6" s="71" t="s">
        <v>1122</v>
      </c>
    </row>
    <row r="7" spans="3:10" x14ac:dyDescent="0.25">
      <c r="C7" s="47">
        <f t="shared" si="0"/>
        <v>4</v>
      </c>
      <c r="D7" s="20" t="s">
        <v>981</v>
      </c>
      <c r="E7" s="7" t="s">
        <v>980</v>
      </c>
      <c r="F7" s="20" t="s">
        <v>982</v>
      </c>
      <c r="G7" s="14" t="s">
        <v>1</v>
      </c>
    </row>
    <row r="8" spans="3:10" x14ac:dyDescent="0.25">
      <c r="C8" s="84">
        <f t="shared" si="0"/>
        <v>5</v>
      </c>
      <c r="D8" s="61"/>
      <c r="E8" s="43" t="s">
        <v>983</v>
      </c>
      <c r="F8" s="61"/>
      <c r="G8" s="61" t="s">
        <v>1</v>
      </c>
    </row>
    <row r="9" spans="3:10" x14ac:dyDescent="0.25">
      <c r="C9" s="47">
        <f t="shared" si="0"/>
        <v>6</v>
      </c>
      <c r="D9" s="20" t="s">
        <v>985</v>
      </c>
      <c r="E9" s="7" t="s">
        <v>984</v>
      </c>
      <c r="F9" s="20" t="s">
        <v>986</v>
      </c>
      <c r="G9" s="14" t="s">
        <v>1</v>
      </c>
    </row>
    <row r="10" spans="3:10" x14ac:dyDescent="0.25">
      <c r="C10" s="47">
        <f t="shared" si="0"/>
        <v>7</v>
      </c>
      <c r="D10" s="20" t="s">
        <v>988</v>
      </c>
      <c r="E10" s="7" t="s">
        <v>987</v>
      </c>
      <c r="F10" s="20" t="s">
        <v>989</v>
      </c>
      <c r="G10" s="14" t="s">
        <v>1</v>
      </c>
    </row>
    <row r="11" spans="3:10" x14ac:dyDescent="0.25">
      <c r="C11" s="47">
        <f t="shared" si="0"/>
        <v>8</v>
      </c>
      <c r="D11" s="20" t="s">
        <v>991</v>
      </c>
      <c r="E11" s="7" t="s">
        <v>990</v>
      </c>
      <c r="F11" s="20" t="s">
        <v>992</v>
      </c>
      <c r="G11" s="14" t="s">
        <v>1</v>
      </c>
    </row>
    <row r="12" spans="3:10" x14ac:dyDescent="0.25">
      <c r="C12" s="84">
        <f t="shared" si="0"/>
        <v>9</v>
      </c>
      <c r="D12" s="61"/>
      <c r="E12" s="97" t="s">
        <v>993</v>
      </c>
      <c r="F12" s="98" t="s">
        <v>994</v>
      </c>
      <c r="G12" s="61" t="s">
        <v>0</v>
      </c>
    </row>
    <row r="13" spans="3:10" x14ac:dyDescent="0.25">
      <c r="C13" s="47">
        <f t="shared" si="0"/>
        <v>10</v>
      </c>
      <c r="D13" s="20" t="s">
        <v>996</v>
      </c>
      <c r="E13" s="65" t="s">
        <v>995</v>
      </c>
      <c r="F13" s="20" t="s">
        <v>997</v>
      </c>
      <c r="G13" s="14" t="s">
        <v>0</v>
      </c>
    </row>
    <row r="14" spans="3:10" x14ac:dyDescent="0.25">
      <c r="C14" s="47">
        <f t="shared" si="0"/>
        <v>11</v>
      </c>
      <c r="D14" s="20" t="s">
        <v>999</v>
      </c>
      <c r="E14" s="65" t="s">
        <v>998</v>
      </c>
      <c r="F14" s="20" t="s">
        <v>1000</v>
      </c>
      <c r="G14" s="14" t="s">
        <v>0</v>
      </c>
    </row>
    <row r="15" spans="3:10" x14ac:dyDescent="0.25">
      <c r="C15" s="47">
        <f t="shared" si="0"/>
        <v>12</v>
      </c>
      <c r="D15" s="20" t="s">
        <v>1002</v>
      </c>
      <c r="E15" s="65" t="s">
        <v>1001</v>
      </c>
      <c r="F15" s="20" t="s">
        <v>1003</v>
      </c>
      <c r="G15" s="14" t="s">
        <v>0</v>
      </c>
    </row>
    <row r="16" spans="3:10" x14ac:dyDescent="0.25">
      <c r="C16" s="47">
        <f t="shared" si="0"/>
        <v>13</v>
      </c>
      <c r="D16" s="20" t="s">
        <v>1005</v>
      </c>
      <c r="E16" s="65" t="s">
        <v>1004</v>
      </c>
      <c r="F16" s="20" t="s">
        <v>1006</v>
      </c>
      <c r="G16" s="14" t="s">
        <v>0</v>
      </c>
    </row>
    <row r="17" spans="3:7" x14ac:dyDescent="0.25">
      <c r="C17" s="47">
        <f t="shared" si="0"/>
        <v>14</v>
      </c>
      <c r="D17" s="20" t="s">
        <v>1008</v>
      </c>
      <c r="E17" s="65" t="s">
        <v>1007</v>
      </c>
      <c r="F17" s="20" t="s">
        <v>1009</v>
      </c>
      <c r="G17" s="14" t="s">
        <v>0</v>
      </c>
    </row>
    <row r="18" spans="3:7" x14ac:dyDescent="0.25">
      <c r="C18" s="47">
        <f t="shared" si="0"/>
        <v>15</v>
      </c>
      <c r="D18" s="20" t="s">
        <v>1011</v>
      </c>
      <c r="E18" s="65" t="s">
        <v>1010</v>
      </c>
      <c r="F18" s="20" t="s">
        <v>914</v>
      </c>
      <c r="G18" s="14" t="s">
        <v>0</v>
      </c>
    </row>
    <row r="19" spans="3:7" x14ac:dyDescent="0.25">
      <c r="C19" s="47">
        <f t="shared" si="0"/>
        <v>16</v>
      </c>
      <c r="D19" s="20" t="s">
        <v>1013</v>
      </c>
      <c r="E19" s="65" t="s">
        <v>1012</v>
      </c>
      <c r="F19" s="20" t="s">
        <v>1014</v>
      </c>
      <c r="G19" s="14" t="s">
        <v>0</v>
      </c>
    </row>
    <row r="20" spans="3:7" x14ac:dyDescent="0.25">
      <c r="C20" s="47">
        <f t="shared" si="0"/>
        <v>17</v>
      </c>
      <c r="D20" s="20" t="s">
        <v>1016</v>
      </c>
      <c r="E20" s="7" t="s">
        <v>1015</v>
      </c>
      <c r="F20" s="20" t="s">
        <v>1017</v>
      </c>
      <c r="G20" s="14" t="s">
        <v>0</v>
      </c>
    </row>
    <row r="21" spans="3:7" x14ac:dyDescent="0.25">
      <c r="C21" s="47">
        <f t="shared" si="0"/>
        <v>18</v>
      </c>
      <c r="D21" s="20" t="s">
        <v>1019</v>
      </c>
      <c r="E21" s="7" t="s">
        <v>1018</v>
      </c>
      <c r="F21" s="20" t="s">
        <v>1020</v>
      </c>
      <c r="G21" s="14" t="s">
        <v>0</v>
      </c>
    </row>
    <row r="22" spans="3:7" x14ac:dyDescent="0.25">
      <c r="C22" s="47">
        <f t="shared" si="0"/>
        <v>19</v>
      </c>
      <c r="D22" s="20" t="s">
        <v>1022</v>
      </c>
      <c r="E22" s="7" t="s">
        <v>1021</v>
      </c>
      <c r="F22" s="20" t="s">
        <v>1023</v>
      </c>
      <c r="G22" s="14" t="s">
        <v>0</v>
      </c>
    </row>
    <row r="23" spans="3:7" x14ac:dyDescent="0.25">
      <c r="C23" s="47">
        <f t="shared" si="0"/>
        <v>20</v>
      </c>
      <c r="D23" s="99" t="s">
        <v>1025</v>
      </c>
      <c r="E23" s="9" t="s">
        <v>1024</v>
      </c>
      <c r="F23" s="8" t="s">
        <v>480</v>
      </c>
      <c r="G23" s="8" t="s">
        <v>1</v>
      </c>
    </row>
    <row r="24" spans="3:7" x14ac:dyDescent="0.25">
      <c r="C24" s="47">
        <f t="shared" si="0"/>
        <v>21</v>
      </c>
      <c r="D24" s="99" t="s">
        <v>1027</v>
      </c>
      <c r="E24" s="9" t="s">
        <v>1026</v>
      </c>
      <c r="F24" s="100">
        <v>39563</v>
      </c>
      <c r="G24" s="8" t="s">
        <v>1</v>
      </c>
    </row>
    <row r="25" spans="3:7" x14ac:dyDescent="0.25">
      <c r="C25" s="47">
        <f t="shared" si="0"/>
        <v>22</v>
      </c>
      <c r="D25" s="20" t="s">
        <v>1029</v>
      </c>
      <c r="E25" s="7" t="s">
        <v>1028</v>
      </c>
      <c r="F25" s="20" t="s">
        <v>1030</v>
      </c>
      <c r="G25" s="14" t="s">
        <v>1</v>
      </c>
    </row>
    <row r="26" spans="3:7" x14ac:dyDescent="0.25">
      <c r="C26" s="47">
        <f t="shared" si="0"/>
        <v>23</v>
      </c>
      <c r="D26" s="20" t="s">
        <v>1032</v>
      </c>
      <c r="E26" s="7" t="s">
        <v>1031</v>
      </c>
      <c r="F26" s="20" t="s">
        <v>1033</v>
      </c>
      <c r="G26" s="14" t="s">
        <v>1</v>
      </c>
    </row>
    <row r="27" spans="3:7" x14ac:dyDescent="0.25">
      <c r="C27" s="47">
        <f t="shared" si="0"/>
        <v>24</v>
      </c>
      <c r="D27" s="20" t="s">
        <v>1035</v>
      </c>
      <c r="E27" s="7" t="s">
        <v>1034</v>
      </c>
      <c r="F27" s="20" t="s">
        <v>1036</v>
      </c>
      <c r="G27" s="14" t="s">
        <v>1</v>
      </c>
    </row>
    <row r="28" spans="3:7" x14ac:dyDescent="0.25">
      <c r="C28" s="47">
        <f t="shared" si="0"/>
        <v>25</v>
      </c>
      <c r="D28" s="20" t="s">
        <v>1038</v>
      </c>
      <c r="E28" s="7" t="s">
        <v>1037</v>
      </c>
      <c r="F28" s="20" t="s">
        <v>1039</v>
      </c>
      <c r="G28" s="14" t="s">
        <v>0</v>
      </c>
    </row>
    <row r="29" spans="3:7" x14ac:dyDescent="0.25">
      <c r="C29" s="84">
        <f t="shared" si="0"/>
        <v>26</v>
      </c>
      <c r="D29" s="61"/>
      <c r="E29" s="43" t="s">
        <v>1040</v>
      </c>
      <c r="F29" s="61"/>
      <c r="G29" s="61" t="s">
        <v>0</v>
      </c>
    </row>
    <row r="30" spans="3:7" x14ac:dyDescent="0.25">
      <c r="C30" s="47">
        <f t="shared" si="0"/>
        <v>27</v>
      </c>
      <c r="D30" s="20" t="s">
        <v>1042</v>
      </c>
      <c r="E30" s="7" t="s">
        <v>1041</v>
      </c>
      <c r="F30" s="20" t="s">
        <v>1043</v>
      </c>
      <c r="G30" s="14" t="s">
        <v>1</v>
      </c>
    </row>
    <row r="31" spans="3:7" x14ac:dyDescent="0.25">
      <c r="C31" s="47">
        <f t="shared" si="0"/>
        <v>28</v>
      </c>
      <c r="D31" s="20" t="s">
        <v>1045</v>
      </c>
      <c r="E31" s="7" t="s">
        <v>1044</v>
      </c>
      <c r="F31" s="20" t="s">
        <v>1046</v>
      </c>
      <c r="G31" s="14" t="s">
        <v>0</v>
      </c>
    </row>
    <row r="32" spans="3:7" x14ac:dyDescent="0.25">
      <c r="C32" s="47">
        <f t="shared" si="0"/>
        <v>29</v>
      </c>
      <c r="D32" s="20" t="s">
        <v>1048</v>
      </c>
      <c r="E32" s="7" t="s">
        <v>1047</v>
      </c>
      <c r="F32" s="14" t="s">
        <v>1049</v>
      </c>
      <c r="G32" s="14" t="s">
        <v>0</v>
      </c>
    </row>
  </sheetData>
  <mergeCells count="7">
    <mergeCell ref="J2:J3"/>
    <mergeCell ref="C2:C3"/>
    <mergeCell ref="D2:D3"/>
    <mergeCell ref="E2:E3"/>
    <mergeCell ref="F2:F3"/>
    <mergeCell ref="G2:G3"/>
    <mergeCell ref="I2:I3"/>
  </mergeCells>
  <conditionalFormatting sqref="E4:E19 E21:E32">
    <cfRule type="expression" dxfId="50" priority="6">
      <formula>SEARCH(#REF!,#REF!)</formula>
    </cfRule>
  </conditionalFormatting>
  <conditionalFormatting sqref="E21:E23 E4:E19">
    <cfRule type="duplicateValues" dxfId="49" priority="13"/>
  </conditionalFormatting>
  <conditionalFormatting sqref="E21:E31 E4:E19">
    <cfRule type="duplicateValues" dxfId="48" priority="11"/>
    <cfRule type="duplicateValues" dxfId="47" priority="12"/>
    <cfRule type="duplicateValues" dxfId="46" priority="14"/>
  </conditionalFormatting>
  <conditionalFormatting sqref="E32">
    <cfRule type="duplicateValues" dxfId="45" priority="7"/>
    <cfRule type="duplicateValues" dxfId="44" priority="8"/>
    <cfRule type="duplicateValues" dxfId="43" priority="9"/>
    <cfRule type="duplicateValues" dxfId="39" priority="10"/>
  </conditionalFormatting>
  <conditionalFormatting sqref="E20">
    <cfRule type="duplicateValues" dxfId="42" priority="44"/>
    <cfRule type="duplicateValues" dxfId="41" priority="45"/>
    <cfRule type="duplicateValues" dxfId="40" priority="46"/>
    <cfRule type="duplicateValues" dxfId="38" priority="47"/>
    <cfRule type="expression" dxfId="37" priority="48">
      <formula>SEARCH(#REF!,$I15)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26"/>
  <sheetViews>
    <sheetView workbookViewId="0">
      <selection activeCell="J15" sqref="J15"/>
    </sheetView>
  </sheetViews>
  <sheetFormatPr defaultRowHeight="15" x14ac:dyDescent="0.25"/>
  <cols>
    <col min="4" max="4" width="12.42578125" bestFit="1" customWidth="1"/>
    <col min="5" max="5" width="39.140625" bestFit="1" customWidth="1"/>
    <col min="6" max="6" width="20.42578125" bestFit="1" customWidth="1"/>
    <col min="7" max="7" width="15.5703125" bestFit="1" customWidth="1"/>
    <col min="10" max="10" width="17.7109375" customWidth="1"/>
  </cols>
  <sheetData>
    <row r="2" spans="3:10" x14ac:dyDescent="0.25">
      <c r="C2" s="104" t="s">
        <v>1112</v>
      </c>
      <c r="D2" s="103" t="s">
        <v>1113</v>
      </c>
      <c r="E2" s="103" t="s">
        <v>1114</v>
      </c>
      <c r="F2" s="103" t="s">
        <v>1115</v>
      </c>
      <c r="G2" s="103" t="s">
        <v>1116</v>
      </c>
      <c r="I2" s="103" t="s">
        <v>1117</v>
      </c>
      <c r="J2" s="103" t="s">
        <v>1118</v>
      </c>
    </row>
    <row r="3" spans="3:10" ht="20.100000000000001" customHeight="1" x14ac:dyDescent="0.25">
      <c r="C3" s="105"/>
      <c r="D3" s="103"/>
      <c r="E3" s="103"/>
      <c r="F3" s="103"/>
      <c r="G3" s="103"/>
      <c r="I3" s="103"/>
      <c r="J3" s="103"/>
    </row>
    <row r="4" spans="3:10" ht="20.100000000000001" customHeight="1" x14ac:dyDescent="0.25">
      <c r="C4" s="47">
        <v>1</v>
      </c>
      <c r="D4" s="20" t="s">
        <v>1051</v>
      </c>
      <c r="E4" s="12" t="s">
        <v>1050</v>
      </c>
      <c r="F4" s="20" t="s">
        <v>1052</v>
      </c>
      <c r="G4" s="14" t="s">
        <v>1</v>
      </c>
      <c r="I4" s="67">
        <f>COUNTIF(G4:G37,"L")</f>
        <v>14</v>
      </c>
      <c r="J4" s="68" t="s">
        <v>1120</v>
      </c>
    </row>
    <row r="5" spans="3:10" ht="20.100000000000001" customHeight="1" x14ac:dyDescent="0.25">
      <c r="C5" s="84">
        <f>1+C4</f>
        <v>2</v>
      </c>
      <c r="D5" s="61"/>
      <c r="E5" s="101" t="s">
        <v>1053</v>
      </c>
      <c r="F5" s="102">
        <v>39905</v>
      </c>
      <c r="G5" s="61" t="s">
        <v>0</v>
      </c>
      <c r="I5" s="69">
        <f>COUNTIF(G4:G37,"P")</f>
        <v>9</v>
      </c>
      <c r="J5" s="70" t="s">
        <v>1121</v>
      </c>
    </row>
    <row r="6" spans="3:10" ht="20.100000000000001" customHeight="1" x14ac:dyDescent="0.25">
      <c r="C6" s="47">
        <f t="shared" ref="C6:C26" si="0">1+C5</f>
        <v>3</v>
      </c>
      <c r="D6" s="20" t="s">
        <v>1055</v>
      </c>
      <c r="E6" s="12" t="s">
        <v>1054</v>
      </c>
      <c r="F6" s="20" t="s">
        <v>1056</v>
      </c>
      <c r="G6" s="14" t="s">
        <v>1</v>
      </c>
      <c r="I6" s="71">
        <f>SUM(I4:I5)</f>
        <v>23</v>
      </c>
      <c r="J6" s="71" t="s">
        <v>1122</v>
      </c>
    </row>
    <row r="7" spans="3:10" ht="20.100000000000001" customHeight="1" x14ac:dyDescent="0.25">
      <c r="C7" s="47">
        <f t="shared" si="0"/>
        <v>4</v>
      </c>
      <c r="D7" s="20" t="s">
        <v>1058</v>
      </c>
      <c r="E7" s="12" t="s">
        <v>1057</v>
      </c>
      <c r="F7" s="14" t="s">
        <v>1059</v>
      </c>
      <c r="G7" s="14" t="s">
        <v>0</v>
      </c>
    </row>
    <row r="8" spans="3:10" ht="20.100000000000001" customHeight="1" x14ac:dyDescent="0.25">
      <c r="C8" s="47">
        <f t="shared" si="0"/>
        <v>5</v>
      </c>
      <c r="D8" s="20" t="s">
        <v>1061</v>
      </c>
      <c r="E8" s="12" t="s">
        <v>1060</v>
      </c>
      <c r="F8" s="20" t="s">
        <v>1062</v>
      </c>
      <c r="G8" s="14" t="s">
        <v>1</v>
      </c>
    </row>
    <row r="9" spans="3:10" ht="20.100000000000001" customHeight="1" x14ac:dyDescent="0.25">
      <c r="C9" s="47">
        <f t="shared" si="0"/>
        <v>6</v>
      </c>
      <c r="D9" s="20" t="s">
        <v>1064</v>
      </c>
      <c r="E9" s="12" t="s">
        <v>1063</v>
      </c>
      <c r="F9" s="20" t="s">
        <v>1065</v>
      </c>
      <c r="G9" s="14" t="s">
        <v>1</v>
      </c>
    </row>
    <row r="10" spans="3:10" ht="20.100000000000001" customHeight="1" x14ac:dyDescent="0.25">
      <c r="C10" s="47">
        <f t="shared" si="0"/>
        <v>7</v>
      </c>
      <c r="D10" s="20" t="s">
        <v>1067</v>
      </c>
      <c r="E10" s="52" t="s">
        <v>1066</v>
      </c>
      <c r="F10" s="20" t="s">
        <v>1068</v>
      </c>
      <c r="G10" s="14" t="s">
        <v>0</v>
      </c>
    </row>
    <row r="11" spans="3:10" ht="20.100000000000001" customHeight="1" x14ac:dyDescent="0.25">
      <c r="C11" s="47">
        <f t="shared" si="0"/>
        <v>8</v>
      </c>
      <c r="D11" s="20" t="s">
        <v>1070</v>
      </c>
      <c r="E11" s="12" t="s">
        <v>1069</v>
      </c>
      <c r="F11" s="14" t="s">
        <v>1071</v>
      </c>
      <c r="G11" s="14" t="s">
        <v>1</v>
      </c>
    </row>
    <row r="12" spans="3:10" ht="20.100000000000001" customHeight="1" x14ac:dyDescent="0.25">
      <c r="C12" s="47">
        <f t="shared" si="0"/>
        <v>9</v>
      </c>
      <c r="D12" s="20" t="s">
        <v>1073</v>
      </c>
      <c r="E12" s="52" t="s">
        <v>1072</v>
      </c>
      <c r="F12" s="20" t="s">
        <v>1074</v>
      </c>
      <c r="G12" s="14" t="s">
        <v>1</v>
      </c>
    </row>
    <row r="13" spans="3:10" ht="20.100000000000001" customHeight="1" x14ac:dyDescent="0.25">
      <c r="C13" s="47">
        <f t="shared" si="0"/>
        <v>10</v>
      </c>
      <c r="D13" s="20" t="s">
        <v>1076</v>
      </c>
      <c r="E13" s="12" t="s">
        <v>1075</v>
      </c>
      <c r="F13" s="20" t="s">
        <v>1077</v>
      </c>
      <c r="G13" s="14" t="s">
        <v>0</v>
      </c>
    </row>
    <row r="14" spans="3:10" ht="20.100000000000001" customHeight="1" x14ac:dyDescent="0.25">
      <c r="C14" s="47">
        <f t="shared" si="0"/>
        <v>11</v>
      </c>
      <c r="D14" s="20" t="s">
        <v>1079</v>
      </c>
      <c r="E14" s="12" t="s">
        <v>1078</v>
      </c>
      <c r="F14" s="14" t="s">
        <v>1080</v>
      </c>
      <c r="G14" s="14" t="s">
        <v>0</v>
      </c>
    </row>
    <row r="15" spans="3:10" ht="20.100000000000001" customHeight="1" x14ac:dyDescent="0.25">
      <c r="C15" s="47">
        <f t="shared" si="0"/>
        <v>12</v>
      </c>
      <c r="D15" s="20" t="s">
        <v>1082</v>
      </c>
      <c r="E15" s="12" t="s">
        <v>1081</v>
      </c>
      <c r="F15" s="20" t="s">
        <v>1083</v>
      </c>
      <c r="G15" s="14" t="s">
        <v>0</v>
      </c>
    </row>
    <row r="16" spans="3:10" ht="20.100000000000001" customHeight="1" x14ac:dyDescent="0.25">
      <c r="C16" s="47">
        <f t="shared" si="0"/>
        <v>13</v>
      </c>
      <c r="D16" s="20" t="s">
        <v>1085</v>
      </c>
      <c r="E16" s="12" t="s">
        <v>1084</v>
      </c>
      <c r="F16" s="20" t="s">
        <v>903</v>
      </c>
      <c r="G16" s="14" t="s">
        <v>0</v>
      </c>
    </row>
    <row r="17" spans="3:7" ht="20.100000000000001" customHeight="1" x14ac:dyDescent="0.25">
      <c r="C17" s="47">
        <f t="shared" si="0"/>
        <v>14</v>
      </c>
      <c r="D17" s="20" t="s">
        <v>1087</v>
      </c>
      <c r="E17" s="12" t="s">
        <v>1086</v>
      </c>
      <c r="F17" s="20" t="s">
        <v>1083</v>
      </c>
      <c r="G17" s="14" t="s">
        <v>1</v>
      </c>
    </row>
    <row r="18" spans="3:7" ht="20.100000000000001" customHeight="1" x14ac:dyDescent="0.25">
      <c r="C18" s="47">
        <f t="shared" si="0"/>
        <v>15</v>
      </c>
      <c r="D18" s="20" t="s">
        <v>1089</v>
      </c>
      <c r="E18" s="12" t="s">
        <v>1088</v>
      </c>
      <c r="F18" s="20" t="s">
        <v>1090</v>
      </c>
      <c r="G18" s="14" t="s">
        <v>1</v>
      </c>
    </row>
    <row r="19" spans="3:7" ht="20.100000000000001" customHeight="1" x14ac:dyDescent="0.25">
      <c r="C19" s="47">
        <f t="shared" si="0"/>
        <v>16</v>
      </c>
      <c r="D19" s="20" t="s">
        <v>1092</v>
      </c>
      <c r="E19" s="12" t="s">
        <v>1091</v>
      </c>
      <c r="F19" s="20" t="s">
        <v>880</v>
      </c>
      <c r="G19" s="14" t="s">
        <v>0</v>
      </c>
    </row>
    <row r="20" spans="3:7" ht="20.100000000000001" customHeight="1" x14ac:dyDescent="0.25">
      <c r="C20" s="47">
        <f t="shared" si="0"/>
        <v>17</v>
      </c>
      <c r="D20" s="20" t="s">
        <v>1094</v>
      </c>
      <c r="E20" s="12" t="s">
        <v>1093</v>
      </c>
      <c r="F20" s="20" t="s">
        <v>889</v>
      </c>
      <c r="G20" s="14" t="s">
        <v>0</v>
      </c>
    </row>
    <row r="21" spans="3:7" ht="20.100000000000001" customHeight="1" x14ac:dyDescent="0.25">
      <c r="C21" s="47">
        <f t="shared" si="0"/>
        <v>18</v>
      </c>
      <c r="D21" s="20" t="s">
        <v>1096</v>
      </c>
      <c r="E21" s="12" t="s">
        <v>1095</v>
      </c>
      <c r="F21" s="20" t="s">
        <v>1097</v>
      </c>
      <c r="G21" s="14" t="s">
        <v>1</v>
      </c>
    </row>
    <row r="22" spans="3:7" ht="20.100000000000001" customHeight="1" x14ac:dyDescent="0.25">
      <c r="C22" s="47">
        <f t="shared" si="0"/>
        <v>19</v>
      </c>
      <c r="D22" s="20" t="s">
        <v>1099</v>
      </c>
      <c r="E22" s="12" t="s">
        <v>1098</v>
      </c>
      <c r="F22" s="20" t="s">
        <v>1100</v>
      </c>
      <c r="G22" s="14" t="s">
        <v>1</v>
      </c>
    </row>
    <row r="23" spans="3:7" ht="20.100000000000001" customHeight="1" x14ac:dyDescent="0.25">
      <c r="C23" s="47">
        <f t="shared" si="0"/>
        <v>20</v>
      </c>
      <c r="D23" s="20" t="s">
        <v>1102</v>
      </c>
      <c r="E23" s="12" t="s">
        <v>1101</v>
      </c>
      <c r="F23" s="20" t="s">
        <v>1103</v>
      </c>
      <c r="G23" s="14" t="s">
        <v>1</v>
      </c>
    </row>
    <row r="24" spans="3:7" ht="20.100000000000001" customHeight="1" x14ac:dyDescent="0.25">
      <c r="C24" s="47">
        <f t="shared" si="0"/>
        <v>21</v>
      </c>
      <c r="D24" s="20" t="s">
        <v>1105</v>
      </c>
      <c r="E24" s="12" t="s">
        <v>1104</v>
      </c>
      <c r="F24" s="20" t="s">
        <v>1106</v>
      </c>
      <c r="G24" s="14" t="s">
        <v>1</v>
      </c>
    </row>
    <row r="25" spans="3:7" ht="20.100000000000001" customHeight="1" x14ac:dyDescent="0.25">
      <c r="C25" s="47">
        <f t="shared" si="0"/>
        <v>22</v>
      </c>
      <c r="D25" s="20" t="s">
        <v>1108</v>
      </c>
      <c r="E25" s="12" t="s">
        <v>1107</v>
      </c>
      <c r="F25" s="20" t="s">
        <v>665</v>
      </c>
      <c r="G25" s="14" t="s">
        <v>1</v>
      </c>
    </row>
    <row r="26" spans="3:7" x14ac:dyDescent="0.25">
      <c r="C26" s="47">
        <f t="shared" si="0"/>
        <v>23</v>
      </c>
      <c r="D26" s="20" t="s">
        <v>1110</v>
      </c>
      <c r="E26" s="12" t="s">
        <v>1109</v>
      </c>
      <c r="F26" s="20" t="s">
        <v>1111</v>
      </c>
      <c r="G26" s="14" t="s">
        <v>1</v>
      </c>
    </row>
  </sheetData>
  <mergeCells count="7">
    <mergeCell ref="J2:J3"/>
    <mergeCell ref="C2:C3"/>
    <mergeCell ref="D2:D3"/>
    <mergeCell ref="E2:E3"/>
    <mergeCell ref="F2:F3"/>
    <mergeCell ref="G2:G3"/>
    <mergeCell ref="I2:I3"/>
  </mergeCells>
  <conditionalFormatting sqref="E4:E18">
    <cfRule type="duplicateValues" dxfId="36" priority="34"/>
    <cfRule type="duplicateValues" dxfId="35" priority="35"/>
    <cfRule type="duplicateValues" dxfId="34" priority="36"/>
    <cfRule type="duplicateValues" dxfId="8" priority="37"/>
  </conditionalFormatting>
  <conditionalFormatting sqref="E4:E26">
    <cfRule type="expression" dxfId="33" priority="33">
      <formula>SEARCH(#REF!,#REF!)</formula>
    </cfRule>
  </conditionalFormatting>
  <conditionalFormatting sqref="E19">
    <cfRule type="duplicateValues" dxfId="32" priority="29"/>
    <cfRule type="duplicateValues" dxfId="31" priority="30"/>
    <cfRule type="duplicateValues" dxfId="30" priority="31"/>
    <cfRule type="duplicateValues" dxfId="7" priority="32"/>
  </conditionalFormatting>
  <conditionalFormatting sqref="E20">
    <cfRule type="duplicateValues" dxfId="29" priority="1"/>
    <cfRule type="duplicateValues" dxfId="28" priority="2"/>
    <cfRule type="duplicateValues" dxfId="27" priority="3"/>
    <cfRule type="duplicateValues" dxfId="6" priority="4"/>
  </conditionalFormatting>
  <conditionalFormatting sqref="E21">
    <cfRule type="duplicateValues" dxfId="26" priority="25"/>
    <cfRule type="duplicateValues" dxfId="25" priority="26"/>
    <cfRule type="duplicateValues" dxfId="24" priority="27"/>
    <cfRule type="duplicateValues" dxfId="5" priority="28"/>
  </conditionalFormatting>
  <conditionalFormatting sqref="E22">
    <cfRule type="duplicateValues" dxfId="23" priority="21"/>
    <cfRule type="duplicateValues" dxfId="22" priority="22"/>
    <cfRule type="duplicateValues" dxfId="21" priority="23"/>
    <cfRule type="duplicateValues" dxfId="4" priority="24"/>
  </conditionalFormatting>
  <conditionalFormatting sqref="E23 E26">
    <cfRule type="duplicateValues" dxfId="20" priority="17"/>
    <cfRule type="duplicateValues" dxfId="19" priority="18"/>
    <cfRule type="duplicateValues" dxfId="18" priority="19"/>
    <cfRule type="duplicateValues" dxfId="3" priority="20"/>
  </conditionalFormatting>
  <conditionalFormatting sqref="E24">
    <cfRule type="duplicateValues" dxfId="17" priority="13"/>
    <cfRule type="duplicateValues" dxfId="16" priority="14"/>
    <cfRule type="duplicateValues" dxfId="15" priority="15"/>
    <cfRule type="duplicateValues" dxfId="2" priority="16"/>
  </conditionalFormatting>
  <conditionalFormatting sqref="E25">
    <cfRule type="duplicateValues" dxfId="14" priority="9"/>
    <cfRule type="duplicateValues" dxfId="13" priority="10"/>
    <cfRule type="duplicateValues" dxfId="12" priority="11"/>
    <cfRule type="duplicateValues" dxfId="1" priority="12"/>
  </conditionalFormatting>
  <conditionalFormatting sqref="E26">
    <cfRule type="duplicateValues" dxfId="11" priority="5"/>
    <cfRule type="duplicateValues" dxfId="10" priority="6"/>
    <cfRule type="duplicateValues" dxfId="9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X E1</vt:lpstr>
      <vt:lpstr>X E2</vt:lpstr>
      <vt:lpstr>X E3</vt:lpstr>
      <vt:lpstr>X E4</vt:lpstr>
      <vt:lpstr>X E5</vt:lpstr>
      <vt:lpstr>X E6</vt:lpstr>
      <vt:lpstr>X E7</vt:lpstr>
      <vt:lpstr>XI F1</vt:lpstr>
      <vt:lpstr>XI F2</vt:lpstr>
      <vt:lpstr>XI F3</vt:lpstr>
      <vt:lpstr>XI F4</vt:lpstr>
      <vt:lpstr>XI F5</vt:lpstr>
      <vt:lpstr>XI F6</vt:lpstr>
      <vt:lpstr>'X E4'!Print_Area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app</cp:lastModifiedBy>
  <cp:lastPrinted>2025-10-24T04:36:16Z</cp:lastPrinted>
  <dcterms:created xsi:type="dcterms:W3CDTF">2024-06-05T23:49:26Z</dcterms:created>
  <dcterms:modified xsi:type="dcterms:W3CDTF">2026-07-08T10:36:40Z</dcterms:modified>
</cp:coreProperties>
</file>