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20262027\Kesiswaan\Data siswa\"/>
    </mc:Choice>
  </mc:AlternateContent>
  <bookViews>
    <workbookView xWindow="0" yWindow="0" windowWidth="19935" windowHeight="7170" activeTab="6"/>
  </bookViews>
  <sheets>
    <sheet name="VII" sheetId="3" r:id="rId1"/>
    <sheet name="VIII" sheetId="1" r:id="rId2"/>
    <sheet name="IX" sheetId="2" r:id="rId3"/>
    <sheet name="rekap" sheetId="4" r:id="rId4"/>
    <sheet name="berkas" sheetId="5" r:id="rId5"/>
    <sheet name="WLKLS" sheetId="7" r:id="rId6"/>
    <sheet name="Laporan" sheetId="6" r:id="rId7"/>
  </sheets>
  <definedNames>
    <definedName name="OLE_LINK1" localSheetId="1">VIII!#REF!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4" l="1"/>
  <c r="E254" i="2" l="1"/>
  <c r="E253" i="2"/>
  <c r="D31" i="4" l="1"/>
  <c r="C31" i="4"/>
  <c r="E31" i="4" s="1"/>
  <c r="D29" i="4"/>
  <c r="C29" i="4"/>
  <c r="D28" i="4"/>
  <c r="C28" i="4"/>
  <c r="E28" i="4" l="1"/>
  <c r="Q175" i="2"/>
  <c r="E99" i="2" l="1"/>
  <c r="D674" i="4" l="1"/>
  <c r="C674" i="4"/>
  <c r="E674" i="4" s="1"/>
  <c r="E670" i="4"/>
  <c r="E669" i="4"/>
  <c r="E668" i="4"/>
  <c r="E667" i="4"/>
  <c r="D665" i="4"/>
  <c r="C665" i="4"/>
  <c r="E665" i="4" s="1"/>
  <c r="E663" i="4"/>
  <c r="E662" i="4"/>
  <c r="E661" i="4"/>
  <c r="E660" i="4"/>
  <c r="E659" i="4"/>
  <c r="D658" i="4"/>
  <c r="D676" i="4" s="1"/>
  <c r="C658" i="4"/>
  <c r="E657" i="4"/>
  <c r="E656" i="4"/>
  <c r="E655" i="4"/>
  <c r="E654" i="4"/>
  <c r="E653" i="4"/>
  <c r="E652" i="4"/>
  <c r="D620" i="4"/>
  <c r="C620" i="4"/>
  <c r="E620" i="4" s="1"/>
  <c r="E616" i="4"/>
  <c r="E615" i="4"/>
  <c r="E614" i="4"/>
  <c r="E613" i="4"/>
  <c r="D611" i="4"/>
  <c r="C611" i="4"/>
  <c r="E611" i="4" s="1"/>
  <c r="E609" i="4"/>
  <c r="E608" i="4"/>
  <c r="E607" i="4"/>
  <c r="E606" i="4"/>
  <c r="E605" i="4"/>
  <c r="D604" i="4"/>
  <c r="D622" i="4" s="1"/>
  <c r="C604" i="4"/>
  <c r="C622" i="4" s="1"/>
  <c r="E603" i="4"/>
  <c r="E602" i="4"/>
  <c r="E601" i="4"/>
  <c r="E600" i="4"/>
  <c r="E599" i="4"/>
  <c r="E598" i="4"/>
  <c r="C676" i="4" l="1"/>
  <c r="E658" i="4"/>
  <c r="E676" i="4" s="1"/>
  <c r="E604" i="4"/>
  <c r="E622" i="4" s="1"/>
  <c r="D21" i="4"/>
  <c r="D566" i="4" l="1"/>
  <c r="C566" i="4"/>
  <c r="E566" i="4" s="1"/>
  <c r="E562" i="4"/>
  <c r="E561" i="4"/>
  <c r="E560" i="4"/>
  <c r="E559" i="4"/>
  <c r="D557" i="4"/>
  <c r="C557" i="4"/>
  <c r="E557" i="4" s="1"/>
  <c r="E555" i="4"/>
  <c r="E554" i="4"/>
  <c r="E553" i="4"/>
  <c r="E552" i="4"/>
  <c r="E551" i="4"/>
  <c r="D550" i="4"/>
  <c r="D568" i="4" s="1"/>
  <c r="C550" i="4"/>
  <c r="C568" i="4" s="1"/>
  <c r="E549" i="4"/>
  <c r="E548" i="4"/>
  <c r="E547" i="4"/>
  <c r="E546" i="4"/>
  <c r="E545" i="4"/>
  <c r="E544" i="4"/>
  <c r="D512" i="4"/>
  <c r="C512" i="4"/>
  <c r="E512" i="4" s="1"/>
  <c r="E508" i="4"/>
  <c r="E507" i="4"/>
  <c r="E506" i="4"/>
  <c r="E505" i="4"/>
  <c r="D503" i="4"/>
  <c r="C503" i="4"/>
  <c r="E503" i="4" s="1"/>
  <c r="E501" i="4"/>
  <c r="E500" i="4"/>
  <c r="E499" i="4"/>
  <c r="E498" i="4"/>
  <c r="E497" i="4"/>
  <c r="D496" i="4"/>
  <c r="D514" i="4" s="1"/>
  <c r="C496" i="4"/>
  <c r="C514" i="4" s="1"/>
  <c r="E495" i="4"/>
  <c r="E494" i="4"/>
  <c r="E493" i="4"/>
  <c r="E492" i="4"/>
  <c r="E491" i="4"/>
  <c r="E490" i="4"/>
  <c r="E550" i="4" l="1"/>
  <c r="E568" i="4" s="1"/>
  <c r="E496" i="4"/>
  <c r="E514" i="4" s="1"/>
  <c r="D458" i="4" l="1"/>
  <c r="C458" i="4"/>
  <c r="E458" i="4" s="1"/>
  <c r="E454" i="4"/>
  <c r="E453" i="4"/>
  <c r="E452" i="4"/>
  <c r="E451" i="4"/>
  <c r="D449" i="4"/>
  <c r="C449" i="4"/>
  <c r="E449" i="4" s="1"/>
  <c r="E447" i="4"/>
  <c r="E446" i="4"/>
  <c r="E445" i="4"/>
  <c r="E444" i="4"/>
  <c r="E443" i="4"/>
  <c r="D442" i="4"/>
  <c r="D460" i="4" s="1"/>
  <c r="C442" i="4"/>
  <c r="E441" i="4"/>
  <c r="E440" i="4"/>
  <c r="E439" i="4"/>
  <c r="E438" i="4"/>
  <c r="E437" i="4"/>
  <c r="E436" i="4"/>
  <c r="C460" i="4" l="1"/>
  <c r="E442" i="4"/>
  <c r="E460" i="4" s="1"/>
  <c r="D405" i="4" l="1"/>
  <c r="C405" i="4"/>
  <c r="E405" i="4" s="1"/>
  <c r="E401" i="4"/>
  <c r="E400" i="4"/>
  <c r="E399" i="4"/>
  <c r="E398" i="4"/>
  <c r="D396" i="4"/>
  <c r="C396" i="4"/>
  <c r="E396" i="4" s="1"/>
  <c r="E394" i="4"/>
  <c r="E393" i="4"/>
  <c r="E392" i="4"/>
  <c r="E391" i="4"/>
  <c r="E390" i="4"/>
  <c r="D389" i="4"/>
  <c r="D407" i="4" s="1"/>
  <c r="C389" i="4"/>
  <c r="C407" i="4" s="1"/>
  <c r="E388" i="4"/>
  <c r="E387" i="4"/>
  <c r="E386" i="4"/>
  <c r="E385" i="4"/>
  <c r="E384" i="4"/>
  <c r="E383" i="4"/>
  <c r="E389" i="4" l="1"/>
  <c r="E407" i="4" s="1"/>
  <c r="D353" i="4" l="1"/>
  <c r="C353" i="4"/>
  <c r="E353" i="4" s="1"/>
  <c r="E349" i="4"/>
  <c r="E348" i="4"/>
  <c r="E347" i="4"/>
  <c r="E346" i="4"/>
  <c r="D344" i="4"/>
  <c r="C344" i="4"/>
  <c r="E344" i="4" s="1"/>
  <c r="E342" i="4"/>
  <c r="E341" i="4"/>
  <c r="E340" i="4"/>
  <c r="E339" i="4"/>
  <c r="E338" i="4"/>
  <c r="D337" i="4"/>
  <c r="D355" i="4" s="1"/>
  <c r="C337" i="4"/>
  <c r="E336" i="4"/>
  <c r="E335" i="4"/>
  <c r="E334" i="4"/>
  <c r="E333" i="4"/>
  <c r="E332" i="4"/>
  <c r="E331" i="4"/>
  <c r="C355" i="4" l="1"/>
  <c r="E337" i="4"/>
  <c r="E355" i="4" s="1"/>
  <c r="D299" i="4"/>
  <c r="C299" i="4"/>
  <c r="E299" i="4" s="1"/>
  <c r="E295" i="4"/>
  <c r="E294" i="4"/>
  <c r="E293" i="4"/>
  <c r="E292" i="4"/>
  <c r="D290" i="4"/>
  <c r="C290" i="4"/>
  <c r="E290" i="4" s="1"/>
  <c r="E288" i="4"/>
  <c r="E287" i="4"/>
  <c r="E286" i="4"/>
  <c r="E285" i="4"/>
  <c r="E284" i="4"/>
  <c r="D283" i="4"/>
  <c r="D301" i="4" s="1"/>
  <c r="C283" i="4"/>
  <c r="C301" i="4" s="1"/>
  <c r="E282" i="4"/>
  <c r="E281" i="4"/>
  <c r="E280" i="4"/>
  <c r="E279" i="4"/>
  <c r="E278" i="4"/>
  <c r="E277" i="4"/>
  <c r="E283" i="4" l="1"/>
  <c r="E301" i="4" s="1"/>
  <c r="D245" i="4" l="1"/>
  <c r="C245" i="4"/>
  <c r="E245" i="4" s="1"/>
  <c r="E241" i="4"/>
  <c r="E240" i="4"/>
  <c r="E239" i="4"/>
  <c r="E238" i="4"/>
  <c r="D236" i="4"/>
  <c r="C236" i="4"/>
  <c r="E236" i="4" s="1"/>
  <c r="E234" i="4"/>
  <c r="E233" i="4"/>
  <c r="E232" i="4"/>
  <c r="E231" i="4"/>
  <c r="E230" i="4"/>
  <c r="D229" i="4"/>
  <c r="D247" i="4" s="1"/>
  <c r="C229" i="4"/>
  <c r="E228" i="4"/>
  <c r="E227" i="4"/>
  <c r="E226" i="4"/>
  <c r="E225" i="4"/>
  <c r="E224" i="4"/>
  <c r="E223" i="4"/>
  <c r="C247" i="4" l="1"/>
  <c r="E229" i="4"/>
  <c r="E247" i="4" s="1"/>
  <c r="D191" i="4" l="1"/>
  <c r="C191" i="4"/>
  <c r="E191" i="4" s="1"/>
  <c r="E187" i="4"/>
  <c r="E186" i="4"/>
  <c r="E185" i="4"/>
  <c r="E184" i="4"/>
  <c r="D182" i="4"/>
  <c r="C182" i="4"/>
  <c r="E182" i="4" s="1"/>
  <c r="E180" i="4"/>
  <c r="E179" i="4"/>
  <c r="E178" i="4"/>
  <c r="E177" i="4"/>
  <c r="E176" i="4"/>
  <c r="D175" i="4"/>
  <c r="D193" i="4" s="1"/>
  <c r="C175" i="4"/>
  <c r="E174" i="4"/>
  <c r="E173" i="4"/>
  <c r="E172" i="4"/>
  <c r="E171" i="4"/>
  <c r="E170" i="4"/>
  <c r="E169" i="4"/>
  <c r="C193" i="4" l="1"/>
  <c r="E175" i="4"/>
  <c r="E193" i="4" s="1"/>
  <c r="D137" i="4"/>
  <c r="C137" i="4"/>
  <c r="E137" i="4" s="1"/>
  <c r="E133" i="4"/>
  <c r="E132" i="4"/>
  <c r="E131" i="4"/>
  <c r="E130" i="4"/>
  <c r="D128" i="4"/>
  <c r="C128" i="4"/>
  <c r="E128" i="4" s="1"/>
  <c r="E126" i="4"/>
  <c r="E125" i="4"/>
  <c r="E124" i="4"/>
  <c r="E123" i="4"/>
  <c r="E122" i="4"/>
  <c r="D121" i="4"/>
  <c r="D139" i="4" s="1"/>
  <c r="C121" i="4"/>
  <c r="E120" i="4"/>
  <c r="E119" i="4"/>
  <c r="E118" i="4"/>
  <c r="E117" i="4"/>
  <c r="E116" i="4"/>
  <c r="E115" i="4"/>
  <c r="C139" i="4" l="1"/>
  <c r="E121" i="4"/>
  <c r="E139" i="4" s="1"/>
  <c r="E74" i="4"/>
  <c r="E202" i="2" l="1"/>
  <c r="E201" i="2"/>
  <c r="E150" i="2"/>
  <c r="E149" i="2"/>
  <c r="E100" i="2"/>
  <c r="E49" i="2"/>
  <c r="E48" i="2"/>
  <c r="E50" i="1"/>
  <c r="E49" i="1"/>
  <c r="E103" i="1"/>
  <c r="E102" i="1"/>
  <c r="E153" i="1"/>
  <c r="E152" i="1"/>
  <c r="E204" i="1"/>
  <c r="E205" i="1"/>
  <c r="E258" i="1"/>
  <c r="E257" i="1"/>
  <c r="E51" i="3"/>
  <c r="E50" i="3"/>
  <c r="E105" i="3"/>
  <c r="E104" i="3"/>
  <c r="E159" i="3"/>
  <c r="E158" i="3"/>
  <c r="E213" i="3"/>
  <c r="E212" i="3"/>
  <c r="E321" i="3"/>
  <c r="E320" i="3"/>
  <c r="E267" i="3"/>
  <c r="E266" i="3"/>
  <c r="C14" i="4" l="1"/>
  <c r="D14" i="4"/>
  <c r="D23" i="4" l="1"/>
  <c r="C23" i="4"/>
  <c r="E23" i="4" l="1"/>
  <c r="D728" i="4"/>
  <c r="C728" i="4"/>
  <c r="E724" i="4"/>
  <c r="E723" i="4"/>
  <c r="E722" i="4"/>
  <c r="E721" i="4"/>
  <c r="D719" i="4"/>
  <c r="C719" i="4"/>
  <c r="E716" i="4"/>
  <c r="E715" i="4"/>
  <c r="E714" i="4"/>
  <c r="E713" i="4"/>
  <c r="D712" i="4"/>
  <c r="D730" i="4" s="1"/>
  <c r="C712" i="4"/>
  <c r="C730" i="4" s="1"/>
  <c r="E710" i="4"/>
  <c r="E709" i="4"/>
  <c r="E708" i="4"/>
  <c r="E707" i="4"/>
  <c r="E706" i="4"/>
  <c r="E719" i="4" l="1"/>
  <c r="E728" i="4"/>
  <c r="E712" i="4"/>
  <c r="E730" i="4" l="1"/>
  <c r="L12" i="6" l="1"/>
  <c r="S12" i="6" s="1"/>
  <c r="H12" i="6"/>
  <c r="R12" i="6" s="1"/>
  <c r="D12" i="6"/>
  <c r="Q12" i="6" s="1"/>
  <c r="D836" i="4"/>
  <c r="C836" i="4"/>
  <c r="E832" i="4"/>
  <c r="E831" i="4"/>
  <c r="E830" i="4"/>
  <c r="E829" i="4"/>
  <c r="D827" i="4"/>
  <c r="C827" i="4"/>
  <c r="E824" i="4"/>
  <c r="E823" i="4"/>
  <c r="E822" i="4"/>
  <c r="E821" i="4"/>
  <c r="D820" i="4"/>
  <c r="C820" i="4"/>
  <c r="C838" i="4" s="1"/>
  <c r="E818" i="4"/>
  <c r="E817" i="4"/>
  <c r="E816" i="4"/>
  <c r="E815" i="4"/>
  <c r="E814" i="4"/>
  <c r="D782" i="4"/>
  <c r="C782" i="4"/>
  <c r="E782" i="4" s="1"/>
  <c r="E778" i="4"/>
  <c r="E777" i="4"/>
  <c r="E776" i="4"/>
  <c r="E775" i="4"/>
  <c r="D773" i="4"/>
  <c r="C773" i="4"/>
  <c r="E770" i="4"/>
  <c r="E769" i="4"/>
  <c r="E768" i="4"/>
  <c r="E767" i="4"/>
  <c r="D766" i="4"/>
  <c r="D784" i="4" s="1"/>
  <c r="C766" i="4"/>
  <c r="E766" i="4" s="1"/>
  <c r="E764" i="4"/>
  <c r="E763" i="4"/>
  <c r="E762" i="4"/>
  <c r="E761" i="4"/>
  <c r="E760" i="4"/>
  <c r="D85" i="4"/>
  <c r="C85" i="4"/>
  <c r="E81" i="4"/>
  <c r="E80" i="4"/>
  <c r="E79" i="4"/>
  <c r="E78" i="4"/>
  <c r="D76" i="4"/>
  <c r="C76" i="4"/>
  <c r="E73" i="4"/>
  <c r="E72" i="4"/>
  <c r="E71" i="4"/>
  <c r="E70" i="4"/>
  <c r="D69" i="4"/>
  <c r="C69" i="4"/>
  <c r="C87" i="4" s="1"/>
  <c r="E67" i="4"/>
  <c r="E66" i="4"/>
  <c r="E65" i="4"/>
  <c r="E64" i="4"/>
  <c r="E63" i="4"/>
  <c r="D30" i="4"/>
  <c r="C30" i="4"/>
  <c r="D27" i="4"/>
  <c r="D34" i="4" s="1"/>
  <c r="C27" i="4"/>
  <c r="C34" i="4" s="1"/>
  <c r="E34" i="4" s="1"/>
  <c r="D22" i="4"/>
  <c r="C22" i="4"/>
  <c r="C21" i="4"/>
  <c r="D20" i="4"/>
  <c r="C20" i="4"/>
  <c r="D19" i="4"/>
  <c r="C19" i="4"/>
  <c r="D16" i="4"/>
  <c r="C16" i="4"/>
  <c r="D15" i="4"/>
  <c r="C15" i="4"/>
  <c r="D13" i="4"/>
  <c r="C13" i="4"/>
  <c r="D12" i="4"/>
  <c r="C12" i="4"/>
  <c r="E310" i="2"/>
  <c r="E309" i="2"/>
  <c r="E310" i="1"/>
  <c r="E309" i="1"/>
  <c r="C25" i="4" l="1"/>
  <c r="C784" i="4"/>
  <c r="D838" i="4"/>
  <c r="E827" i="4"/>
  <c r="E836" i="4"/>
  <c r="N12" i="6"/>
  <c r="T12" i="6" s="1"/>
  <c r="E85" i="4"/>
  <c r="E76" i="4"/>
  <c r="D87" i="4"/>
  <c r="C18" i="4"/>
  <c r="E69" i="4"/>
  <c r="E773" i="4"/>
  <c r="E784" i="4" s="1"/>
  <c r="E820" i="4"/>
  <c r="D18" i="4"/>
  <c r="E30" i="4"/>
  <c r="E27" i="4"/>
  <c r="E20" i="4"/>
  <c r="E21" i="4"/>
  <c r="E22" i="4"/>
  <c r="E29" i="4"/>
  <c r="E19" i="4"/>
  <c r="D25" i="4"/>
  <c r="E13" i="4"/>
  <c r="E14" i="4"/>
  <c r="E15" i="4"/>
  <c r="E16" i="4"/>
  <c r="E12" i="4"/>
  <c r="E25" i="4" l="1"/>
  <c r="C36" i="4"/>
  <c r="E838" i="4"/>
  <c r="E87" i="4"/>
  <c r="E18" i="4"/>
  <c r="D36" i="4"/>
  <c r="E36" i="4" l="1"/>
</calcChain>
</file>

<file path=xl/sharedStrings.xml><?xml version="1.0" encoding="utf-8"?>
<sst xmlns="http://schemas.openxmlformats.org/spreadsheetml/2006/main" count="9044" uniqueCount="1812">
  <si>
    <t>PEMERINTAH KABUPATEN MAJALENGKA</t>
  </si>
  <si>
    <t>DINAS PENDIDIKAN</t>
  </si>
  <si>
    <t>A</t>
  </si>
  <si>
    <t>L</t>
  </si>
  <si>
    <t>SMP NEGERI 3 LEUWIMUNDING</t>
  </si>
  <si>
    <t>ALVIAN</t>
  </si>
  <si>
    <t xml:space="preserve"> TERAKREDITASI “A” SK.Nomor: 1346/BAN-SM/SK/2021</t>
  </si>
  <si>
    <t xml:space="preserve">Alamat : Jalan Raya Parungjaya  Leuwimunding  Kab. Majalengka 45473  Tlp.  (0233) 510066 </t>
  </si>
  <si>
    <t>RIDHO HIDAYATULLOH</t>
  </si>
  <si>
    <t>RENDI MAULANA</t>
  </si>
  <si>
    <t>SDN BANJARAN 1</t>
  </si>
  <si>
    <t>DANI LUKMAN SUMITRO</t>
  </si>
  <si>
    <t>TAZRIL MAULANA MALIK</t>
  </si>
  <si>
    <t>NOMOR</t>
  </si>
  <si>
    <t>N  A  M  A    S I S W A</t>
  </si>
  <si>
    <t>L / P</t>
  </si>
  <si>
    <t>KET</t>
  </si>
  <si>
    <t>MOH.HAZMI HANDIFA</t>
  </si>
  <si>
    <t>URUT</t>
  </si>
  <si>
    <t>INDUK</t>
  </si>
  <si>
    <t>NISN</t>
  </si>
  <si>
    <t>2425.7.001</t>
  </si>
  <si>
    <t>2425.7.002</t>
  </si>
  <si>
    <t>ALICE FIRMANSYAH</t>
  </si>
  <si>
    <t>P</t>
  </si>
  <si>
    <t>WAHYU SUDRAJAT</t>
  </si>
  <si>
    <t>2425.7.003</t>
  </si>
  <si>
    <t>ALIYA FITHROTUN NISA</t>
  </si>
  <si>
    <t>HASBI AHYA MAULANA</t>
  </si>
  <si>
    <t>2425.7.004</t>
  </si>
  <si>
    <t>SANDI KURNIAWAN</t>
  </si>
  <si>
    <t>2425.7.005</t>
  </si>
  <si>
    <t>ALZANETA FITRIA NOVANTI</t>
  </si>
  <si>
    <t>2425.7.006</t>
  </si>
  <si>
    <t>SDN KERINJING</t>
  </si>
  <si>
    <t>2425.7.007</t>
  </si>
  <si>
    <t>ANASTASYA FUTRI</t>
  </si>
  <si>
    <t>DINI AMELIA</t>
  </si>
  <si>
    <t>2425.7.008</t>
  </si>
  <si>
    <t>ANDITO PRATAMA</t>
  </si>
  <si>
    <t>ITA SEPTIANI</t>
  </si>
  <si>
    <t>2425.7.009</t>
  </si>
  <si>
    <t>AYUNDHA PUTRI WIJAYA</t>
  </si>
  <si>
    <t>VENNY SUPRIATNA</t>
  </si>
  <si>
    <t>2425.7.010</t>
  </si>
  <si>
    <t>MIKHAYLA PUTRI</t>
  </si>
  <si>
    <t>2425.7.011</t>
  </si>
  <si>
    <t>DEWI FAJRINA</t>
  </si>
  <si>
    <t>KAYLILA AZZAHRA</t>
  </si>
  <si>
    <t>2425.7.012</t>
  </si>
  <si>
    <t>2425.7.013</t>
  </si>
  <si>
    <t>ELIN</t>
  </si>
  <si>
    <t>2425.7.016</t>
  </si>
  <si>
    <t>IKA SAFITRI</t>
  </si>
  <si>
    <t>2425.7.017</t>
  </si>
  <si>
    <t>2425.7.018</t>
  </si>
  <si>
    <t>2425.7.019</t>
  </si>
  <si>
    <t>SIFA YULIANI</t>
  </si>
  <si>
    <t>2425.7.021</t>
  </si>
  <si>
    <t>p</t>
  </si>
  <si>
    <t>2425.7.022</t>
  </si>
  <si>
    <t>2425.7.023</t>
  </si>
  <si>
    <t>B</t>
  </si>
  <si>
    <t>MOHAMAD RIZKI KURNIAWAN</t>
  </si>
  <si>
    <t>2425.7.024</t>
  </si>
  <si>
    <t>MUHAMAD SEYFA ALFIANSAH</t>
  </si>
  <si>
    <t>2425.7.025</t>
  </si>
  <si>
    <t>2425.7.026</t>
  </si>
  <si>
    <t>FEBRIAN SYAKIB</t>
  </si>
  <si>
    <t>2425.7.027</t>
  </si>
  <si>
    <t>GAFAH INDRA QIANO</t>
  </si>
  <si>
    <t>2425.7.028</t>
  </si>
  <si>
    <t>2425.7.029</t>
  </si>
  <si>
    <t>MUHAMAD ROFI'I SAPUTRA</t>
  </si>
  <si>
    <t>MUHAMMAD AJI SEPTIAN</t>
  </si>
  <si>
    <t>2425.7.031</t>
  </si>
  <si>
    <t>MUHAMAD AZRIL MAULANA</t>
  </si>
  <si>
    <t>2425.7.032</t>
  </si>
  <si>
    <t>2425.7.165</t>
  </si>
  <si>
    <t>REZA AHMAD MAULANA</t>
  </si>
  <si>
    <t>IBRAHIM OVIK</t>
  </si>
  <si>
    <t>MUHAMMAD NAZIR SYAKIR</t>
  </si>
  <si>
    <t>ARES REAL RAMADANI</t>
  </si>
  <si>
    <t>RIKO HARDIANTO</t>
  </si>
  <si>
    <t>Wali Kelas</t>
  </si>
  <si>
    <t>RIKI MAULANA</t>
  </si>
  <si>
    <t>SUCI SETIAWATI</t>
  </si>
  <si>
    <t>IDA WINDA</t>
  </si>
  <si>
    <t>SILVIA DAMAYANTI</t>
  </si>
  <si>
    <t>MAURA DZAKIYAH</t>
  </si>
  <si>
    <t>ANGGUN AFRITA</t>
  </si>
  <si>
    <t>FITRIYA AHIDA YUANDA</t>
  </si>
  <si>
    <t>ELSA AFIKA</t>
  </si>
  <si>
    <t>AMANDA DINDA MARISYA</t>
  </si>
  <si>
    <t>NURI YUNITASARI</t>
  </si>
  <si>
    <t>NATASYA</t>
  </si>
  <si>
    <t>RAHMA ASYIFA</t>
  </si>
  <si>
    <t>2425.7.033</t>
  </si>
  <si>
    <t>EVIH KHUNAVIYA SEPTIYA PUTRI</t>
  </si>
  <si>
    <t>2425.7.034</t>
  </si>
  <si>
    <t>NADYNE FATHIINAH FAUZIAH</t>
  </si>
  <si>
    <t>2425.7.035</t>
  </si>
  <si>
    <t>DYANDRA PUTRI NUR ALIFA</t>
  </si>
  <si>
    <t>2425.7.036</t>
  </si>
  <si>
    <t>C</t>
  </si>
  <si>
    <t>KENSO AHNAFULLAH IBRAHIM</t>
  </si>
  <si>
    <t>2425.7.037</t>
  </si>
  <si>
    <t>KENSU AHNAFULLAH IBRAHIM</t>
  </si>
  <si>
    <t>2425.7.038</t>
  </si>
  <si>
    <t>MUHAMAD RIYAN FIRDAUS</t>
  </si>
  <si>
    <t>2425.7.039</t>
  </si>
  <si>
    <t>MUHAMMAD ALIF</t>
  </si>
  <si>
    <t>2425.7.040</t>
  </si>
  <si>
    <t>MUHAMAD SYAFIQ FATHUROHMAN</t>
  </si>
  <si>
    <t>2425.7.042</t>
  </si>
  <si>
    <t>MUHAMAD ROHMAN TITARDI</t>
  </si>
  <si>
    <t>2425.7.043</t>
  </si>
  <si>
    <t>FAUZI MIHARJA</t>
  </si>
  <si>
    <t>MUHAMAD VEBRIAN</t>
  </si>
  <si>
    <t>2425.7.044</t>
  </si>
  <si>
    <t>MUHAMMAD DENIS PRIYANDANU</t>
  </si>
  <si>
    <t>2425.7.045</t>
  </si>
  <si>
    <t>ALLANSYAH PRATAMA</t>
  </si>
  <si>
    <t>2425.7.046</t>
  </si>
  <si>
    <t>2425.7.047</t>
  </si>
  <si>
    <t>SUWANDA</t>
  </si>
  <si>
    <t>2425.7.048</t>
  </si>
  <si>
    <t>ALDO FERDIYAN</t>
  </si>
  <si>
    <t>2425.7.049</t>
  </si>
  <si>
    <t>MUHAMAD ARDYANSYAH R</t>
  </si>
  <si>
    <t>2425.7.050</t>
  </si>
  <si>
    <t>AFKAR FATAH BILHAQ</t>
  </si>
  <si>
    <t>2425.7.051</t>
  </si>
  <si>
    <t>M.FIRMAN WIGUNA</t>
  </si>
  <si>
    <t>2425.7.052</t>
  </si>
  <si>
    <t>DELIA FATKHIYAN</t>
  </si>
  <si>
    <t>2425.7.053</t>
  </si>
  <si>
    <t>DAHLIA FATKHIYAN</t>
  </si>
  <si>
    <t>2425.7.054</t>
  </si>
  <si>
    <t>LALITA AMEY</t>
  </si>
  <si>
    <t>2425.7.055</t>
  </si>
  <si>
    <t>SALFA INDRIYANI</t>
  </si>
  <si>
    <t>2425.7.056</t>
  </si>
  <si>
    <t>ANDINI NUR AINI</t>
  </si>
  <si>
    <t>2425.7.057</t>
  </si>
  <si>
    <t>OKTAFIA NUR MALASARI</t>
  </si>
  <si>
    <t>2425.7.058</t>
  </si>
  <si>
    <t>MEY FEBIA WIJAYA</t>
  </si>
  <si>
    <t>2425.7.059</t>
  </si>
  <si>
    <t>NADIRA AULIA</t>
  </si>
  <si>
    <t>2425.7.060</t>
  </si>
  <si>
    <t>AMELIA SRI MULYANI</t>
  </si>
  <si>
    <t>2425.7.061</t>
  </si>
  <si>
    <t>BELA SAFIRA</t>
  </si>
  <si>
    <t>2425.7.062</t>
  </si>
  <si>
    <t>2425.7.063</t>
  </si>
  <si>
    <t>YASMIN ANANDITA RIDWAN</t>
  </si>
  <si>
    <t>2425.7.064</t>
  </si>
  <si>
    <t>NABILA NUR AZZAHRA</t>
  </si>
  <si>
    <t>2425.7.065</t>
  </si>
  <si>
    <t>ANNISAH PATMA</t>
  </si>
  <si>
    <t>SUSI TRIYANI</t>
  </si>
  <si>
    <t>NURUL SHAEFI ANAM</t>
  </si>
  <si>
    <t>D</t>
  </si>
  <si>
    <t>ANSRUL BA'AIT</t>
  </si>
  <si>
    <t>MIKOLA PUTRA</t>
  </si>
  <si>
    <t>M.FADHLI KHAIRI SONJAYA</t>
  </si>
  <si>
    <t>RAFFAEL ERNESTA</t>
  </si>
  <si>
    <t>MUHAMMAD AMIRULL AIMAN</t>
  </si>
  <si>
    <t>MUHAMAD MAHIR ZIDAN</t>
  </si>
  <si>
    <t>REVAL FATIHA</t>
  </si>
  <si>
    <t>RYVAN JANUAR</t>
  </si>
  <si>
    <t>FADLI FAJAR ALFAIZAL</t>
  </si>
  <si>
    <t>KHAERUL ANWAR</t>
  </si>
  <si>
    <t>ALIFATULLOH NOVA ALVARIZI</t>
  </si>
  <si>
    <t>MUHAMMAD SANURI</t>
  </si>
  <si>
    <t>PANDU WIJAYA</t>
  </si>
  <si>
    <t>GIBRAN AL IQSAN</t>
  </si>
  <si>
    <t>EGI PUTRA PRASETIO</t>
  </si>
  <si>
    <t>2425.7.066</t>
  </si>
  <si>
    <t>NUR AINI</t>
  </si>
  <si>
    <t>2425.7.067</t>
  </si>
  <si>
    <t>PUTRI MEYGI ANGGRAENI</t>
  </si>
  <si>
    <t>2425.7.068</t>
  </si>
  <si>
    <t>NUR ANNISAH RAHMADHANI</t>
  </si>
  <si>
    <t>2425.7.069</t>
  </si>
  <si>
    <t>MARWAH SIFA APRILIYANI</t>
  </si>
  <si>
    <t>2425.7.070</t>
  </si>
  <si>
    <t>YOLA CITRA HASANAH</t>
  </si>
  <si>
    <t>2425.7.071</t>
  </si>
  <si>
    <t>SYIFA DWI CAHYANI</t>
  </si>
  <si>
    <t>2425.7.072</t>
  </si>
  <si>
    <t>2425.7.073</t>
  </si>
  <si>
    <t>PUTRI AGISTINI GIANTHSAL</t>
  </si>
  <si>
    <t>2425.7.074</t>
  </si>
  <si>
    <t>2425.7.075</t>
  </si>
  <si>
    <t>ASRI PUSPITASARI</t>
  </si>
  <si>
    <t>2425.7.076</t>
  </si>
  <si>
    <t>EVELYANNE AFRILLA MUZNI</t>
  </si>
  <si>
    <t>2425.7.077</t>
  </si>
  <si>
    <t>TRIAN ANDINI RAMADANI</t>
  </si>
  <si>
    <t>2425.7.078</t>
  </si>
  <si>
    <t>AISYAH ZILVIA</t>
  </si>
  <si>
    <t>USMAYANTI</t>
  </si>
  <si>
    <t>2425.7.080</t>
  </si>
  <si>
    <t>RESA NURKHALIFAH</t>
  </si>
  <si>
    <t>2425.7.081</t>
  </si>
  <si>
    <t>2425.7.082</t>
  </si>
  <si>
    <t>E</t>
  </si>
  <si>
    <t>REZKY PUTRA ARDEANSYAH</t>
  </si>
  <si>
    <t>2425.7.083</t>
  </si>
  <si>
    <t>TAUFAN RAHMAT MARDANI</t>
  </si>
  <si>
    <t>2425.7.084</t>
  </si>
  <si>
    <t>2425.7.085</t>
  </si>
  <si>
    <t>WAHID SYAHWAL AL GOZHALI</t>
  </si>
  <si>
    <t>2425.7.086</t>
  </si>
  <si>
    <t>FERDI ARDIANSYAH</t>
  </si>
  <si>
    <t>2425.7.087</t>
  </si>
  <si>
    <t>MUHAMAD REZA SAPUTRA</t>
  </si>
  <si>
    <t>2425.7.088</t>
  </si>
  <si>
    <t>ZIYAD MUZAKY</t>
  </si>
  <si>
    <t>2425.7.089</t>
  </si>
  <si>
    <t>IKHSAN NUGRAHA SHOBIRIN</t>
  </si>
  <si>
    <t>2425.7.090</t>
  </si>
  <si>
    <t>M. ALDIANSYAH</t>
  </si>
  <si>
    <t>2425.7.091</t>
  </si>
  <si>
    <t>DUWI SAPUTRA</t>
  </si>
  <si>
    <t>2425.7.092</t>
  </si>
  <si>
    <t>2425.7.093</t>
  </si>
  <si>
    <t>2425.7.094</t>
  </si>
  <si>
    <t>RICHEL EGA SAPUTRA</t>
  </si>
  <si>
    <t>2425.7.095</t>
  </si>
  <si>
    <t>ESAH SABILAH</t>
  </si>
  <si>
    <t>2425.7.096</t>
  </si>
  <si>
    <t>SRI NADISA</t>
  </si>
  <si>
    <t>2425.7.097</t>
  </si>
  <si>
    <t>RISA AMELIA</t>
  </si>
  <si>
    <t>REGITA DWI CAHYANI</t>
  </si>
  <si>
    <t>RANTI</t>
  </si>
  <si>
    <t>SAFA AL GAMAR</t>
  </si>
  <si>
    <t>RACHEL HATI MUSTIKA</t>
  </si>
  <si>
    <t>FADILA</t>
  </si>
  <si>
    <t>AJENG KURNIA FADILAH</t>
  </si>
  <si>
    <t>NUNUNG NURZANAH</t>
  </si>
  <si>
    <t>ASHIRLI ZANATI</t>
  </si>
  <si>
    <t>NURAENI</t>
  </si>
  <si>
    <t xml:space="preserve">AMELIA STEVANNY </t>
  </si>
  <si>
    <t>GISDEVIKA SYAHMAH</t>
  </si>
  <si>
    <t>IMELDA SARI</t>
  </si>
  <si>
    <t>NOVIANTI SUHENDI</t>
  </si>
  <si>
    <t>WINDI DWI PRATIWI</t>
  </si>
  <si>
    <t>ALYA PUTRI SABRINA</t>
  </si>
  <si>
    <t>2425.7.098</t>
  </si>
  <si>
    <t>2425.7.099</t>
  </si>
  <si>
    <t>2425.7.100</t>
  </si>
  <si>
    <t>2425.7.101</t>
  </si>
  <si>
    <t>2425.7.102</t>
  </si>
  <si>
    <t>2425.7.103</t>
  </si>
  <si>
    <t>2425.7.104</t>
  </si>
  <si>
    <t>2425.7.105</t>
  </si>
  <si>
    <t>2425.7.106</t>
  </si>
  <si>
    <t>2425.7.108</t>
  </si>
  <si>
    <t>2425.7.109</t>
  </si>
  <si>
    <t>2425.7.110</t>
  </si>
  <si>
    <t>2425.7.111</t>
  </si>
  <si>
    <t>2425.7.112</t>
  </si>
  <si>
    <t>2425.7.113</t>
  </si>
  <si>
    <t>2425.7.114</t>
  </si>
  <si>
    <t>2425.7.115</t>
  </si>
  <si>
    <t>2425.7.116</t>
  </si>
  <si>
    <t>2425.7.117</t>
  </si>
  <si>
    <t>NASIFA JULIANI</t>
  </si>
  <si>
    <t>2425.7.118</t>
  </si>
  <si>
    <t>2425.7.119</t>
  </si>
  <si>
    <t>2425.7.120</t>
  </si>
  <si>
    <t>2425.7.121</t>
  </si>
  <si>
    <t>2425.7.122</t>
  </si>
  <si>
    <t>2425.7.123</t>
  </si>
  <si>
    <t>2425.7.124</t>
  </si>
  <si>
    <t>2425.7.125</t>
  </si>
  <si>
    <t>2425.7.126</t>
  </si>
  <si>
    <t>2425.7.127</t>
  </si>
  <si>
    <t>2425.7.128</t>
  </si>
  <si>
    <t>2425.7.129</t>
  </si>
  <si>
    <t>2425.7.130</t>
  </si>
  <si>
    <t>DAFTAR PESERTA DIDIK KELAS  VII E</t>
  </si>
  <si>
    <t>2425.7.131</t>
  </si>
  <si>
    <t>2425.7.132</t>
  </si>
  <si>
    <t>2425.7.133</t>
  </si>
  <si>
    <t>2425.7.134</t>
  </si>
  <si>
    <t>BILQIS AMELIA</t>
  </si>
  <si>
    <t>2425.7.135</t>
  </si>
  <si>
    <t>2425.7.136</t>
  </si>
  <si>
    <t>2425.7.138</t>
  </si>
  <si>
    <t>2425.7.140</t>
  </si>
  <si>
    <t>2425.7.141</t>
  </si>
  <si>
    <t>2425.7.142</t>
  </si>
  <si>
    <t>2425.7.143</t>
  </si>
  <si>
    <t>2425.7.144</t>
  </si>
  <si>
    <t>M. RIZQI</t>
  </si>
  <si>
    <t>2425.7.145</t>
  </si>
  <si>
    <t>2425.7.146</t>
  </si>
  <si>
    <t>2425.7.147</t>
  </si>
  <si>
    <t>2425.7.148</t>
  </si>
  <si>
    <t>2425.7.149</t>
  </si>
  <si>
    <t>2425.7.150</t>
  </si>
  <si>
    <t>2425.7.151</t>
  </si>
  <si>
    <t>2425.7.152</t>
  </si>
  <si>
    <t>2425.7.153</t>
  </si>
  <si>
    <t>2425.7.154</t>
  </si>
  <si>
    <t>2425.7.155</t>
  </si>
  <si>
    <t>2425.7.156</t>
  </si>
  <si>
    <t>2425.7.157</t>
  </si>
  <si>
    <t>2425.7.158</t>
  </si>
  <si>
    <t>2425.7.159</t>
  </si>
  <si>
    <t>2425.7.160</t>
  </si>
  <si>
    <t>2425.7.164</t>
  </si>
  <si>
    <t xml:space="preserve"> TERAKREDITASI “A” SK.Nomor: 02.00/692/BAP-SM/I/2017</t>
  </si>
  <si>
    <t>DAFTAR PESERTA DIDIK KELAS  VII F</t>
  </si>
  <si>
    <t>TAHUN PELAJARAN 2022 / 2023</t>
  </si>
  <si>
    <t>F</t>
  </si>
  <si>
    <t>Leuwimunding,  Juli  2022</t>
  </si>
  <si>
    <t>DAFTAR PESERTA DIDIK KELAS  VII G</t>
  </si>
  <si>
    <t>TAHUN PELAJARAN 2022/ 2023</t>
  </si>
  <si>
    <t>SITI NURHALIMAH, S.Pd.I</t>
  </si>
  <si>
    <t>NIP. 198103052014062001</t>
  </si>
  <si>
    <t>KELAS LAMA</t>
  </si>
  <si>
    <t>NIS</t>
  </si>
  <si>
    <t>NAMA</t>
  </si>
  <si>
    <t>VII B</t>
  </si>
  <si>
    <t>VII A</t>
  </si>
  <si>
    <t>VII D</t>
  </si>
  <si>
    <t>2324.7.008</t>
  </si>
  <si>
    <t>VII C</t>
  </si>
  <si>
    <t>2324.7.125</t>
  </si>
  <si>
    <t>FANIA WARMAWANI</t>
  </si>
  <si>
    <t>2324.7.028</t>
  </si>
  <si>
    <t>SURYA DHARMA PRIATNA</t>
  </si>
  <si>
    <t>2324.7.122</t>
  </si>
  <si>
    <t>RINO MAULANA</t>
  </si>
  <si>
    <t>2324.7.072</t>
  </si>
  <si>
    <t>IMAM WALUYO</t>
  </si>
  <si>
    <t>TAHUN PELAJARAN 2023 / 2024</t>
  </si>
  <si>
    <t>Leuwimunding,  Juli  2023</t>
  </si>
  <si>
    <t>DAFTAR PESERTA DIDIK KELAS  VIII F</t>
  </si>
  <si>
    <t>Leuwimunding,  Juli  2021</t>
  </si>
  <si>
    <t>KETERANGAN</t>
  </si>
  <si>
    <t>ASAL KELAS</t>
  </si>
  <si>
    <t>VIII B</t>
  </si>
  <si>
    <t>VIII D</t>
  </si>
  <si>
    <t>VIII C</t>
  </si>
  <si>
    <t>DAFTAR PESERTA DIDIK KELAS  IX E</t>
  </si>
  <si>
    <t>DAFTAR PESERTA DIDIK KELAS  IX F</t>
  </si>
  <si>
    <t>REKAPITULASI JUMLAH SISWA REAL</t>
  </si>
  <si>
    <t>REKAPITULASI JUMLAH SISWA MUTASI</t>
  </si>
  <si>
    <t>TAHUN PELAJARAN 2024/2025</t>
  </si>
  <si>
    <t>NO</t>
  </si>
  <si>
    <t>KELAS</t>
  </si>
  <si>
    <t>JML</t>
  </si>
  <si>
    <t>Kelas 7</t>
  </si>
  <si>
    <t>7A</t>
  </si>
  <si>
    <t>7B</t>
  </si>
  <si>
    <t>7C</t>
  </si>
  <si>
    <t>7D</t>
  </si>
  <si>
    <t>7E</t>
  </si>
  <si>
    <t>JUMLAH</t>
  </si>
  <si>
    <t>8A</t>
  </si>
  <si>
    <t>8B</t>
  </si>
  <si>
    <t>IKUT ORTU</t>
  </si>
  <si>
    <t>8C</t>
  </si>
  <si>
    <t>8D</t>
  </si>
  <si>
    <t>Kelas 8</t>
  </si>
  <si>
    <t>9A</t>
  </si>
  <si>
    <t>9B</t>
  </si>
  <si>
    <t>9C</t>
  </si>
  <si>
    <t>9D</t>
  </si>
  <si>
    <t>JUMLAH TOTAL</t>
  </si>
  <si>
    <t>UPDATE</t>
  </si>
  <si>
    <t>Kelas 9</t>
  </si>
  <si>
    <t>Drs. H. S O H I B, M.M.</t>
  </si>
  <si>
    <t>Pembina Tk. I</t>
  </si>
  <si>
    <t>NIP 196504101986031017</t>
  </si>
  <si>
    <t>Kepala Sekolah,</t>
  </si>
  <si>
    <t>NB:</t>
  </si>
  <si>
    <t>8E</t>
  </si>
  <si>
    <t>NB;</t>
  </si>
  <si>
    <t>NB :</t>
  </si>
  <si>
    <t>IMA</t>
  </si>
  <si>
    <t xml:space="preserve">NB : </t>
  </si>
  <si>
    <t>Leuwimunding, 3 Juni 2023</t>
  </si>
  <si>
    <t>VINA APRIYANI DARI SMPN 9 TAMBUN BKS</t>
  </si>
  <si>
    <t>DIMAS 9A</t>
  </si>
  <si>
    <t>Leuwimunding, 29 Juni 2024</t>
  </si>
  <si>
    <t>DAFTAR KEKURANGAN BERKAS</t>
  </si>
  <si>
    <t>KELAS……………….</t>
  </si>
  <si>
    <t>IJASAH</t>
  </si>
  <si>
    <t>SKHUN</t>
  </si>
  <si>
    <t>KIP/PKH/SKTM</t>
  </si>
  <si>
    <t>AKTE</t>
  </si>
  <si>
    <t>KK</t>
  </si>
  <si>
    <t>KTP</t>
  </si>
  <si>
    <t>Leuwimunding,   Januari 2021</t>
  </si>
  <si>
    <t>Wali Kelas,</t>
  </si>
  <si>
    <t>(……………………………….)</t>
  </si>
  <si>
    <t>HANY ENDRAWATI, S.Si.</t>
  </si>
  <si>
    <t>NIP. 198410032022212000</t>
  </si>
  <si>
    <t>SULASTRI, S.Pd.</t>
  </si>
  <si>
    <t>NIP. 197808012008012012</t>
  </si>
  <si>
    <t>Majalengka, 28 Oktober 1988</t>
  </si>
  <si>
    <t>MARLIYANI, S.Pd</t>
  </si>
  <si>
    <t>NIP. 199608192023212020</t>
  </si>
  <si>
    <t>IKA KARTIKA, S.Pd</t>
  </si>
  <si>
    <t>NIP. 199104112023212000</t>
  </si>
  <si>
    <t>Brebes, 7 September 1992</t>
  </si>
  <si>
    <t>SITI NURHALIMAH, S.Pd.I.</t>
  </si>
  <si>
    <t>UNI ANDINI, S.E</t>
  </si>
  <si>
    <t>EVA RAHMAWATI, S.Pd.</t>
  </si>
  <si>
    <t>NIP. 199403252022212000</t>
  </si>
  <si>
    <t>Majalengka, 24-09-1996</t>
  </si>
  <si>
    <t>DESY NOVIA ANDRIANI, S.Pd</t>
  </si>
  <si>
    <t>NIP. 199211192022212022</t>
  </si>
  <si>
    <t>RINA NINGSIH, S.Pd</t>
  </si>
  <si>
    <t>NIP. 199802252023212009</t>
  </si>
  <si>
    <t>Majalengka, 19 Agustus 1996</t>
  </si>
  <si>
    <t>DIANA FITRIA, S.Pd</t>
  </si>
  <si>
    <t>NIP. 199502252024212014</t>
  </si>
  <si>
    <t>NURHALIMAH, S.Sos.</t>
  </si>
  <si>
    <t>Hj. EHA JULAEHA, S.Pd.</t>
  </si>
  <si>
    <t>NIP. 198007162008012005</t>
  </si>
  <si>
    <t>Majalengka, 5 November 1996</t>
  </si>
  <si>
    <t>NUNUNG NURHAYANI, S.Pd</t>
  </si>
  <si>
    <t>NIP. 196807211992032006</t>
  </si>
  <si>
    <t>DEVI PRATIWI, S.Pd.</t>
  </si>
  <si>
    <t>RINA PARISYANA</t>
  </si>
  <si>
    <t>NIP.199209072024212041</t>
  </si>
  <si>
    <t>Cirebon, 23 Agustus 1996</t>
  </si>
  <si>
    <t>TATIK RAHMATIKA DEWI, S.E.</t>
  </si>
  <si>
    <t>MOCH. HUSSNY F, S.Pd</t>
  </si>
  <si>
    <t>NIP. 198410022010011012</t>
  </si>
  <si>
    <t>Majalengka, 26 Januari 1997</t>
  </si>
  <si>
    <t>SEPTIAN SULAEMAN MUHAMMAD</t>
  </si>
  <si>
    <t>Majalengka, 10 September 1998</t>
  </si>
  <si>
    <t>KUSWARA, S.Pd.</t>
  </si>
  <si>
    <t>Majalengka, 15 September 1992</t>
  </si>
  <si>
    <t>Majalengka,25-02-1998</t>
  </si>
  <si>
    <t>Majalengka, 05-03-1989</t>
  </si>
  <si>
    <t>Majalengka, 16-08-1997</t>
  </si>
  <si>
    <t xml:space="preserve">KEADAAN SISWA </t>
  </si>
  <si>
    <t>Nama Sekolah</t>
  </si>
  <si>
    <t>: SMP Negeri 3 Leuwimunding</t>
  </si>
  <si>
    <t>NPSN</t>
  </si>
  <si>
    <t>: 20213901</t>
  </si>
  <si>
    <t>Status</t>
  </si>
  <si>
    <t>: Negeri</t>
  </si>
  <si>
    <t>Akreditasi</t>
  </si>
  <si>
    <t>: A</t>
  </si>
  <si>
    <t>No</t>
  </si>
  <si>
    <t>Kelas VII</t>
  </si>
  <si>
    <t>Jumlah</t>
  </si>
  <si>
    <t>Rombel</t>
  </si>
  <si>
    <t>Kelas VIII</t>
  </si>
  <si>
    <t>Kelas IX</t>
  </si>
  <si>
    <t>1</t>
  </si>
  <si>
    <t>0114335435</t>
  </si>
  <si>
    <t>AGIF RIFKI</t>
  </si>
  <si>
    <t>0128544312</t>
  </si>
  <si>
    <t>0129145235</t>
  </si>
  <si>
    <t>0119597475</t>
  </si>
  <si>
    <t>0117061831</t>
  </si>
  <si>
    <t>0117575190</t>
  </si>
  <si>
    <t>AMANDA AZILLAH  RAHMA</t>
  </si>
  <si>
    <t>3121857541</t>
  </si>
  <si>
    <t>0116912605</t>
  </si>
  <si>
    <t>0127241722</t>
  </si>
  <si>
    <t>0115771531</t>
  </si>
  <si>
    <t>0128926178</t>
  </si>
  <si>
    <t>0127434972</t>
  </si>
  <si>
    <t>0117573176</t>
  </si>
  <si>
    <t>0122367331</t>
  </si>
  <si>
    <t>0123076970</t>
  </si>
  <si>
    <t>0117657869</t>
  </si>
  <si>
    <t>0116198364</t>
  </si>
  <si>
    <t>0128772113</t>
  </si>
  <si>
    <t>0115591450</t>
  </si>
  <si>
    <t>0122695375</t>
  </si>
  <si>
    <t>NAUFAL AQIIL YUGHO HARIONO</t>
  </si>
  <si>
    <t>0119644526</t>
  </si>
  <si>
    <t>0129519809</t>
  </si>
  <si>
    <t>0111509033</t>
  </si>
  <si>
    <t>0113365190</t>
  </si>
  <si>
    <t>0128401119</t>
  </si>
  <si>
    <t>0115558969</t>
  </si>
  <si>
    <t>0111380580</t>
  </si>
  <si>
    <t>0118401636</t>
  </si>
  <si>
    <t>0128143224</t>
  </si>
  <si>
    <t>0112316110</t>
  </si>
  <si>
    <t>0103230220</t>
  </si>
  <si>
    <t>0111823149</t>
  </si>
  <si>
    <t>3129722341</t>
  </si>
  <si>
    <t>0113216071</t>
  </si>
  <si>
    <t>0127211127</t>
  </si>
  <si>
    <t>0124287518</t>
  </si>
  <si>
    <t>0115781791</t>
  </si>
  <si>
    <t>0113457335</t>
  </si>
  <si>
    <t>0115146894</t>
  </si>
  <si>
    <t>MEGA PURNAMA SARI RAMDANI</t>
  </si>
  <si>
    <t>0113948593</t>
  </si>
  <si>
    <t>0127131946</t>
  </si>
  <si>
    <t>0122273099</t>
  </si>
  <si>
    <t>0124077678</t>
  </si>
  <si>
    <t>0111327320</t>
  </si>
  <si>
    <t>0128467591</t>
  </si>
  <si>
    <t>0125315226</t>
  </si>
  <si>
    <t>0129704949</t>
  </si>
  <si>
    <t>0112796745</t>
  </si>
  <si>
    <t>3123134513</t>
  </si>
  <si>
    <t>0115404452</t>
  </si>
  <si>
    <t>0118290640</t>
  </si>
  <si>
    <t>0127322220</t>
  </si>
  <si>
    <t>0119569309</t>
  </si>
  <si>
    <t>0123616181</t>
  </si>
  <si>
    <t>3115007629</t>
  </si>
  <si>
    <t>0117067418</t>
  </si>
  <si>
    <t>0115374687</t>
  </si>
  <si>
    <t>TIARA DEWI ANJANI</t>
  </si>
  <si>
    <t>3118373266</t>
  </si>
  <si>
    <t>0115898216</t>
  </si>
  <si>
    <t>0129928135</t>
  </si>
  <si>
    <t>0119015415</t>
  </si>
  <si>
    <t>0126772441</t>
  </si>
  <si>
    <t>0115677173</t>
  </si>
  <si>
    <t>0111801429</t>
  </si>
  <si>
    <t>0121755363</t>
  </si>
  <si>
    <t>0128051711</t>
  </si>
  <si>
    <t>3110242131</t>
  </si>
  <si>
    <t>3149830010</t>
  </si>
  <si>
    <t>0115453656</t>
  </si>
  <si>
    <t>0124028318</t>
  </si>
  <si>
    <t>0124159834</t>
  </si>
  <si>
    <t>0111031447</t>
  </si>
  <si>
    <t>0119185335</t>
  </si>
  <si>
    <t>0107049491</t>
  </si>
  <si>
    <t>0126446468</t>
  </si>
  <si>
    <t>0116783266</t>
  </si>
  <si>
    <t>0125771355</t>
  </si>
  <si>
    <t>0123326331</t>
  </si>
  <si>
    <t>MUKAMAD SLAHADIN BAIHAKI</t>
  </si>
  <si>
    <t>0111183943</t>
  </si>
  <si>
    <t>0113880002</t>
  </si>
  <si>
    <t>0121772538</t>
  </si>
  <si>
    <t>0129538511</t>
  </si>
  <si>
    <t>0119107973</t>
  </si>
  <si>
    <t>0113604882</t>
  </si>
  <si>
    <t>3110838329</t>
  </si>
  <si>
    <t>0112154376</t>
  </si>
  <si>
    <t>0124681591</t>
  </si>
  <si>
    <t>YUANITA PUTRI APRILANI</t>
  </si>
  <si>
    <t>0127809795</t>
  </si>
  <si>
    <t>MUHAMAD SIDIK MAULANA MUHAMAD FAJAR ALAM</t>
  </si>
  <si>
    <t>ANISA SANIAH</t>
  </si>
  <si>
    <t>MUHAMAD WINAB</t>
  </si>
  <si>
    <t>MOHAMMAD FAJAR SIDIK</t>
  </si>
  <si>
    <t>ASSYIFA NURFITRIAH HARISMAYA</t>
  </si>
  <si>
    <t>AIZLA NUR ZAHRA</t>
  </si>
  <si>
    <t>ADITYA HERLINO</t>
  </si>
  <si>
    <t>0108886110</t>
  </si>
  <si>
    <t>3122095715</t>
  </si>
  <si>
    <t>0124197972</t>
  </si>
  <si>
    <t>0126904354</t>
  </si>
  <si>
    <t>0118759400</t>
  </si>
  <si>
    <t>3127193341</t>
  </si>
  <si>
    <t>0111839880</t>
  </si>
  <si>
    <t>3122167330</t>
  </si>
  <si>
    <t>0124170979</t>
  </si>
  <si>
    <t>0123011978</t>
  </si>
  <si>
    <t>0128999573</t>
  </si>
  <si>
    <t>0121124291</t>
  </si>
  <si>
    <t>0115920497</t>
  </si>
  <si>
    <t>0112439829</t>
  </si>
  <si>
    <t>0113420392</t>
  </si>
  <si>
    <t>0121283062</t>
  </si>
  <si>
    <t>0124539329</t>
  </si>
  <si>
    <t>0119646725</t>
  </si>
  <si>
    <t>0115818081</t>
  </si>
  <si>
    <t>0129588550</t>
  </si>
  <si>
    <t>MUHAMAD SULAEMAN</t>
  </si>
  <si>
    <t>0091533605</t>
  </si>
  <si>
    <t>0115644252</t>
  </si>
  <si>
    <t>0118290331</t>
  </si>
  <si>
    <t>0115987515</t>
  </si>
  <si>
    <t>0124678381</t>
  </si>
  <si>
    <t>0111458022</t>
  </si>
  <si>
    <t>0124068213</t>
  </si>
  <si>
    <t>0125093820</t>
  </si>
  <si>
    <t>0115607015</t>
  </si>
  <si>
    <t>0119169783</t>
  </si>
  <si>
    <t>0129782767</t>
  </si>
  <si>
    <t>0113007593</t>
  </si>
  <si>
    <t>0116468961</t>
  </si>
  <si>
    <t>0127769303</t>
  </si>
  <si>
    <t>0125907146</t>
  </si>
  <si>
    <t>0112444440</t>
  </si>
  <si>
    <t>0111078711</t>
  </si>
  <si>
    <t>0113569024</t>
  </si>
  <si>
    <t>0124275897</t>
  </si>
  <si>
    <t>0117316057</t>
  </si>
  <si>
    <t>0111851717</t>
  </si>
  <si>
    <t>0102853129</t>
  </si>
  <si>
    <t>0122958854</t>
  </si>
  <si>
    <t>0123171117</t>
  </si>
  <si>
    <t>0116612386</t>
  </si>
  <si>
    <t>0101699659</t>
  </si>
  <si>
    <t>0111569910</t>
  </si>
  <si>
    <t>0115165170</t>
  </si>
  <si>
    <t>0113141913</t>
  </si>
  <si>
    <t>0126045776</t>
  </si>
  <si>
    <t>0122288032</t>
  </si>
  <si>
    <t>0122591044</t>
  </si>
  <si>
    <t>0112811685</t>
  </si>
  <si>
    <t>0125405983</t>
  </si>
  <si>
    <t>0112651517</t>
  </si>
  <si>
    <t>0112116875</t>
  </si>
  <si>
    <t>0114624451</t>
  </si>
  <si>
    <t>0117699141</t>
  </si>
  <si>
    <t>0111165424</t>
  </si>
  <si>
    <t>0126400107</t>
  </si>
  <si>
    <t>0118113195</t>
  </si>
  <si>
    <t>0124586467</t>
  </si>
  <si>
    <t>0125064510</t>
  </si>
  <si>
    <t>2425.7.139</t>
  </si>
  <si>
    <t>0107638148</t>
  </si>
  <si>
    <t>0094157554</t>
  </si>
  <si>
    <t>0092366461</t>
  </si>
  <si>
    <t>DIKA SATRIYA</t>
  </si>
  <si>
    <t>2425.7.166</t>
  </si>
  <si>
    <t>Plt. Kepala Sekolah,</t>
  </si>
  <si>
    <t>WARYA, S.Pd, M.Pd</t>
  </si>
  <si>
    <t>Pembina Utama Muda</t>
  </si>
  <si>
    <t>NIP. 196906141990051001</t>
  </si>
  <si>
    <t>Leuwimunding, 11 Juni 2025</t>
  </si>
  <si>
    <t>119 Siswa kelas 9 dinyatakan lulus pada tanggal 28 Mei 2025 dan diberikan surat</t>
  </si>
  <si>
    <t>kelulusan pada tanggal 2 Juni 2025</t>
  </si>
  <si>
    <t>Leuwimunding,  Juli  2025</t>
  </si>
  <si>
    <t>TAHUN PELAJARAN 2025 / 2026</t>
  </si>
  <si>
    <t>L/P</t>
  </si>
  <si>
    <t>KLS</t>
  </si>
  <si>
    <t>VII E</t>
  </si>
  <si>
    <t>TAHUN PELAJARAN 2025/2026</t>
  </si>
  <si>
    <t>WILDAN MAULANA DZIKRI</t>
  </si>
  <si>
    <t>SMPN1LMD</t>
  </si>
  <si>
    <t>VIIIC</t>
  </si>
  <si>
    <t>VIIID</t>
  </si>
  <si>
    <t>SURYA PUTRA PRATAMA</t>
  </si>
  <si>
    <t>2425.8.166</t>
  </si>
  <si>
    <t>2324.9.126</t>
  </si>
  <si>
    <t>01-07-25</t>
  </si>
  <si>
    <t>Leuwimunding, 14 Juli 2025</t>
  </si>
  <si>
    <t>Plt. Kepala SMPN 3 Leuwimunding,</t>
  </si>
  <si>
    <t>Pembina Utama  Muda</t>
  </si>
  <si>
    <t xml:space="preserve">DHEVANO SEPTIAN </t>
  </si>
  <si>
    <t xml:space="preserve">L </t>
  </si>
  <si>
    <t>3124200897</t>
  </si>
  <si>
    <t>RIEZKY MARSYAH FADHIELLA</t>
  </si>
  <si>
    <t>3131123912</t>
  </si>
  <si>
    <t xml:space="preserve">AJI HERLAMBANG </t>
  </si>
  <si>
    <t>3121366237</t>
  </si>
  <si>
    <t>FAHRIANSYAH</t>
  </si>
  <si>
    <t>3122058030</t>
  </si>
  <si>
    <t>TEDI KRISHTYADI</t>
  </si>
  <si>
    <t>3129561340</t>
  </si>
  <si>
    <t>ALYA OKTAVIANI</t>
  </si>
  <si>
    <t>0129207827</t>
  </si>
  <si>
    <t>ANGGUN</t>
  </si>
  <si>
    <t>0126575647</t>
  </si>
  <si>
    <t>MADONA ARLINA</t>
  </si>
  <si>
    <t>0136766678</t>
  </si>
  <si>
    <t>NURUL VANIAH</t>
  </si>
  <si>
    <t>0116196263</t>
  </si>
  <si>
    <t>AULIA AZ ZAHRA</t>
  </si>
  <si>
    <t>3126032990</t>
  </si>
  <si>
    <t>AISAH</t>
  </si>
  <si>
    <t>3135825654</t>
  </si>
  <si>
    <t>SELI OKI ARYAGUNIFA</t>
  </si>
  <si>
    <t>0121015731</t>
  </si>
  <si>
    <t>KHOERRUNISA SULISTINAR</t>
  </si>
  <si>
    <t>DZAKIYAH AFIFATUNNISA</t>
  </si>
  <si>
    <t>3136707471</t>
  </si>
  <si>
    <t>HERLITA VIANI</t>
  </si>
  <si>
    <t>127058104</t>
  </si>
  <si>
    <t>MUHAMMAD AIRLANGGA PUTRA</t>
  </si>
  <si>
    <t>3139518791</t>
  </si>
  <si>
    <t xml:space="preserve">MUHAMAD AREL </t>
  </si>
  <si>
    <t>0122528964</t>
  </si>
  <si>
    <t>RIO RAMADHAN</t>
  </si>
  <si>
    <t>3125143544</t>
  </si>
  <si>
    <t xml:space="preserve">SANDI PRANANTA PUTRA </t>
  </si>
  <si>
    <t>0113655765</t>
  </si>
  <si>
    <t>RIDHO RAMADAN</t>
  </si>
  <si>
    <t>0126617860</t>
  </si>
  <si>
    <t>PRADITA DESVINTA ANGGRAINI</t>
  </si>
  <si>
    <t>0128202184</t>
  </si>
  <si>
    <t xml:space="preserve">NUR NOVITA SARI </t>
  </si>
  <si>
    <t>0129641302</t>
  </si>
  <si>
    <t xml:space="preserve">NADIA ANGGRAENI </t>
  </si>
  <si>
    <t>0134238421</t>
  </si>
  <si>
    <t>JUWITA AYUNINGTYAS</t>
  </si>
  <si>
    <t>0124154970</t>
  </si>
  <si>
    <t>JIHAN MAOLIDA</t>
  </si>
  <si>
    <t>0139890219</t>
  </si>
  <si>
    <t>VIONA DWI OKTORA</t>
  </si>
  <si>
    <t>0122394322</t>
  </si>
  <si>
    <t xml:space="preserve">TRI MULYA DEWI </t>
  </si>
  <si>
    <t>0124370054</t>
  </si>
  <si>
    <t>BENING</t>
  </si>
  <si>
    <t>0127928792</t>
  </si>
  <si>
    <t>DELA PUSPITASARI</t>
  </si>
  <si>
    <t>DELI PUSPITASARI</t>
  </si>
  <si>
    <t>AQYLA PUTRI AZZAHRA</t>
  </si>
  <si>
    <t>3133689020</t>
  </si>
  <si>
    <t xml:space="preserve">MUHAMMAD HAIQAL </t>
  </si>
  <si>
    <t>0134105339</t>
  </si>
  <si>
    <t>SISKA NATALIA</t>
  </si>
  <si>
    <t>3122192374</t>
  </si>
  <si>
    <t>MUHAMMAD RIZKY</t>
  </si>
  <si>
    <t>3134527476</t>
  </si>
  <si>
    <t>YAKUB NURAROFA</t>
  </si>
  <si>
    <t>3123952029</t>
  </si>
  <si>
    <t xml:space="preserve">ABOY YOPAN FARIZI </t>
  </si>
  <si>
    <t>3124279636</t>
  </si>
  <si>
    <t>MOCHAMAD FABRIZIO</t>
  </si>
  <si>
    <t>3126174300</t>
  </si>
  <si>
    <t xml:space="preserve">VITANIA VALESA PUTRI </t>
  </si>
  <si>
    <t>3132927281</t>
  </si>
  <si>
    <t>PUTRI DEBI ARESTA</t>
  </si>
  <si>
    <t>3124279651</t>
  </si>
  <si>
    <t>GISKA AFRILIA</t>
  </si>
  <si>
    <t>3124241327</t>
  </si>
  <si>
    <t>CHATRINE PRISCILLIA NATASYA</t>
  </si>
  <si>
    <t>0135862448</t>
  </si>
  <si>
    <t>RIZQI AULIA DAVINA HARIS</t>
  </si>
  <si>
    <t>0122325635</t>
  </si>
  <si>
    <t>0127235926</t>
  </si>
  <si>
    <t>FAZRI ROMADHON NUR IHSANI</t>
  </si>
  <si>
    <t>3119824822</t>
  </si>
  <si>
    <t>AGUSTIAN RAMADANI</t>
  </si>
  <si>
    <t>0112224088</t>
  </si>
  <si>
    <t xml:space="preserve">RAHES SUPRIYATIN </t>
  </si>
  <si>
    <t>0134183626</t>
  </si>
  <si>
    <t>IRFAN RADITYA PUTRA WICAKSONO</t>
  </si>
  <si>
    <t xml:space="preserve">YUWEST AL LITH </t>
  </si>
  <si>
    <t>0133099571</t>
  </si>
  <si>
    <t>AINUN AL ISYNAINI</t>
  </si>
  <si>
    <t>0134320949</t>
  </si>
  <si>
    <t>KUMAEDI</t>
  </si>
  <si>
    <t>3127443097</t>
  </si>
  <si>
    <t>MUHAMMAD DAFFA IBNU SAEFULLAH</t>
  </si>
  <si>
    <t>3135832505</t>
  </si>
  <si>
    <t>RAEES AQILA WIRATAMA</t>
  </si>
  <si>
    <t>3136368036</t>
  </si>
  <si>
    <t>MUHAMAD FATHIR ALGHIFAHRI</t>
  </si>
  <si>
    <t>3128813175</t>
  </si>
  <si>
    <t>FAISAL SALMAN</t>
  </si>
  <si>
    <t>3126312642</t>
  </si>
  <si>
    <t>BANGBANG NUR SAID</t>
  </si>
  <si>
    <t>3127916562</t>
  </si>
  <si>
    <t xml:space="preserve">INDRA PRAMANA </t>
  </si>
  <si>
    <t>3126231610</t>
  </si>
  <si>
    <t>GENGGAM JAGADT AGAMI</t>
  </si>
  <si>
    <t>0125183340</t>
  </si>
  <si>
    <t>AHMAD RIVALDI</t>
  </si>
  <si>
    <t>01289020075</t>
  </si>
  <si>
    <t>YOGI PRASETYO</t>
  </si>
  <si>
    <t>0135367806</t>
  </si>
  <si>
    <t>GATAN AFGANI</t>
  </si>
  <si>
    <t>0122311736</t>
  </si>
  <si>
    <t>FAHRI DAIRUL ANWAR</t>
  </si>
  <si>
    <t>0125286348</t>
  </si>
  <si>
    <t>ADAM RAMADHAN</t>
  </si>
  <si>
    <t>0124860827</t>
  </si>
  <si>
    <t>DEWI NUR ASKIA</t>
  </si>
  <si>
    <t>0135721992</t>
  </si>
  <si>
    <t>SILPI NURYANTI</t>
  </si>
  <si>
    <t>0138968990</t>
  </si>
  <si>
    <t>MAENISHA ENZELIKA</t>
  </si>
  <si>
    <t>0125907777</t>
  </si>
  <si>
    <t xml:space="preserve">MARWAH ZAHIRA PUTRI </t>
  </si>
  <si>
    <t>3125430418</t>
  </si>
  <si>
    <t>AURA OKTAVIA</t>
  </si>
  <si>
    <t>0124934991</t>
  </si>
  <si>
    <t>TASYA NABILA</t>
  </si>
  <si>
    <t>0128672217</t>
  </si>
  <si>
    <t>SRI AMELIA GHITA</t>
  </si>
  <si>
    <t>0122866858</t>
  </si>
  <si>
    <t>SALSABILAH RAHAYU</t>
  </si>
  <si>
    <t>0103025386</t>
  </si>
  <si>
    <t>FEBRI MAULIDINA PUTRI</t>
  </si>
  <si>
    <t>0139468302</t>
  </si>
  <si>
    <t>HABIBI</t>
  </si>
  <si>
    <t>3136078355</t>
  </si>
  <si>
    <t>AZHA AL MAHDI TUAT AFANDI</t>
  </si>
  <si>
    <t>3138673348</t>
  </si>
  <si>
    <t>NIA AMANDA</t>
  </si>
  <si>
    <t>3132819988</t>
  </si>
  <si>
    <t>AMELIA</t>
  </si>
  <si>
    <t>NAJUWA NUR WARDAHTI</t>
  </si>
  <si>
    <t>3123599839</t>
  </si>
  <si>
    <t>SASKIA NURUL SALSABILA</t>
  </si>
  <si>
    <t>3131684734</t>
  </si>
  <si>
    <t>ALIYA NOVITASARI</t>
  </si>
  <si>
    <t>0134649316</t>
  </si>
  <si>
    <t>ANASTASYA</t>
  </si>
  <si>
    <t>0137542865</t>
  </si>
  <si>
    <t>NAZILA SALSABILA ADZANA</t>
  </si>
  <si>
    <t>3131770999</t>
  </si>
  <si>
    <t>ADHELIA ZAHRA NUR HAFISYAH</t>
  </si>
  <si>
    <t>3136402419</t>
  </si>
  <si>
    <t>DEDEN HAMDANI</t>
  </si>
  <si>
    <t>3123491428</t>
  </si>
  <si>
    <t xml:space="preserve">ADI SAPUTRA </t>
  </si>
  <si>
    <t>3123204104</t>
  </si>
  <si>
    <t>MUHAMAD RIVAL PANGESTU</t>
  </si>
  <si>
    <t>3138486290</t>
  </si>
  <si>
    <t>MUHAMAD PADLI AL RIZKY</t>
  </si>
  <si>
    <t>0126488139</t>
  </si>
  <si>
    <t xml:space="preserve">IRWAN TRI SETIAWAN </t>
  </si>
  <si>
    <t xml:space="preserve">GALANG SAPUTRA </t>
  </si>
  <si>
    <t>MUHAMMAD ZIAN RIFKY</t>
  </si>
  <si>
    <t>MUHAMMAD KHAERUL NIZAM</t>
  </si>
  <si>
    <t>SENA AFRIYANI NUR AQILA</t>
  </si>
  <si>
    <t xml:space="preserve">PUTRI NIRMALA </t>
  </si>
  <si>
    <t>DWI PUTRI ARYANI</t>
  </si>
  <si>
    <t>NAFILLA USWATUN HASANAH</t>
  </si>
  <si>
    <t xml:space="preserve">PUTRI RHAINA ARIS </t>
  </si>
  <si>
    <t xml:space="preserve">RISKY ADITYA </t>
  </si>
  <si>
    <t>3133379584</t>
  </si>
  <si>
    <t xml:space="preserve">NUR ATIKA </t>
  </si>
  <si>
    <t>0127200054</t>
  </si>
  <si>
    <t xml:space="preserve">NAURA AUNI FAQIHAH </t>
  </si>
  <si>
    <t>0129643616</t>
  </si>
  <si>
    <t>AMANDA AMANATHUL JANNAH</t>
  </si>
  <si>
    <t>3128417868</t>
  </si>
  <si>
    <t xml:space="preserve">WILDA </t>
  </si>
  <si>
    <t>0134444892</t>
  </si>
  <si>
    <t xml:space="preserve">SERINA AFIKA SARI </t>
  </si>
  <si>
    <t>0122367887</t>
  </si>
  <si>
    <t xml:space="preserve">ALDI HIDAYAT SAPUTRA </t>
  </si>
  <si>
    <t>3125085140</t>
  </si>
  <si>
    <t xml:space="preserve">ANDIKA ALFARIZ </t>
  </si>
  <si>
    <t>0138626397</t>
  </si>
  <si>
    <t xml:space="preserve">ASEP HERMANSYAH </t>
  </si>
  <si>
    <t>0128530581</t>
  </si>
  <si>
    <t xml:space="preserve">LUTHFY INDRAYANA </t>
  </si>
  <si>
    <t>0123139846</t>
  </si>
  <si>
    <t>MUHAMAD RIZKY</t>
  </si>
  <si>
    <t>3122761337</t>
  </si>
  <si>
    <t>MUHAMMAD DARREN AL HABSYI</t>
  </si>
  <si>
    <t>3123488646</t>
  </si>
  <si>
    <t>MUHAMMAD ROHMAT MAULANA KHAKIM</t>
  </si>
  <si>
    <t>0129488172</t>
  </si>
  <si>
    <t xml:space="preserve">NADHIF MUSFIQ FAUZAN </t>
  </si>
  <si>
    <t>0123715535</t>
  </si>
  <si>
    <t>RAPPA DWI PRASETYA</t>
  </si>
  <si>
    <t>0129363316</t>
  </si>
  <si>
    <t>AMALLIAH</t>
  </si>
  <si>
    <t>0127539676</t>
  </si>
  <si>
    <t>RENATA SASKIA NURVITRI</t>
  </si>
  <si>
    <t>3124785721</t>
  </si>
  <si>
    <t>LISNA RAHMAWATI</t>
  </si>
  <si>
    <t>3137724690</t>
  </si>
  <si>
    <t>FITRA ANGGRAENI</t>
  </si>
  <si>
    <t>3126969319</t>
  </si>
  <si>
    <t>SIFFANI NUR AFINAH</t>
  </si>
  <si>
    <t>0128219250</t>
  </si>
  <si>
    <t>MUHAMMAD ULINNUHA</t>
  </si>
  <si>
    <t>3127110039</t>
  </si>
  <si>
    <t>AZAM</t>
  </si>
  <si>
    <t>3121361780</t>
  </si>
  <si>
    <t xml:space="preserve">GUSTI WARDANA </t>
  </si>
  <si>
    <t>3128181864</t>
  </si>
  <si>
    <t>0124793604</t>
  </si>
  <si>
    <t>ANGEL LINA</t>
  </si>
  <si>
    <t>3124018568</t>
  </si>
  <si>
    <t>PP. AT-TAMIMIYYAH</t>
  </si>
  <si>
    <t>SDN SIMOMULYO IV/101</t>
  </si>
  <si>
    <t>SDN 2 CIWARINGIN</t>
  </si>
  <si>
    <t>MUHAMAD RIZKI MAULANA</t>
  </si>
  <si>
    <t>2526.7.001</t>
  </si>
  <si>
    <t>2526.7.002</t>
  </si>
  <si>
    <t>2526.7.003</t>
  </si>
  <si>
    <t>2526.7.004</t>
  </si>
  <si>
    <t>2526.7.005</t>
  </si>
  <si>
    <t>2526.7.006</t>
  </si>
  <si>
    <t>2526.7.007</t>
  </si>
  <si>
    <t>2526.7.008</t>
  </si>
  <si>
    <t>2526.7.009</t>
  </si>
  <si>
    <t>2526.7.010</t>
  </si>
  <si>
    <t>2526.7.011</t>
  </si>
  <si>
    <t>2526.7.012</t>
  </si>
  <si>
    <t>2526.7.013</t>
  </si>
  <si>
    <t>2526.7.014</t>
  </si>
  <si>
    <t>2526.7.015</t>
  </si>
  <si>
    <t>2526.7.016</t>
  </si>
  <si>
    <t>2526.7.017</t>
  </si>
  <si>
    <t>2526.7.018</t>
  </si>
  <si>
    <t>2526.7.019</t>
  </si>
  <si>
    <t>2526.7.020</t>
  </si>
  <si>
    <t>2526.7.021</t>
  </si>
  <si>
    <t>2526.7.022</t>
  </si>
  <si>
    <t>2526.7.023</t>
  </si>
  <si>
    <t>2526.7.024</t>
  </si>
  <si>
    <t>2526.7.025</t>
  </si>
  <si>
    <t>2526.7.026</t>
  </si>
  <si>
    <t>2526.7.027</t>
  </si>
  <si>
    <t>2526.7.028</t>
  </si>
  <si>
    <t>2526.7.029</t>
  </si>
  <si>
    <t>2526.7.030</t>
  </si>
  <si>
    <t>2526.7.031</t>
  </si>
  <si>
    <t>2526.7.032</t>
  </si>
  <si>
    <t>2526.7.033</t>
  </si>
  <si>
    <t>2526.7.034</t>
  </si>
  <si>
    <t>2526.7.035</t>
  </si>
  <si>
    <t>2526.7.036</t>
  </si>
  <si>
    <t>2526.7.037</t>
  </si>
  <si>
    <t>2526.7.039</t>
  </si>
  <si>
    <t>2526.7.040</t>
  </si>
  <si>
    <t>2526.7.041</t>
  </si>
  <si>
    <t>2526.7.042</t>
  </si>
  <si>
    <t>2526.7.043</t>
  </si>
  <si>
    <t>2526.7.044</t>
  </si>
  <si>
    <t>2526.7.046</t>
  </si>
  <si>
    <t>2526.7.047</t>
  </si>
  <si>
    <t>2526.7.048</t>
  </si>
  <si>
    <t>2526.7.049</t>
  </si>
  <si>
    <t>2526.7.050</t>
  </si>
  <si>
    <t>2526.7.051</t>
  </si>
  <si>
    <t>2526.7.052</t>
  </si>
  <si>
    <t>2526.7.053</t>
  </si>
  <si>
    <t>2526.7.054</t>
  </si>
  <si>
    <t>2526.7.055</t>
  </si>
  <si>
    <t>2526.7.056</t>
  </si>
  <si>
    <t>2526.7.057</t>
  </si>
  <si>
    <t>2526.7.058</t>
  </si>
  <si>
    <t>2526.7.059</t>
  </si>
  <si>
    <t>2526.7.060</t>
  </si>
  <si>
    <t>2526.7.061</t>
  </si>
  <si>
    <t>2526.7.062</t>
  </si>
  <si>
    <t>2526.7.063</t>
  </si>
  <si>
    <t>2526.7.064</t>
  </si>
  <si>
    <t>2526.7.065</t>
  </si>
  <si>
    <t>2526.7.066</t>
  </si>
  <si>
    <t>2526.7.067</t>
  </si>
  <si>
    <t>2526.7.068</t>
  </si>
  <si>
    <t>2526.7.069</t>
  </si>
  <si>
    <t>2526.7.070</t>
  </si>
  <si>
    <t>2526.7.071</t>
  </si>
  <si>
    <t>2526.7.072</t>
  </si>
  <si>
    <t>2526.7.073</t>
  </si>
  <si>
    <t>2526.7.074</t>
  </si>
  <si>
    <t>2526.7.075</t>
  </si>
  <si>
    <t>2526.7.076</t>
  </si>
  <si>
    <t>2526.7.077</t>
  </si>
  <si>
    <t>2526.7.078</t>
  </si>
  <si>
    <t>2526.7.079</t>
  </si>
  <si>
    <t>2526.7.080</t>
  </si>
  <si>
    <t>2526.7.081</t>
  </si>
  <si>
    <t>2526.7.082</t>
  </si>
  <si>
    <t>2526.7.083</t>
  </si>
  <si>
    <t>2526.7.084</t>
  </si>
  <si>
    <t>2526.7.085</t>
  </si>
  <si>
    <t>2526.7.086</t>
  </si>
  <si>
    <t>2526.7.087</t>
  </si>
  <si>
    <t>2526.7.088</t>
  </si>
  <si>
    <t>2526.7.089</t>
  </si>
  <si>
    <t>2526.7.090</t>
  </si>
  <si>
    <t>2526.7.092</t>
  </si>
  <si>
    <t>2526.7.093</t>
  </si>
  <si>
    <t>2526.7.094</t>
  </si>
  <si>
    <t>2526.7.095</t>
  </si>
  <si>
    <t>2526.7.096</t>
  </si>
  <si>
    <t>2526.7.097</t>
  </si>
  <si>
    <t>2526.7.098</t>
  </si>
  <si>
    <t>2526.7.099</t>
  </si>
  <si>
    <t>2526.7.100</t>
  </si>
  <si>
    <t>2526.7.101</t>
  </si>
  <si>
    <t>2526.7.102</t>
  </si>
  <si>
    <t>2526.7.103</t>
  </si>
  <si>
    <t>2526.7.104</t>
  </si>
  <si>
    <t>2526.7.105</t>
  </si>
  <si>
    <t>2526.7.106</t>
  </si>
  <si>
    <t>2526.7.107</t>
  </si>
  <si>
    <t>2526.7.108</t>
  </si>
  <si>
    <t>2526.7.109</t>
  </si>
  <si>
    <t>2526.7.110</t>
  </si>
  <si>
    <t>2526.7.111</t>
  </si>
  <si>
    <t>2526.7.112</t>
  </si>
  <si>
    <t>2526.7.113</t>
  </si>
  <si>
    <t>2526.7.114</t>
  </si>
  <si>
    <t>2526.7.115</t>
  </si>
  <si>
    <t>2526.7.116</t>
  </si>
  <si>
    <t>2526.7.117</t>
  </si>
  <si>
    <t>2526.7.118</t>
  </si>
  <si>
    <t>2526.7.119</t>
  </si>
  <si>
    <t>2526.7.120</t>
  </si>
  <si>
    <t>2526.7.121</t>
  </si>
  <si>
    <t>2526.7.122</t>
  </si>
  <si>
    <t>2526.7.123</t>
  </si>
  <si>
    <t>2526.7.124</t>
  </si>
  <si>
    <t>2526.7.125</t>
  </si>
  <si>
    <t>2526.7.126</t>
  </si>
  <si>
    <t>2526.7.127</t>
  </si>
  <si>
    <t>2526.7.128</t>
  </si>
  <si>
    <t>2526.7.129</t>
  </si>
  <si>
    <t>2526.7.130</t>
  </si>
  <si>
    <t>2526.7.131</t>
  </si>
  <si>
    <t>2526.7.132</t>
  </si>
  <si>
    <t>2526.7.133</t>
  </si>
  <si>
    <t>2526.7.134</t>
  </si>
  <si>
    <t>2526.7.136</t>
  </si>
  <si>
    <t>2526.7.137</t>
  </si>
  <si>
    <t>2526.7.138</t>
  </si>
  <si>
    <t>2526.7.139</t>
  </si>
  <si>
    <t>2526.7.140</t>
  </si>
  <si>
    <t>2526.7.141</t>
  </si>
  <si>
    <t>2526.7.142</t>
  </si>
  <si>
    <t>2526.7.143</t>
  </si>
  <si>
    <t>2526.7.144</t>
  </si>
  <si>
    <t>2526.7.145</t>
  </si>
  <si>
    <t>2526.7.146</t>
  </si>
  <si>
    <t>2526.7.147</t>
  </si>
  <si>
    <t>2526.7.148</t>
  </si>
  <si>
    <t>2526.7.149</t>
  </si>
  <si>
    <t>2526.7.150</t>
  </si>
  <si>
    <t>2526.7.151</t>
  </si>
  <si>
    <t>2526.7.152</t>
  </si>
  <si>
    <t>2526.7.153</t>
  </si>
  <si>
    <t>2526.7.154</t>
  </si>
  <si>
    <t>2526.7.155</t>
  </si>
  <si>
    <t>2526.7.156</t>
  </si>
  <si>
    <t>2526.7.157</t>
  </si>
  <si>
    <t>2526.7.158</t>
  </si>
  <si>
    <t>2526.7.159</t>
  </si>
  <si>
    <t>2526.7.160</t>
  </si>
  <si>
    <t>DAFTAR MURID KELAS  VII A</t>
  </si>
  <si>
    <t>DAFTAR MURID KELAS  VII B</t>
  </si>
  <si>
    <t>DAFTAR MURID KELAS  VII C</t>
  </si>
  <si>
    <t>DAFTAR MURID KELAS  VII D</t>
  </si>
  <si>
    <t>DAFTAR MURID KELAS  VIII A</t>
  </si>
  <si>
    <t>DAFTAR MURID KELAS  VIII B</t>
  </si>
  <si>
    <t>DAFTAR MURID KELAS  VIII C</t>
  </si>
  <si>
    <t>DAFTAR MURID KELAS  VIII D</t>
  </si>
  <si>
    <t>DAFTAR MURID KELAS  VIII E</t>
  </si>
  <si>
    <t>DAFTAR MURID KELAS  IX D</t>
  </si>
  <si>
    <t>DAFTAR MURID KELAS  IX C</t>
  </si>
  <si>
    <t>DAFTAR MURID KELAS  IX B</t>
  </si>
  <si>
    <t>DAFTAR MURID KELAS  IX A</t>
  </si>
  <si>
    <t>DHIYYA ALFANI</t>
  </si>
  <si>
    <t>0131571056</t>
  </si>
  <si>
    <t>SAED PURNAMA</t>
  </si>
  <si>
    <t>0133417146</t>
  </si>
  <si>
    <t>DENIS ALNA A</t>
  </si>
  <si>
    <t>2526.7.161</t>
  </si>
  <si>
    <t>2526.7.162</t>
  </si>
  <si>
    <t>2526.7.163</t>
  </si>
  <si>
    <t>2526.7.164</t>
  </si>
  <si>
    <t>2526.7.165</t>
  </si>
  <si>
    <t>7F</t>
  </si>
  <si>
    <t>ARIEF RAHMAN HAKIM, S.Pd.I, M.Pd.I</t>
  </si>
  <si>
    <t>NIP.-</t>
  </si>
  <si>
    <t>ABDUL ROHMAN S.Pd</t>
  </si>
  <si>
    <t>NIP. 198903052023211019</t>
  </si>
  <si>
    <t>SRI HARTINI, S.Pd</t>
  </si>
  <si>
    <t>NIP. 197907052014062004</t>
  </si>
  <si>
    <t>Hj. IWA YUHARTI S.S</t>
  </si>
  <si>
    <t>NIP. 197510172007012007</t>
  </si>
  <si>
    <t>LOVELY PRIYANKA MAHARANI</t>
  </si>
  <si>
    <t>PP PONDOK CINTA</t>
  </si>
  <si>
    <t>2324.9.127</t>
  </si>
  <si>
    <t>AMANDA</t>
  </si>
  <si>
    <t>2425.8.167</t>
  </si>
  <si>
    <t>08-07-25</t>
  </si>
  <si>
    <t>SMN 3 SINGINGILIR</t>
  </si>
  <si>
    <t>REZKI</t>
  </si>
  <si>
    <t>MTs ASSALAFI</t>
  </si>
  <si>
    <t>2425.8.168</t>
  </si>
  <si>
    <t>14-07-25</t>
  </si>
  <si>
    <t>RAVA FEBRIANTA</t>
  </si>
  <si>
    <t>MUHAMAD SIDIK</t>
  </si>
  <si>
    <t>MUHAMMAD FAISAL RAMADAN</t>
  </si>
  <si>
    <t>AHMAD NIZAM MUFASIR</t>
  </si>
  <si>
    <t>KHAYRUN KHOYYUM</t>
  </si>
  <si>
    <t>NIMAS DIANA PRASESTI</t>
  </si>
  <si>
    <t>LUTVI FELIA MAHFUL</t>
  </si>
  <si>
    <t>ARIS SUGIYATMO</t>
  </si>
  <si>
    <t>ANGEL TRISNA AZZAHRA SUGIONO</t>
  </si>
  <si>
    <t>FERDI ARYANTO</t>
  </si>
  <si>
    <t>AHMAD FAISAL</t>
  </si>
  <si>
    <t>REVALDO PRAYOGA</t>
  </si>
  <si>
    <t>NUR RAHMADHANI</t>
  </si>
  <si>
    <t>SAEFUL ANWAR</t>
  </si>
  <si>
    <t>VIGI ALFIANTO</t>
  </si>
  <si>
    <t>LAURA HALIMAH ZULINDA</t>
  </si>
  <si>
    <t>RAYYAN AIMAR FATURRACHMAN</t>
  </si>
  <si>
    <t>DIAS PRIYATNA</t>
  </si>
  <si>
    <t>MARWAH KURNIASIH</t>
  </si>
  <si>
    <t>MEILANI</t>
  </si>
  <si>
    <t>REFANS PRATAMA</t>
  </si>
  <si>
    <t>ADIBA NURJAYANI</t>
  </si>
  <si>
    <t>RISKIYA</t>
  </si>
  <si>
    <t>ANGELLITA</t>
  </si>
  <si>
    <t>ERLANGGA MAULANA SAPUTRA</t>
  </si>
  <si>
    <t>MUHAMMAD FADILLAH</t>
  </si>
  <si>
    <t>AERA ZASKIA PUTRI</t>
  </si>
  <si>
    <t>MUSLIMIN</t>
  </si>
  <si>
    <t>MUSLIMAN</t>
  </si>
  <si>
    <t>MEGA SUDRAJAT</t>
  </si>
  <si>
    <t>MUHAMAD DZIDAN AL BAIHAQI</t>
  </si>
  <si>
    <t>2324.9.128</t>
  </si>
  <si>
    <t>MUHAMAD JAKARIA</t>
  </si>
  <si>
    <t>15-07-25</t>
  </si>
  <si>
    <t>BINAR AINUN ALSA</t>
  </si>
  <si>
    <t>3135602940</t>
  </si>
  <si>
    <t>139722427</t>
  </si>
  <si>
    <t>0122277836</t>
  </si>
  <si>
    <t>135355505</t>
  </si>
  <si>
    <t xml:space="preserve">SAEFUL MAULADI </t>
  </si>
  <si>
    <t>0115203867</t>
  </si>
  <si>
    <t>NATTASYA APRILLIA</t>
  </si>
  <si>
    <t>3129631380</t>
  </si>
  <si>
    <t>0135349455</t>
  </si>
  <si>
    <t>3129091242</t>
  </si>
  <si>
    <t>0127506086</t>
  </si>
  <si>
    <t>3129198798</t>
  </si>
  <si>
    <t xml:space="preserve">ASEP RIANSAH </t>
  </si>
  <si>
    <t>0129374978</t>
  </si>
  <si>
    <t>0128249151</t>
  </si>
  <si>
    <t>0121363504</t>
  </si>
  <si>
    <t xml:space="preserve">AFZAL SYAHPUTRA </t>
  </si>
  <si>
    <t>0128428658</t>
  </si>
  <si>
    <t>0122459955</t>
  </si>
  <si>
    <t>3133357400</t>
  </si>
  <si>
    <t>0122657335</t>
  </si>
  <si>
    <t>3124372052</t>
  </si>
  <si>
    <t>3126208585</t>
  </si>
  <si>
    <t>AIRIN PRISILIA MEPIRAHMAWATI</t>
  </si>
  <si>
    <t>0138502903</t>
  </si>
  <si>
    <t xml:space="preserve">RENARD PRADIPTA ALBERN </t>
  </si>
  <si>
    <t>3132928453</t>
  </si>
  <si>
    <t>127218929</t>
  </si>
  <si>
    <t>3124519339</t>
  </si>
  <si>
    <t>EDIEZ MIKKA RAHIL</t>
  </si>
  <si>
    <t>3128094611</t>
  </si>
  <si>
    <t>0114310327</t>
  </si>
  <si>
    <t>3133824785</t>
  </si>
  <si>
    <t>3134136685</t>
  </si>
  <si>
    <t>0133071826</t>
  </si>
  <si>
    <t>3134707699</t>
  </si>
  <si>
    <t>138308109</t>
  </si>
  <si>
    <t>0124085399</t>
  </si>
  <si>
    <t>313220605</t>
  </si>
  <si>
    <t>3135535697</t>
  </si>
  <si>
    <t>FERDINAN HERMANSYAH</t>
  </si>
  <si>
    <t>SMPN 2 SINDANGWG</t>
  </si>
  <si>
    <t>ROMBEL</t>
  </si>
  <si>
    <t>17-07-25</t>
  </si>
  <si>
    <t>PAPUA</t>
  </si>
  <si>
    <t>2526.7.166</t>
  </si>
  <si>
    <t>0125958827</t>
  </si>
  <si>
    <t>TRISTAN SATRIO</t>
  </si>
  <si>
    <t>ADIL RIPANSA</t>
  </si>
  <si>
    <t>2324.9.129</t>
  </si>
  <si>
    <t>04-08-25</t>
  </si>
  <si>
    <t>MTs CRB</t>
  </si>
  <si>
    <t>12-08-25</t>
  </si>
  <si>
    <t>Meninggal</t>
  </si>
  <si>
    <t>FATIR FEBRIANO</t>
  </si>
  <si>
    <t>2425.8.169</t>
  </si>
  <si>
    <t>01-09-25</t>
  </si>
  <si>
    <t>SMPN  2 SBY</t>
  </si>
  <si>
    <t>01-08-25</t>
  </si>
  <si>
    <t>19-08-25</t>
  </si>
  <si>
    <t>Leuwimunding, 01 September 2025</t>
  </si>
  <si>
    <t>NELI ROSIKA, S.H</t>
  </si>
  <si>
    <t>NIP. 19790120200012002</t>
  </si>
  <si>
    <t>Leuwimunding, 01 Oktober 2025</t>
  </si>
  <si>
    <t>2526.7.167</t>
  </si>
  <si>
    <t>FEBBY N.H.PUTRI</t>
  </si>
  <si>
    <t>20-09-25</t>
  </si>
  <si>
    <t>03-11-25</t>
  </si>
  <si>
    <t>2526.7.168</t>
  </si>
  <si>
    <t>SMPN 1 LMD</t>
  </si>
  <si>
    <t>'21-10-25 BPKNYA</t>
  </si>
  <si>
    <t>SMPN 2 UJUNGJAYA SMD</t>
  </si>
  <si>
    <t>Leuwimunding, 03 November 2025</t>
  </si>
  <si>
    <t>TIDAK AKTIF</t>
  </si>
  <si>
    <t>20-10-25</t>
  </si>
  <si>
    <t>17-09-25</t>
  </si>
  <si>
    <t>20-08-25</t>
  </si>
  <si>
    <t>BEBBY BALQIS KAYLA PUTRI</t>
  </si>
  <si>
    <t>0121941284</t>
  </si>
  <si>
    <t>FEBBY NUR HAYATI PUTRI</t>
  </si>
  <si>
    <t>0133647456</t>
  </si>
  <si>
    <t>17-11-25</t>
  </si>
  <si>
    <t>SMPN 2 GEMPOL</t>
  </si>
  <si>
    <t>Leuwimunding, 28 November 2025</t>
  </si>
  <si>
    <t>SMPN CRB</t>
  </si>
  <si>
    <t>12-01-26</t>
  </si>
  <si>
    <t>Leuwimunding, 31 Desember 2025</t>
  </si>
  <si>
    <t>Leuwimunding, 31 Januari 2026</t>
  </si>
  <si>
    <t>ADA ARMADA PAHLA, S.Pd, M.Pd</t>
  </si>
  <si>
    <t>NIP. 19700318199031008</t>
  </si>
  <si>
    <t>10-02-2026</t>
  </si>
  <si>
    <t>MTs Al-Gojali</t>
  </si>
  <si>
    <t>12-02-2026</t>
  </si>
  <si>
    <t>2425.8.170</t>
  </si>
  <si>
    <t>SMPN 2 Gempol</t>
  </si>
  <si>
    <t>Fatir Febriano</t>
  </si>
  <si>
    <t>DEA SRI ASTUTI</t>
  </si>
  <si>
    <t>Leuwimunding, 28 Pebruari 2026</t>
  </si>
  <si>
    <t>RAIHAN YUDHA PRATAMA</t>
  </si>
  <si>
    <t>SMP PP TANJUNGSARI</t>
  </si>
  <si>
    <t>2526.7.169</t>
  </si>
  <si>
    <t>23-02-2026</t>
  </si>
  <si>
    <t>NIP. 197003181999031008</t>
  </si>
  <si>
    <t>Leuwimunding,  01 Juni 2026</t>
  </si>
  <si>
    <t>Leuwimunding, 31 Maret 2026</t>
  </si>
  <si>
    <t>30-03-2026</t>
  </si>
  <si>
    <t>ABDUL FURQON ARROHMAN</t>
  </si>
  <si>
    <t>2526.7.170</t>
  </si>
  <si>
    <t>MTs Panjalin</t>
  </si>
  <si>
    <t>MTs PRAKARYA</t>
  </si>
  <si>
    <t>3126038443</t>
  </si>
  <si>
    <t>Leuwimunding, 30  April 2026</t>
  </si>
  <si>
    <t>30-042026</t>
  </si>
  <si>
    <t>30-04-2026</t>
  </si>
  <si>
    <t>Leuwimunding,  31 Mei 2026</t>
  </si>
  <si>
    <t>Leuwimunding, 20 Juni 2026</t>
  </si>
  <si>
    <t>VIIIA</t>
  </si>
  <si>
    <t>VIIIB</t>
  </si>
  <si>
    <t>VIIIE</t>
  </si>
  <si>
    <t>2425.9.171</t>
  </si>
  <si>
    <t>JKT</t>
  </si>
  <si>
    <t>TAHUN PELAJARAN 2026 / 2027</t>
  </si>
  <si>
    <t>Leuwimunding,  Juli  2026</t>
  </si>
  <si>
    <t>VII F</t>
  </si>
  <si>
    <t>N</t>
  </si>
  <si>
    <t>R</t>
  </si>
  <si>
    <t>NM</t>
  </si>
  <si>
    <t>LP</t>
  </si>
  <si>
    <t>KL</t>
  </si>
  <si>
    <t>VIII</t>
  </si>
  <si>
    <t>R1</t>
  </si>
  <si>
    <t>R2</t>
  </si>
  <si>
    <t>R3</t>
  </si>
  <si>
    <t>ALPA</t>
  </si>
  <si>
    <t>2425.9.172</t>
  </si>
  <si>
    <t>9E</t>
  </si>
  <si>
    <t>TAHUN PELAJARAN 2026/2027</t>
  </si>
  <si>
    <t>REVALINA ADELIA PUTRI</t>
  </si>
  <si>
    <t>SETIYA MARWAH</t>
  </si>
  <si>
    <t>PATOK BESI</t>
  </si>
  <si>
    <t>FATURROHMAN, S.Pd</t>
  </si>
  <si>
    <t>NIP. -</t>
  </si>
  <si>
    <t>KANZA MAURA SHAFA</t>
  </si>
  <si>
    <t>BREBES 07 (PPA)</t>
  </si>
  <si>
    <t>ABDIL AZIZ</t>
  </si>
  <si>
    <t>IT TUNAS QURANI</t>
  </si>
  <si>
    <t>ALICA MEILAN AZAHRA</t>
  </si>
  <si>
    <t>KALIBATA 07 (PPA)</t>
  </si>
  <si>
    <t>ASIFA REGINA PUTRI</t>
  </si>
  <si>
    <t>MIN 2 CIREBON</t>
  </si>
  <si>
    <t>ALIKA HAULA AZWAR</t>
  </si>
  <si>
    <t>MIS NU LAMPUNG</t>
  </si>
  <si>
    <t>M. RAMDAN ADITIA</t>
  </si>
  <si>
    <t>SD ISLAM LOSARI LOR</t>
  </si>
  <si>
    <t>SABRINA USWATUN HASANAH</t>
  </si>
  <si>
    <t>SDM 1 BANJARAN</t>
  </si>
  <si>
    <t>ADE YANI</t>
  </si>
  <si>
    <t>SDN 1 BANJARAN</t>
  </si>
  <si>
    <t>NURI MAULIDIYA</t>
  </si>
  <si>
    <t>FAJA IBRAHIM</t>
  </si>
  <si>
    <t>ARAHMAN</t>
  </si>
  <si>
    <t>ANUNG HANIN DITO HIRMAWAN</t>
  </si>
  <si>
    <t>CANDRA</t>
  </si>
  <si>
    <t>DIMAS SAPUTRA</t>
  </si>
  <si>
    <t>READY RAMADHAN</t>
  </si>
  <si>
    <t>TIARA FEBRIANI</t>
  </si>
  <si>
    <t>WIRNA MAHARANI</t>
  </si>
  <si>
    <t>AZALYA AINUN MARWAH</t>
  </si>
  <si>
    <t>WINDI SAFITRI</t>
  </si>
  <si>
    <t>DYANA SAFITRI</t>
  </si>
  <si>
    <t>NUR ASIH</t>
  </si>
  <si>
    <t>ALIFKHA DINIA AZ ZAHRA</t>
  </si>
  <si>
    <t>SDN 1 GEYONGAN (PPA)</t>
  </si>
  <si>
    <t>FADLIANO</t>
  </si>
  <si>
    <t>SDN 1 KEDONGDONG</t>
  </si>
  <si>
    <t>DAFFA IBNU HAFIDZ</t>
  </si>
  <si>
    <t>MHEYZA PUTRI ZAHAKKIRA</t>
  </si>
  <si>
    <t>SDN 1 PANINGKIRAN</t>
  </si>
  <si>
    <t>ALFILA NURI ADLINA</t>
  </si>
  <si>
    <t>ANINDYA NUR AGUSTIN</t>
  </si>
  <si>
    <t>MAYA PRAHESTI</t>
  </si>
  <si>
    <t>NINDI CAHYATI</t>
  </si>
  <si>
    <t>SHYLA AGUSTIANI RAHMADHANI</t>
  </si>
  <si>
    <t>ZIVANY SEYZA AZZAHRA</t>
  </si>
  <si>
    <t>DANIEL ADITYA RAFAEL</t>
  </si>
  <si>
    <t>MOHAMMAD. AL RIZKI</t>
  </si>
  <si>
    <t>MARISCA KHAYLA PUTRI WINATA</t>
  </si>
  <si>
    <t>ALYA FITRI ANJANI</t>
  </si>
  <si>
    <t>GEA SYAFIRA</t>
  </si>
  <si>
    <t>MUHAMMAD HAFIDZ SUMINTAREDJA</t>
  </si>
  <si>
    <t>JIHAN AUFA AFTANI</t>
  </si>
  <si>
    <t>ECA NURMALA SARI</t>
  </si>
  <si>
    <t>SYIFA AWALIA PUTRI</t>
  </si>
  <si>
    <t>WINA KRISTINA</t>
  </si>
  <si>
    <t>ALBY LUTHFI FACHRY</t>
  </si>
  <si>
    <t>SDN 1 PARUNGJAYA</t>
  </si>
  <si>
    <t>DANIEL MARQUEZ</t>
  </si>
  <si>
    <t>MUFLIH DZAKI FAWWAZ</t>
  </si>
  <si>
    <t>MUHAMAD NOVAL PAMUNGKAS</t>
  </si>
  <si>
    <t>RULIANSAH</t>
  </si>
  <si>
    <t>CAESAR SIGIT MAULANA</t>
  </si>
  <si>
    <t>PIJAR FATIH LUDIN</t>
  </si>
  <si>
    <t>DAFA MANDALA SAPUTRA</t>
  </si>
  <si>
    <t>JOYA EDRIANO NOVANY</t>
  </si>
  <si>
    <t>TEGUH FAJAR RAMADHAN</t>
  </si>
  <si>
    <t>ANDINI NURPIDIANINGSIH</t>
  </si>
  <si>
    <t>ZAHRA NATALIA UTAMI</t>
  </si>
  <si>
    <t>DINDA AYU KUNAEFI</t>
  </si>
  <si>
    <t>FITRI MARYAM</t>
  </si>
  <si>
    <t>NADYA AULYA AZ ZAHRA</t>
  </si>
  <si>
    <t>SHINTA NURMALA HAMIDAH</t>
  </si>
  <si>
    <t>DEVI AVISTA</t>
  </si>
  <si>
    <t>HELMI TIANA</t>
  </si>
  <si>
    <t>VIKRI DARMAWAN</t>
  </si>
  <si>
    <t>SIGIT BAKTI BASTIAN</t>
  </si>
  <si>
    <t>FAALIH DIAFAKHRI PAMUNGKAS</t>
  </si>
  <si>
    <t>MELDA SEPTIANI PUTRI</t>
  </si>
  <si>
    <t>MELVI HERYANAPUTRI</t>
  </si>
  <si>
    <t>OLIVIA</t>
  </si>
  <si>
    <t>SHELA AIMA</t>
  </si>
  <si>
    <t>DE FANNY NUR KHALIMAH</t>
  </si>
  <si>
    <t>SDN 1 PRAPATAN</t>
  </si>
  <si>
    <t>DEA OKTAVIYA</t>
  </si>
  <si>
    <t>ERISKA PUTRI</t>
  </si>
  <si>
    <t>AISYAH MAULIDIAH</t>
  </si>
  <si>
    <t>MUHAMMAD ROBBY MAULANA</t>
  </si>
  <si>
    <t>SDN 1 TANJUNGSARI LMD</t>
  </si>
  <si>
    <t>FIKRIA NURJAAH</t>
  </si>
  <si>
    <t>SDN 1 WALAHAR</t>
  </si>
  <si>
    <t>NYLATSANI FARRINDRA</t>
  </si>
  <si>
    <t>AULIA IZZA TUNNISA</t>
  </si>
  <si>
    <t>NIKITA PUTRI AHYUNI</t>
  </si>
  <si>
    <t>AMAR DWI ARDIYANSYAH</t>
  </si>
  <si>
    <t>M.BAYHAQI</t>
  </si>
  <si>
    <t>MUHAMMAD LUTHFI DZAKY</t>
  </si>
  <si>
    <t>MUHAMAD FATIR AL RASYID</t>
  </si>
  <si>
    <t>SDN SEPAT</t>
  </si>
  <si>
    <t>NINDA HAYATUNNISA</t>
  </si>
  <si>
    <t>SDN 129 SUKARAMI PLMB</t>
  </si>
  <si>
    <t>ALIKA LUTHFI NAFISZA</t>
  </si>
  <si>
    <t>SDN 2 BANJARAN</t>
  </si>
  <si>
    <t>IIS AFITA</t>
  </si>
  <si>
    <t>LABIB MUHAMAD A</t>
  </si>
  <si>
    <t>MUHAMAD RIDWAN ALBARA</t>
  </si>
  <si>
    <t>AFFAN NUR ARISYAHBIA</t>
  </si>
  <si>
    <t>AQILLA ZAHWA SALSABILLA</t>
  </si>
  <si>
    <t>NITA AZZAHRA</t>
  </si>
  <si>
    <t>PATIA NURIYAUL MASWAH</t>
  </si>
  <si>
    <t>FIRDA IZZATUNNISA</t>
  </si>
  <si>
    <t>BELA NUR KHOFIFAH</t>
  </si>
  <si>
    <t>SALWA IKRIMAH</t>
  </si>
  <si>
    <t>RISNA</t>
  </si>
  <si>
    <t>SAHDAH ALENA FITRIA</t>
  </si>
  <si>
    <t>MIXCO PUTRA ALSAHDA</t>
  </si>
  <si>
    <t>SDN 2 CIPARAY</t>
  </si>
  <si>
    <t>GALIH ARZHIKA</t>
  </si>
  <si>
    <t>AMAD RIPALDI</t>
  </si>
  <si>
    <t>APIF ALFARIZI</t>
  </si>
  <si>
    <t>SDN 2 PARUNGJAYA</t>
  </si>
  <si>
    <t>RAMDAN FADILAH</t>
  </si>
  <si>
    <t>IMAM SAFEI</t>
  </si>
  <si>
    <t>NUR MAUIDIA YASINTA</t>
  </si>
  <si>
    <t>LAYLA HUSNA AZZAHRA</t>
  </si>
  <si>
    <t>LAYLIHUSNI AZALIA</t>
  </si>
  <si>
    <t>MUHAMMAD RIFKI FATURROHMAN</t>
  </si>
  <si>
    <t>AFIFAH AYUNDA</t>
  </si>
  <si>
    <t>SDN 2 WALAHAR</t>
  </si>
  <si>
    <t>APRIL LIYANI</t>
  </si>
  <si>
    <t>GHEA AULIA MULYAWAN</t>
  </si>
  <si>
    <t>SILVI NUR AISYAH</t>
  </si>
  <si>
    <t>MAULANA IKSAN</t>
  </si>
  <si>
    <t>MUHAMMAD DAMAR ABIYASA</t>
  </si>
  <si>
    <t>NURJATI KAIZAN</t>
  </si>
  <si>
    <t>INDAH PRATIWI</t>
  </si>
  <si>
    <t>MEI LOLA MARRA</t>
  </si>
  <si>
    <t>PUTRI NURUL ANANDA</t>
  </si>
  <si>
    <t>SUGENG FATAH</t>
  </si>
  <si>
    <t>OLAN ADI RIYANTO</t>
  </si>
  <si>
    <t>KAFA SYAPUTRA</t>
  </si>
  <si>
    <t>JUAN ANDREAS</t>
  </si>
  <si>
    <t>ALIP SURYA RAMADHAN</t>
  </si>
  <si>
    <t>IMA SULIAWATI</t>
  </si>
  <si>
    <t>KHALIFATUN NISA</t>
  </si>
  <si>
    <t>SYAFINA SHOLEHA</t>
  </si>
  <si>
    <t>INDRA</t>
  </si>
  <si>
    <t>SDN 3 KEDUNGBUNDER</t>
  </si>
  <si>
    <t>AMANDA ZEFANNIA</t>
  </si>
  <si>
    <t>RENSHA APRILIYA</t>
  </si>
  <si>
    <t>NUR APIYA</t>
  </si>
  <si>
    <t>SELI SELENA VITA P</t>
  </si>
  <si>
    <t>AZIZAH NURHATI</t>
  </si>
  <si>
    <t>SDN 3 LEUWIMUNDING</t>
  </si>
  <si>
    <t>GHINA ISZATUN NISA</t>
  </si>
  <si>
    <t>MARISA RAHMADINA</t>
  </si>
  <si>
    <t>ZAHWA SEPTIYANI</t>
  </si>
  <si>
    <t>KEVIN</t>
  </si>
  <si>
    <t>ESA FADILAH MUSTOPA</t>
  </si>
  <si>
    <t>DAVID LEONARDO</t>
  </si>
  <si>
    <t>DEDEN NUR RAHMAN</t>
  </si>
  <si>
    <t>DIMAS PRASETIO</t>
  </si>
  <si>
    <t>RIDO AL-FAROH</t>
  </si>
  <si>
    <t>ALLYSA AZZAHRA JUNAEDI</t>
  </si>
  <si>
    <t>SDN 3 PRAPATAN</t>
  </si>
  <si>
    <t>MARSYA DWI ANGGERAENI</t>
  </si>
  <si>
    <t>ZAHIRA AGUSTIN</t>
  </si>
  <si>
    <t>AZIZAH MUHTAROMAH</t>
  </si>
  <si>
    <t>NABILA RAMADHANI</t>
  </si>
  <si>
    <t>NURHUSNA SYAKIRA</t>
  </si>
  <si>
    <t>TANIA ANINDIA NOVIANTRY</t>
  </si>
  <si>
    <t>SYAFIAH ADIBA ZURAEDAH</t>
  </si>
  <si>
    <t>SDN 4 LEUWIMUNDING</t>
  </si>
  <si>
    <t>WADHA ZAHIRANY</t>
  </si>
  <si>
    <t>SDN CANGKUANG BABAKAN</t>
  </si>
  <si>
    <t>NADA ANISA SALSABILA</t>
  </si>
  <si>
    <t>MULYANA</t>
  </si>
  <si>
    <t>SDN PERWIRA 3</t>
  </si>
  <si>
    <t>AUFA RAJANA SANUM</t>
  </si>
  <si>
    <t>DESYIFA ARYANI PUTRI</t>
  </si>
  <si>
    <t>NANDA PURA PRATAMA</t>
  </si>
  <si>
    <t>REJAL LABAET</t>
  </si>
  <si>
    <t>TINA LESTIANA</t>
  </si>
  <si>
    <t>ANNISA FAIHA WIBOWO</t>
  </si>
  <si>
    <t>REFA AZZAHRA</t>
  </si>
  <si>
    <t>JUSTINE PUTRA PRATAMA</t>
  </si>
  <si>
    <t>INTAN AULIA</t>
  </si>
  <si>
    <t>TANJUNGSIANG SMD</t>
  </si>
  <si>
    <t>ANANDA KEYLA SEPTIANI</t>
  </si>
  <si>
    <t>SDN 1 MIRAT</t>
  </si>
  <si>
    <t>ADELIA AURA AZAHRA</t>
  </si>
  <si>
    <t>SDN 1 CIWARINGIN</t>
  </si>
  <si>
    <t>NURASIH</t>
  </si>
  <si>
    <t>NUR MAULIDIA YASINTA</t>
  </si>
  <si>
    <t>MUHAMAD FATHIR ARRASYID</t>
  </si>
  <si>
    <t>2627.7.001</t>
  </si>
  <si>
    <t>2627.7.003</t>
  </si>
  <si>
    <t>2627.7.004</t>
  </si>
  <si>
    <t>2627.7.005</t>
  </si>
  <si>
    <t>2627.7.006</t>
  </si>
  <si>
    <t>2627.7.007</t>
  </si>
  <si>
    <t>2627.7.008</t>
  </si>
  <si>
    <t>2627.7.009</t>
  </si>
  <si>
    <t>2627.7.010</t>
  </si>
  <si>
    <t>2627.7.011</t>
  </si>
  <si>
    <t>2627.7.012</t>
  </si>
  <si>
    <t>2627.7.013</t>
  </si>
  <si>
    <t>2627.7.014</t>
  </si>
  <si>
    <t>2627.7.015</t>
  </si>
  <si>
    <t>2627.7.016</t>
  </si>
  <si>
    <t>2627.7.017</t>
  </si>
  <si>
    <t>2627.7.018</t>
  </si>
  <si>
    <t>2627.7.019</t>
  </si>
  <si>
    <t>2627.7.020</t>
  </si>
  <si>
    <t>2627.7.021</t>
  </si>
  <si>
    <t>2627.7.022</t>
  </si>
  <si>
    <t>2627.7.023</t>
  </si>
  <si>
    <t>2627.7.024</t>
  </si>
  <si>
    <t>2627.7.025</t>
  </si>
  <si>
    <t>2627.7.026</t>
  </si>
  <si>
    <t>2627.7.027</t>
  </si>
  <si>
    <t>2627.7.028</t>
  </si>
  <si>
    <t>2627.7.029</t>
  </si>
  <si>
    <t>2627.7.030</t>
  </si>
  <si>
    <t>2627.7.031</t>
  </si>
  <si>
    <t>2627.7.032</t>
  </si>
  <si>
    <t>262.7.033</t>
  </si>
  <si>
    <t>2627.7.034</t>
  </si>
  <si>
    <t>2627.7.035</t>
  </si>
  <si>
    <t>2627.7.036</t>
  </si>
  <si>
    <t>2627.7.037</t>
  </si>
  <si>
    <t>2627.7.038</t>
  </si>
  <si>
    <t>2627.7.039</t>
  </si>
  <si>
    <t>2627.7.040</t>
  </si>
  <si>
    <t>2627.7.041</t>
  </si>
  <si>
    <t>2627.7.042</t>
  </si>
  <si>
    <t>2627.7.043</t>
  </si>
  <si>
    <t>2627.7.044</t>
  </si>
  <si>
    <t>2627.7.045</t>
  </si>
  <si>
    <t>2627.7.046</t>
  </si>
  <si>
    <t>2627.7.047</t>
  </si>
  <si>
    <t>2627.7.048</t>
  </si>
  <si>
    <t>2627.7.049</t>
  </si>
  <si>
    <t>2627.7.050</t>
  </si>
  <si>
    <t>2627.7.051</t>
  </si>
  <si>
    <t>2627.7.052</t>
  </si>
  <si>
    <t>2627.7.053</t>
  </si>
  <si>
    <t>2627.7.054</t>
  </si>
  <si>
    <t>2627.7.055</t>
  </si>
  <si>
    <t>2627.7.056</t>
  </si>
  <si>
    <t>2627.7.057</t>
  </si>
  <si>
    <t>2627.7.058</t>
  </si>
  <si>
    <t>2627.7.059</t>
  </si>
  <si>
    <t>2627.7.060</t>
  </si>
  <si>
    <t>2627.7.061</t>
  </si>
  <si>
    <t>2627.7.062</t>
  </si>
  <si>
    <t>2627.7.063</t>
  </si>
  <si>
    <t>2627.7.064</t>
  </si>
  <si>
    <t>2627.7.065</t>
  </si>
  <si>
    <t>2627.7.066</t>
  </si>
  <si>
    <t>2627.7.067</t>
  </si>
  <si>
    <t>2627.7.068</t>
  </si>
  <si>
    <t>2627.7.069</t>
  </si>
  <si>
    <t>2627.7.070</t>
  </si>
  <si>
    <t>2627.7.071</t>
  </si>
  <si>
    <t>2627.7.072</t>
  </si>
  <si>
    <t>2627.7.073</t>
  </si>
  <si>
    <t>2627.7.074</t>
  </si>
  <si>
    <t>2627.7.075</t>
  </si>
  <si>
    <t>2627.7.076</t>
  </si>
  <si>
    <t>2627.7.077</t>
  </si>
  <si>
    <t>2627.7.078</t>
  </si>
  <si>
    <t>2627.7.079</t>
  </si>
  <si>
    <t>2627.7.080</t>
  </si>
  <si>
    <t>2627.7.081</t>
  </si>
  <si>
    <t>2627.7.082</t>
  </si>
  <si>
    <t>2627.7.083</t>
  </si>
  <si>
    <t>2627.7.084</t>
  </si>
  <si>
    <t>2627.7.085</t>
  </si>
  <si>
    <t>2627.7.086</t>
  </si>
  <si>
    <t>2627.7.087</t>
  </si>
  <si>
    <t>2627.7.088</t>
  </si>
  <si>
    <t>2627.7.089</t>
  </si>
  <si>
    <t>2627.7.090</t>
  </si>
  <si>
    <t>2627.7.091</t>
  </si>
  <si>
    <t>2627.7.092</t>
  </si>
  <si>
    <t>2627.7.093</t>
  </si>
  <si>
    <t>2627.7.094</t>
  </si>
  <si>
    <t>2627.7.095</t>
  </si>
  <si>
    <t>2627.7.096</t>
  </si>
  <si>
    <t>2627.7.097</t>
  </si>
  <si>
    <t>2627.7.098</t>
  </si>
  <si>
    <t>2627.7.099</t>
  </si>
  <si>
    <t>2627.7.100</t>
  </si>
  <si>
    <t>2627.7.101</t>
  </si>
  <si>
    <t>2627.7.102</t>
  </si>
  <si>
    <t>2627.7.103</t>
  </si>
  <si>
    <t>2627.7.104</t>
  </si>
  <si>
    <t>2627.7.105</t>
  </si>
  <si>
    <t>2627.7.106</t>
  </si>
  <si>
    <t>2627.7.107</t>
  </si>
  <si>
    <t>2627.7.108</t>
  </si>
  <si>
    <t>2627.7.109</t>
  </si>
  <si>
    <t>2627.7.110</t>
  </si>
  <si>
    <t>2627.7.111</t>
  </si>
  <si>
    <t>2627.7.112</t>
  </si>
  <si>
    <t>2627.7.113</t>
  </si>
  <si>
    <t>2627.7.114</t>
  </si>
  <si>
    <t>2627.7.115</t>
  </si>
  <si>
    <t>2627.7.116</t>
  </si>
  <si>
    <t>2627.7.117</t>
  </si>
  <si>
    <t>2627.7.118</t>
  </si>
  <si>
    <t>2627.7.119</t>
  </si>
  <si>
    <t>2627.7.120</t>
  </si>
  <si>
    <t>2627.7.121</t>
  </si>
  <si>
    <t>2627.7.122</t>
  </si>
  <si>
    <t>2627.7.123</t>
  </si>
  <si>
    <t>2627.7.124</t>
  </si>
  <si>
    <t>2627.7.125</t>
  </si>
  <si>
    <t>2627.7.126</t>
  </si>
  <si>
    <t>2627.7.127</t>
  </si>
  <si>
    <t>2627.7.128</t>
  </si>
  <si>
    <t>2627.7.129</t>
  </si>
  <si>
    <t>2627.7.130</t>
  </si>
  <si>
    <t>2627.7.131</t>
  </si>
  <si>
    <t>2627.7.132</t>
  </si>
  <si>
    <t>2627.7.133</t>
  </si>
  <si>
    <t>2627.7.134</t>
  </si>
  <si>
    <t>2627.7.135</t>
  </si>
  <si>
    <t>2627.7.136</t>
  </si>
  <si>
    <t>2627.7.137</t>
  </si>
  <si>
    <t>2627.7.138</t>
  </si>
  <si>
    <t>2627.7.139</t>
  </si>
  <si>
    <t>2627.7.140</t>
  </si>
  <si>
    <t>2627.7.141</t>
  </si>
  <si>
    <t>2627.7.142</t>
  </si>
  <si>
    <t>2627.7.143</t>
  </si>
  <si>
    <t>2627.7.144</t>
  </si>
  <si>
    <t>2627.7.145</t>
  </si>
  <si>
    <t>2627.7.146</t>
  </si>
  <si>
    <t>2627.7.147</t>
  </si>
  <si>
    <t>2627.7.148</t>
  </si>
  <si>
    <t>2627.7.149</t>
  </si>
  <si>
    <t>2627.7.150</t>
  </si>
  <si>
    <t>2627.7.151</t>
  </si>
  <si>
    <t>2627.7.152</t>
  </si>
  <si>
    <t>2627.7.153</t>
  </si>
  <si>
    <t>2627.7.154</t>
  </si>
  <si>
    <t>2627.7.155</t>
  </si>
  <si>
    <t>2627.7.156</t>
  </si>
  <si>
    <t>2627.7.157</t>
  </si>
  <si>
    <t>2627.7.158</t>
  </si>
  <si>
    <t>2627.7.159</t>
  </si>
  <si>
    <t>2627.7.160</t>
  </si>
  <si>
    <t>01-07-2026</t>
  </si>
  <si>
    <t>MTsN 1 MJL</t>
  </si>
  <si>
    <t>13-07-2026</t>
  </si>
  <si>
    <t>2526.7.045</t>
  </si>
  <si>
    <t>MOCHAMMAD RIZKI</t>
  </si>
  <si>
    <t>SDN PANINGKIRAN I</t>
  </si>
  <si>
    <t>FIKRIA NURJANAH</t>
  </si>
  <si>
    <t>MARSYA DWI ANGGRAENI</t>
  </si>
  <si>
    <t>AFFAN NUR ARISYAHBILA</t>
  </si>
  <si>
    <t>LABIB MUHAMAD ALFARIZI</t>
  </si>
  <si>
    <t>MEI LOLA MARVA</t>
  </si>
  <si>
    <t>MOHAMMAD AL RIZKI</t>
  </si>
  <si>
    <t>ALIF SURYA RAMADHAN</t>
  </si>
  <si>
    <t>ECA NURMALASARI</t>
  </si>
  <si>
    <t>MELVI HERYANA PUTRI</t>
  </si>
  <si>
    <t>FEBY NUR HAYATI PUTRI</t>
  </si>
  <si>
    <t>EDIES MIKA RAHIL</t>
  </si>
  <si>
    <t xml:space="preserve">FUTRI RHAINA ARIS </t>
  </si>
  <si>
    <t>MUHAMAD AIRLANGGA PUTRA</t>
  </si>
  <si>
    <t>MOHAMAD FAJAR SIDIK</t>
  </si>
  <si>
    <t>MUHAMAD AJI SEPTIAN</t>
  </si>
  <si>
    <t>MUHAMAD NAZIR SYAKIR</t>
  </si>
  <si>
    <t>MUHAMAD SANURI</t>
  </si>
  <si>
    <t>REVAL FATIHAH</t>
  </si>
  <si>
    <t>REZKY AKBAR RAMADHAN</t>
  </si>
  <si>
    <t>20-07-2026</t>
  </si>
  <si>
    <t>SMPN 2 SBY</t>
  </si>
  <si>
    <t>TIDAK NAIK</t>
  </si>
  <si>
    <t>26-06-2026</t>
  </si>
  <si>
    <t>IKUT ORANG TUA</t>
  </si>
  <si>
    <t>MTs GARAWANGI</t>
  </si>
  <si>
    <t>Leuwimunding, 31 Juli 2026</t>
  </si>
  <si>
    <t>0134010603</t>
  </si>
  <si>
    <t>0142420643</t>
  </si>
  <si>
    <t>0135495721</t>
  </si>
  <si>
    <t>0145973961</t>
  </si>
  <si>
    <t>0131678930</t>
  </si>
  <si>
    <t>3124791659</t>
  </si>
  <si>
    <t>3141865097</t>
  </si>
  <si>
    <t>0135019953</t>
  </si>
  <si>
    <t>AUFA RASANA SAHUM</t>
  </si>
  <si>
    <t>0122093733</t>
  </si>
  <si>
    <t>3132438371</t>
  </si>
  <si>
    <t>0148675323</t>
  </si>
  <si>
    <t>3141487579</t>
  </si>
  <si>
    <t>0134009374</t>
  </si>
  <si>
    <t>0138212751</t>
  </si>
  <si>
    <t>0133262817</t>
  </si>
  <si>
    <t>3137350997</t>
  </si>
  <si>
    <t>3133313031</t>
  </si>
  <si>
    <t>0131468504</t>
  </si>
  <si>
    <t>3131778464</t>
  </si>
  <si>
    <t>3143087778</t>
  </si>
  <si>
    <t>0137183671</t>
  </si>
  <si>
    <t>0141092782</t>
  </si>
  <si>
    <t>3136346592</t>
  </si>
  <si>
    <t>31344837278</t>
  </si>
  <si>
    <t>3131356983</t>
  </si>
  <si>
    <t>0145152988</t>
  </si>
  <si>
    <t>3139058176</t>
  </si>
  <si>
    <t>0154233962</t>
  </si>
  <si>
    <t>0131244826</t>
  </si>
  <si>
    <t>0138253403</t>
  </si>
  <si>
    <t>0133523085</t>
  </si>
  <si>
    <t>0137606515</t>
  </si>
  <si>
    <t>0133109791</t>
  </si>
  <si>
    <t>0143337147</t>
  </si>
  <si>
    <t>0143828896</t>
  </si>
  <si>
    <t>0138258169</t>
  </si>
  <si>
    <t>0132372152</t>
  </si>
  <si>
    <t>APRILI YANI</t>
  </si>
  <si>
    <t>3130659492</t>
  </si>
  <si>
    <t>0139886253</t>
  </si>
  <si>
    <t>0136370856</t>
  </si>
  <si>
    <t>0138761537</t>
  </si>
  <si>
    <t>3137548155</t>
  </si>
  <si>
    <t>3130000839</t>
  </si>
  <si>
    <t>0137885845</t>
  </si>
  <si>
    <t>0143504540</t>
  </si>
  <si>
    <t>3145838240</t>
  </si>
  <si>
    <t>0135331498</t>
  </si>
  <si>
    <t>0138801377</t>
  </si>
  <si>
    <t>LABIB MUHAMAD AL FARIZI</t>
  </si>
  <si>
    <t>0133488884</t>
  </si>
  <si>
    <t>3145064568</t>
  </si>
  <si>
    <t>3144058938</t>
  </si>
  <si>
    <t>3143678991</t>
  </si>
  <si>
    <t>0131616751</t>
  </si>
  <si>
    <t>0139624499</t>
  </si>
  <si>
    <t>3132706668</t>
  </si>
  <si>
    <t>0139532747</t>
  </si>
  <si>
    <t>0133392038</t>
  </si>
  <si>
    <t>0136100344</t>
  </si>
  <si>
    <t>3148316164</t>
  </si>
  <si>
    <t>0146042984</t>
  </si>
  <si>
    <t>132968334</t>
  </si>
  <si>
    <t>3136473965</t>
  </si>
  <si>
    <t>0139948978</t>
  </si>
  <si>
    <t>3133400247</t>
  </si>
  <si>
    <t>3123100028</t>
  </si>
  <si>
    <t>0146934791</t>
  </si>
  <si>
    <t>ALICA MEILANI AZAHRA</t>
  </si>
  <si>
    <t>0135372042</t>
  </si>
  <si>
    <t>0136020141</t>
  </si>
  <si>
    <t>0134091382</t>
  </si>
  <si>
    <t>3136293994</t>
  </si>
  <si>
    <t>0141020834</t>
  </si>
  <si>
    <t>0133788862</t>
  </si>
  <si>
    <t>0136956443</t>
  </si>
  <si>
    <t>0144541732</t>
  </si>
  <si>
    <t>0133102823</t>
  </si>
  <si>
    <t>0136187911</t>
  </si>
  <si>
    <t>0149692013</t>
  </si>
  <si>
    <t>0141223378</t>
  </si>
  <si>
    <t>0148972379</t>
  </si>
  <si>
    <t>0159651623</t>
  </si>
  <si>
    <t>0135732795</t>
  </si>
  <si>
    <t>0138454286</t>
  </si>
  <si>
    <t>3147627999</t>
  </si>
  <si>
    <t>MUHAMMMAD RIFKI FATURROHMAN</t>
  </si>
  <si>
    <t>0135720174</t>
  </si>
  <si>
    <t>0135983905</t>
  </si>
  <si>
    <t>3132644216</t>
  </si>
  <si>
    <t>3130827894</t>
  </si>
  <si>
    <t>0146633983</t>
  </si>
  <si>
    <t>3136374627</t>
  </si>
  <si>
    <t>0131676881</t>
  </si>
  <si>
    <t>0144985672</t>
  </si>
  <si>
    <t>0135237043</t>
  </si>
  <si>
    <t>3138125666</t>
  </si>
  <si>
    <t>3146340700</t>
  </si>
  <si>
    <t>0132338096</t>
  </si>
  <si>
    <t>0131803668</t>
  </si>
  <si>
    <t>3144894040</t>
  </si>
  <si>
    <t>135169646</t>
  </si>
  <si>
    <t>3140782684</t>
  </si>
  <si>
    <t>3128315006</t>
  </si>
  <si>
    <t>0137270975</t>
  </si>
  <si>
    <t>3134774571</t>
  </si>
  <si>
    <t>0131363900</t>
  </si>
  <si>
    <t>0132470000</t>
  </si>
  <si>
    <t>01331428265</t>
  </si>
  <si>
    <t>0135523143</t>
  </si>
  <si>
    <t>3138076376</t>
  </si>
  <si>
    <t>2021001018</t>
  </si>
  <si>
    <t>0132530661</t>
  </si>
  <si>
    <t>3141443506</t>
  </si>
  <si>
    <t>3130304342</t>
  </si>
  <si>
    <t>0143387806</t>
  </si>
  <si>
    <t>3130856799</t>
  </si>
  <si>
    <t>3147090028</t>
  </si>
  <si>
    <t>3137456788</t>
  </si>
  <si>
    <t>MUHAMMAD FATIR ARRASYID</t>
  </si>
  <si>
    <t>0138183382</t>
  </si>
  <si>
    <t>0139039700</t>
  </si>
  <si>
    <t>3137344778</t>
  </si>
  <si>
    <t>3137612605</t>
  </si>
  <si>
    <t>0135164826</t>
  </si>
  <si>
    <t>0146269956</t>
  </si>
  <si>
    <t>3142023419</t>
  </si>
  <si>
    <t>0137865912</t>
  </si>
  <si>
    <t>3130020977</t>
  </si>
  <si>
    <t>3139812156</t>
  </si>
  <si>
    <t>3133582516</t>
  </si>
  <si>
    <t>0131855845</t>
  </si>
  <si>
    <t>0139694973</t>
  </si>
  <si>
    <t>0137449889</t>
  </si>
  <si>
    <t>3134113833</t>
  </si>
  <si>
    <t>0141433886</t>
  </si>
  <si>
    <t>3133224802</t>
  </si>
  <si>
    <t>3136070816</t>
  </si>
  <si>
    <t>3141605496</t>
  </si>
  <si>
    <t>3138226928</t>
  </si>
  <si>
    <t>0134268462</t>
  </si>
  <si>
    <t>0121041315</t>
  </si>
  <si>
    <t>3130595211</t>
  </si>
  <si>
    <t>0137436606</t>
  </si>
  <si>
    <t>2021001021</t>
  </si>
  <si>
    <t>0124066398</t>
  </si>
  <si>
    <t>3134978248</t>
  </si>
  <si>
    <t>3134312936</t>
  </si>
  <si>
    <t>0137466675</t>
  </si>
  <si>
    <t>0137332477</t>
  </si>
  <si>
    <t>3131371066</t>
  </si>
  <si>
    <t>3136954956</t>
  </si>
  <si>
    <t>3130885390</t>
  </si>
  <si>
    <t>3139501610</t>
  </si>
  <si>
    <t>0145399845</t>
  </si>
  <si>
    <t>0131764636</t>
  </si>
  <si>
    <t>3133304454</t>
  </si>
  <si>
    <t>3137868203</t>
  </si>
  <si>
    <t>3146522790</t>
  </si>
  <si>
    <t>0127291496</t>
  </si>
  <si>
    <t>0136816523</t>
  </si>
  <si>
    <t>3145776071</t>
  </si>
  <si>
    <t>0149998868</t>
  </si>
  <si>
    <t>0148785295</t>
  </si>
  <si>
    <t>0135969364</t>
  </si>
  <si>
    <t>2627.7.002</t>
  </si>
  <si>
    <t>Leuwimunding, 11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</si>
</sst>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0.0"/>
  </numFmts>
  <fonts count="10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u/>
      <sz val="8"/>
      <color theme="1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Arial Narrow"/>
      <family val="2"/>
    </font>
    <font>
      <sz val="11"/>
      <name val="Calibri"/>
      <family val="2"/>
      <scheme val="minor"/>
    </font>
    <font>
      <sz val="11"/>
      <color rgb="FFFF0000"/>
      <name val="Arial Narrow"/>
      <family val="2"/>
    </font>
    <font>
      <sz val="11"/>
      <name val="Arial Narrow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indexed="8"/>
      <name val="Arial Narrow"/>
      <family val="2"/>
    </font>
    <font>
      <sz val="11"/>
      <color rgb="FF000000"/>
      <name val="Calibri"/>
      <family val="2"/>
      <scheme val="minor"/>
    </font>
    <font>
      <u/>
      <sz val="12"/>
      <color theme="10"/>
      <name val="Times New Roman"/>
      <family val="1"/>
    </font>
    <font>
      <u/>
      <sz val="11"/>
      <color theme="10"/>
      <name val="Calibri"/>
      <family val="2"/>
      <scheme val="minor"/>
    </font>
    <font>
      <u/>
      <sz val="9"/>
      <color theme="10"/>
      <name val="Century Gothic"/>
      <family val="2"/>
    </font>
    <font>
      <sz val="10"/>
      <name val="Arial"/>
      <family val="2"/>
    </font>
    <font>
      <sz val="9"/>
      <name val="Century Gothic"/>
      <family val="2"/>
    </font>
    <font>
      <sz val="12"/>
      <color theme="1"/>
      <name val="Times New Roman"/>
      <family val="1"/>
    </font>
    <font>
      <b/>
      <sz val="18"/>
      <color theme="3"/>
      <name val="Calibri Light"/>
      <family val="2"/>
      <scheme val="maj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Arial"/>
      <family val="2"/>
    </font>
    <font>
      <sz val="11"/>
      <color rgb="FFFF0000"/>
      <name val="Arial Narrow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sz val="11"/>
      <color rgb="FFFF0000"/>
      <name val="Calibri"/>
      <charset val="134"/>
      <scheme val="minor"/>
    </font>
    <font>
      <sz val="11"/>
      <color rgb="FF000000"/>
      <name val="Arial"/>
      <family val="2"/>
    </font>
    <font>
      <sz val="11"/>
      <color rgb="FF000000"/>
      <name val="Calibri"/>
      <charset val="134"/>
    </font>
    <font>
      <sz val="11"/>
      <color rgb="FF548235"/>
      <name val="Calibri"/>
      <family val="2"/>
    </font>
    <font>
      <sz val="11"/>
      <color rgb="FF000000"/>
      <name val="Calibri"/>
      <family val="2"/>
    </font>
    <font>
      <sz val="11"/>
      <color rgb="FFC65911"/>
      <name val="Calibri"/>
      <family val="2"/>
    </font>
    <font>
      <sz val="11"/>
      <color rgb="FF2F75B5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8">
    <xf numFmtId="0" fontId="0" fillId="0" borderId="0"/>
    <xf numFmtId="41" fontId="78" fillId="0" borderId="0" applyFon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5" fillId="0" borderId="0"/>
    <xf numFmtId="0" fontId="76" fillId="0" borderId="0"/>
    <xf numFmtId="0" fontId="75" fillId="0" borderId="0"/>
    <xf numFmtId="0" fontId="78" fillId="0" borderId="0"/>
    <xf numFmtId="0" fontId="74" fillId="0" borderId="0"/>
    <xf numFmtId="0" fontId="78" fillId="0" borderId="0"/>
    <xf numFmtId="0" fontId="78" fillId="0" borderId="0"/>
    <xf numFmtId="0" fontId="76" fillId="0" borderId="0"/>
    <xf numFmtId="0" fontId="78" fillId="0" borderId="0"/>
    <xf numFmtId="0" fontId="76" fillId="0" borderId="0"/>
    <xf numFmtId="0" fontId="78" fillId="0" borderId="0"/>
    <xf numFmtId="0" fontId="78" fillId="0" borderId="0"/>
    <xf numFmtId="0" fontId="78" fillId="0" borderId="0"/>
    <xf numFmtId="0" fontId="77" fillId="0" borderId="0" applyNumberFormat="0" applyFill="0" applyBorder="0" applyAlignment="0" applyProtection="0"/>
  </cellStyleXfs>
  <cellXfs count="1082">
    <xf numFmtId="0" fontId="0" fillId="0" borderId="0" xfId="0"/>
    <xf numFmtId="0" fontId="42" fillId="0" borderId="0" xfId="0" applyFont="1" applyAlignment="1">
      <alignment horizontal="center"/>
    </xf>
    <xf numFmtId="0" fontId="43" fillId="0" borderId="0" xfId="0" applyFont="1"/>
    <xf numFmtId="0" fontId="45" fillId="0" borderId="0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0" fontId="45" fillId="0" borderId="0" xfId="0" applyFont="1"/>
    <xf numFmtId="0" fontId="46" fillId="0" borderId="0" xfId="0" applyFont="1"/>
    <xf numFmtId="0" fontId="46" fillId="0" borderId="3" xfId="0" applyFont="1" applyBorder="1" applyAlignment="1">
      <alignment vertical="center" wrapText="1"/>
    </xf>
    <xf numFmtId="0" fontId="47" fillId="0" borderId="4" xfId="0" applyFont="1" applyBorder="1" applyAlignment="1">
      <alignment vertical="center" wrapText="1"/>
    </xf>
    <xf numFmtId="0" fontId="46" fillId="0" borderId="4" xfId="0" applyFont="1" applyBorder="1" applyAlignment="1">
      <alignment vertical="center" wrapText="1"/>
    </xf>
    <xf numFmtId="0" fontId="45" fillId="0" borderId="0" xfId="0" applyFont="1" applyFill="1" applyBorder="1" applyAlignment="1">
      <alignment vertical="center" wrapText="1"/>
    </xf>
    <xf numFmtId="0" fontId="46" fillId="0" borderId="0" xfId="0" applyFont="1" applyFill="1" applyBorder="1" applyAlignment="1">
      <alignment vertical="center" wrapText="1"/>
    </xf>
    <xf numFmtId="0" fontId="46" fillId="0" borderId="2" xfId="0" applyFont="1" applyFill="1" applyBorder="1" applyAlignment="1">
      <alignment vertical="center" wrapText="1"/>
    </xf>
    <xf numFmtId="0" fontId="48" fillId="0" borderId="0" xfId="0" applyFont="1" applyBorder="1" applyAlignment="1">
      <alignment vertical="center" wrapText="1"/>
    </xf>
    <xf numFmtId="0" fontId="49" fillId="0" borderId="3" xfId="0" applyFont="1" applyBorder="1" applyAlignment="1">
      <alignment vertical="center" wrapText="1"/>
    </xf>
    <xf numFmtId="0" fontId="49" fillId="0" borderId="4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52" fillId="0" borderId="6" xfId="0" applyFont="1" applyBorder="1" applyAlignment="1">
      <alignment horizontal="center"/>
    </xf>
    <xf numFmtId="0" fontId="52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52" fillId="0" borderId="13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 applyAlignment="1"/>
    <xf numFmtId="0" fontId="50" fillId="0" borderId="0" xfId="0" applyFont="1" applyAlignment="1">
      <alignment vertical="center"/>
    </xf>
    <xf numFmtId="0" fontId="51" fillId="0" borderId="0" xfId="0" applyFont="1" applyAlignment="1">
      <alignment vertical="center"/>
    </xf>
    <xf numFmtId="0" fontId="49" fillId="0" borderId="0" xfId="0" applyFont="1" applyBorder="1" applyAlignment="1">
      <alignment vertical="center"/>
    </xf>
    <xf numFmtId="0" fontId="0" fillId="0" borderId="0" xfId="0" applyBorder="1"/>
    <xf numFmtId="0" fontId="53" fillId="0" borderId="6" xfId="0" applyFont="1" applyBorder="1" applyAlignment="1">
      <alignment horizontal="center"/>
    </xf>
    <xf numFmtId="0" fontId="53" fillId="0" borderId="7" xfId="0" applyFont="1" applyBorder="1" applyAlignment="1">
      <alignment horizontal="center"/>
    </xf>
    <xf numFmtId="0" fontId="53" fillId="0" borderId="1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54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/>
    </xf>
    <xf numFmtId="0" fontId="55" fillId="0" borderId="0" xfId="0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54" fillId="0" borderId="0" xfId="0" applyFont="1" applyBorder="1"/>
    <xf numFmtId="0" fontId="54" fillId="0" borderId="0" xfId="0" applyFont="1" applyFill="1" applyBorder="1" applyAlignment="1">
      <alignment horizontal="center"/>
    </xf>
    <xf numFmtId="0" fontId="0" fillId="0" borderId="0" xfId="0" applyBorder="1" applyAlignment="1"/>
    <xf numFmtId="0" fontId="56" fillId="0" borderId="1" xfId="0" applyFont="1" applyBorder="1"/>
    <xf numFmtId="0" fontId="56" fillId="0" borderId="1" xfId="0" applyFont="1" applyBorder="1" applyAlignment="1">
      <alignment horizontal="center"/>
    </xf>
    <xf numFmtId="0" fontId="56" fillId="2" borderId="0" xfId="0" applyFont="1" applyFill="1" applyBorder="1" applyAlignment="1">
      <alignment horizontal="center"/>
    </xf>
    <xf numFmtId="0" fontId="0" fillId="2" borderId="1" xfId="0" applyFont="1" applyFill="1" applyBorder="1"/>
    <xf numFmtId="0" fontId="0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Font="1" applyBorder="1" applyAlignment="1">
      <alignment horizontal="center" vertical="center"/>
    </xf>
    <xf numFmtId="0" fontId="54" fillId="2" borderId="1" xfId="0" applyFont="1" applyFill="1" applyBorder="1"/>
    <xf numFmtId="0" fontId="54" fillId="0" borderId="1" xfId="0" applyFont="1" applyFill="1" applyBorder="1" applyAlignment="1" applyProtection="1">
      <alignment horizontal="center" vertical="center"/>
      <protection locked="0"/>
    </xf>
    <xf numFmtId="0" fontId="54" fillId="0" borderId="1" xfId="0" applyFont="1" applyBorder="1" applyAlignment="1">
      <alignment horizontal="center" vertical="center"/>
    </xf>
    <xf numFmtId="0" fontId="54" fillId="0" borderId="1" xfId="0" applyFont="1" applyBorder="1"/>
    <xf numFmtId="0" fontId="56" fillId="0" borderId="1" xfId="0" applyFont="1" applyFill="1" applyBorder="1"/>
    <xf numFmtId="0" fontId="54" fillId="2" borderId="1" xfId="0" applyFont="1" applyFill="1" applyBorder="1" applyAlignment="1">
      <alignment horizontal="center"/>
    </xf>
    <xf numFmtId="0" fontId="56" fillId="2" borderId="1" xfId="0" applyFont="1" applyFill="1" applyBorder="1"/>
    <xf numFmtId="0" fontId="56" fillId="0" borderId="1" xfId="0" applyFont="1" applyBorder="1" applyAlignment="1" applyProtection="1">
      <alignment horizontal="center" vertical="center"/>
      <protection locked="0"/>
    </xf>
    <xf numFmtId="0" fontId="56" fillId="0" borderId="1" xfId="0" applyFont="1" applyFill="1" applyBorder="1" applyAlignment="1">
      <alignment horizontal="left"/>
    </xf>
    <xf numFmtId="0" fontId="56" fillId="0" borderId="1" xfId="0" applyFont="1" applyFill="1" applyBorder="1" applyAlignment="1">
      <alignment horizontal="center"/>
    </xf>
    <xf numFmtId="0" fontId="54" fillId="0" borderId="0" xfId="0" applyFont="1"/>
    <xf numFmtId="0" fontId="54" fillId="0" borderId="1" xfId="0" applyFont="1" applyBorder="1" applyAlignment="1">
      <alignment horizontal="left"/>
    </xf>
    <xf numFmtId="0" fontId="54" fillId="0" borderId="1" xfId="0" applyFont="1" applyBorder="1" applyAlignment="1">
      <alignment horizontal="center"/>
    </xf>
    <xf numFmtId="0" fontId="56" fillId="0" borderId="1" xfId="0" applyFont="1" applyFill="1" applyBorder="1" applyAlignment="1" applyProtection="1">
      <alignment horizontal="center" vertical="center"/>
      <protection locked="0"/>
    </xf>
    <xf numFmtId="0" fontId="56" fillId="0" borderId="1" xfId="0" applyFont="1" applyBorder="1" applyAlignment="1">
      <alignment horizontal="left"/>
    </xf>
    <xf numFmtId="0" fontId="58" fillId="0" borderId="1" xfId="0" applyFont="1" applyBorder="1" applyAlignment="1" applyProtection="1">
      <alignment horizontal="center" vertical="center"/>
      <protection locked="0"/>
    </xf>
    <xf numFmtId="0" fontId="59" fillId="0" borderId="1" xfId="0" applyFont="1" applyBorder="1" applyAlignment="1">
      <alignment horizontal="left"/>
    </xf>
    <xf numFmtId="0" fontId="56" fillId="0" borderId="0" xfId="0" applyFont="1"/>
    <xf numFmtId="0" fontId="54" fillId="0" borderId="1" xfId="0" applyFont="1" applyFill="1" applyBorder="1"/>
    <xf numFmtId="0" fontId="54" fillId="0" borderId="10" xfId="0" applyFont="1" applyFill="1" applyBorder="1" applyAlignment="1" applyProtection="1">
      <alignment horizontal="center" vertical="center"/>
      <protection locked="0"/>
    </xf>
    <xf numFmtId="49" fontId="56" fillId="0" borderId="1" xfId="0" applyNumberFormat="1" applyFont="1" applyBorder="1" applyAlignment="1" applyProtection="1">
      <alignment horizontal="center"/>
      <protection locked="0"/>
    </xf>
    <xf numFmtId="0" fontId="0" fillId="0" borderId="12" xfId="0" applyBorder="1" applyAlignment="1">
      <alignment horizontal="center"/>
    </xf>
    <xf numFmtId="0" fontId="54" fillId="0" borderId="0" xfId="0" applyFont="1" applyAlignment="1"/>
    <xf numFmtId="0" fontId="0" fillId="2" borderId="0" xfId="0" applyFont="1" applyFill="1" applyBorder="1" applyAlignment="1" applyProtection="1">
      <alignment horizontal="center"/>
      <protection locked="0"/>
    </xf>
    <xf numFmtId="0" fontId="54" fillId="2" borderId="15" xfId="0" applyFont="1" applyFill="1" applyBorder="1"/>
    <xf numFmtId="0" fontId="78" fillId="0" borderId="0" xfId="6" applyFill="1" applyBorder="1" applyAlignment="1">
      <alignment horizontal="center" vertical="center"/>
    </xf>
    <xf numFmtId="0" fontId="0" fillId="0" borderId="29" xfId="0" applyBorder="1"/>
    <xf numFmtId="0" fontId="61" fillId="0" borderId="0" xfId="0" applyFont="1" applyFill="1" applyBorder="1" applyAlignment="1">
      <alignment horizontal="center"/>
    </xf>
    <xf numFmtId="0" fontId="54" fillId="0" borderId="15" xfId="0" applyFont="1" applyFill="1" applyBorder="1" applyAlignment="1">
      <alignment horizontal="center"/>
    </xf>
    <xf numFmtId="0" fontId="62" fillId="0" borderId="29" xfId="0" applyFont="1" applyBorder="1" applyAlignment="1">
      <alignment horizontal="center"/>
    </xf>
    <xf numFmtId="0" fontId="53" fillId="0" borderId="31" xfId="0" applyFont="1" applyBorder="1" applyAlignment="1">
      <alignment horizontal="center"/>
    </xf>
    <xf numFmtId="0" fontId="53" fillId="0" borderId="32" xfId="0" applyFont="1" applyBorder="1" applyAlignment="1">
      <alignment horizontal="center"/>
    </xf>
    <xf numFmtId="0" fontId="63" fillId="0" borderId="0" xfId="0" applyFont="1"/>
    <xf numFmtId="0" fontId="62" fillId="0" borderId="15" xfId="0" applyFont="1" applyBorder="1" applyAlignment="1">
      <alignment horizontal="center"/>
    </xf>
    <xf numFmtId="0" fontId="57" fillId="0" borderId="0" xfId="6" applyFont="1" applyFill="1" applyBorder="1" applyAlignment="1" applyProtection="1">
      <alignment horizontal="center" vertical="center"/>
      <protection locked="0"/>
    </xf>
    <xf numFmtId="0" fontId="54" fillId="0" borderId="0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35" xfId="0" applyBorder="1"/>
    <xf numFmtId="0" fontId="0" fillId="0" borderId="35" xfId="0" applyBorder="1" applyAlignment="1">
      <alignment horizontal="center"/>
    </xf>
    <xf numFmtId="0" fontId="0" fillId="0" borderId="35" xfId="0" applyBorder="1" applyAlignment="1">
      <alignment horizontal="left"/>
    </xf>
    <xf numFmtId="0" fontId="53" fillId="0" borderId="0" xfId="6" applyFont="1" applyBorder="1" applyAlignment="1">
      <alignment horizontal="center"/>
    </xf>
    <xf numFmtId="0" fontId="0" fillId="0" borderId="0" xfId="6" applyFont="1" applyBorder="1" applyAlignment="1">
      <alignment horizontal="center"/>
    </xf>
    <xf numFmtId="0" fontId="0" fillId="0" borderId="0" xfId="6" applyFont="1" applyBorder="1" applyAlignment="1">
      <alignment horizontal="left"/>
    </xf>
    <xf numFmtId="0" fontId="78" fillId="0" borderId="0" xfId="6" applyBorder="1" applyAlignment="1">
      <alignment horizontal="center"/>
    </xf>
    <xf numFmtId="0" fontId="64" fillId="3" borderId="37" xfId="6" applyFont="1" applyFill="1" applyBorder="1" applyAlignment="1">
      <alignment horizontal="center" vertical="center"/>
    </xf>
    <xf numFmtId="0" fontId="78" fillId="2" borderId="39" xfId="6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78" fillId="2" borderId="40" xfId="6" applyFill="1" applyBorder="1" applyAlignment="1">
      <alignment horizontal="center"/>
    </xf>
    <xf numFmtId="0" fontId="78" fillId="2" borderId="8" xfId="6" applyFill="1" applyBorder="1" applyAlignment="1">
      <alignment horizontal="center"/>
    </xf>
    <xf numFmtId="0" fontId="78" fillId="2" borderId="26" xfId="6" applyFill="1" applyBorder="1" applyAlignment="1">
      <alignment horizontal="center"/>
    </xf>
    <xf numFmtId="0" fontId="78" fillId="2" borderId="12" xfId="6" applyFill="1" applyBorder="1" applyAlignment="1">
      <alignment horizontal="center"/>
    </xf>
    <xf numFmtId="0" fontId="78" fillId="2" borderId="12" xfId="6" applyFill="1" applyBorder="1"/>
    <xf numFmtId="0" fontId="78" fillId="2" borderId="12" xfId="6" applyFill="1" applyBorder="1" applyAlignment="1">
      <alignment horizontal="left"/>
    </xf>
    <xf numFmtId="0" fontId="78" fillId="2" borderId="17" xfId="6" applyFill="1" applyBorder="1" applyAlignment="1">
      <alignment horizontal="center"/>
    </xf>
    <xf numFmtId="0" fontId="78" fillId="0" borderId="0" xfId="6" applyBorder="1" applyAlignment="1">
      <alignment horizontal="center" vertical="center"/>
    </xf>
    <xf numFmtId="0" fontId="78" fillId="0" borderId="0" xfId="6" applyFill="1" applyBorder="1" applyAlignment="1">
      <alignment horizontal="center"/>
    </xf>
    <xf numFmtId="0" fontId="78" fillId="0" borderId="0" xfId="6" applyBorder="1"/>
    <xf numFmtId="0" fontId="0" fillId="2" borderId="0" xfId="6" applyFont="1" applyFill="1" applyBorder="1" applyAlignment="1">
      <alignment horizontal="left"/>
    </xf>
    <xf numFmtId="0" fontId="78" fillId="0" borderId="0" xfId="6" applyBorder="1" applyAlignment="1">
      <alignment horizontal="left" vertical="center"/>
    </xf>
    <xf numFmtId="0" fontId="78" fillId="0" borderId="0" xfId="6" applyAlignment="1">
      <alignment horizontal="left"/>
    </xf>
    <xf numFmtId="0" fontId="63" fillId="0" borderId="0" xfId="6" applyFont="1" applyBorder="1" applyAlignment="1">
      <alignment horizontal="center" vertical="center"/>
    </xf>
    <xf numFmtId="0" fontId="78" fillId="0" borderId="0" xfId="6" applyAlignment="1">
      <alignment horizontal="center"/>
    </xf>
    <xf numFmtId="0" fontId="0" fillId="0" borderId="0" xfId="6" applyFont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54" fillId="0" borderId="1" xfId="0" applyFont="1" applyFill="1" applyBorder="1" applyAlignment="1">
      <alignment horizontal="center"/>
    </xf>
    <xf numFmtId="0" fontId="64" fillId="3" borderId="41" xfId="6" applyFont="1" applyFill="1" applyBorder="1" applyAlignment="1">
      <alignment horizontal="center" vertical="center"/>
    </xf>
    <xf numFmtId="0" fontId="78" fillId="2" borderId="43" xfId="6" applyFill="1" applyBorder="1" applyAlignment="1">
      <alignment horizontal="center"/>
    </xf>
    <xf numFmtId="0" fontId="78" fillId="2" borderId="9" xfId="6" applyFill="1" applyBorder="1" applyAlignment="1">
      <alignment horizontal="center"/>
    </xf>
    <xf numFmtId="0" fontId="78" fillId="2" borderId="9" xfId="6" applyFill="1" applyBorder="1"/>
    <xf numFmtId="0" fontId="78" fillId="2" borderId="9" xfId="6" applyFill="1" applyBorder="1" applyAlignment="1">
      <alignment horizontal="left"/>
    </xf>
    <xf numFmtId="0" fontId="78" fillId="2" borderId="14" xfId="6" applyFill="1" applyBorder="1" applyAlignment="1">
      <alignment horizontal="center"/>
    </xf>
    <xf numFmtId="0" fontId="0" fillId="0" borderId="25" xfId="0" applyBorder="1"/>
    <xf numFmtId="0" fontId="0" fillId="0" borderId="25" xfId="0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56" fillId="0" borderId="0" xfId="0" applyFont="1" applyFill="1" applyBorder="1" applyAlignment="1" applyProtection="1">
      <alignment horizontal="center" vertical="center"/>
      <protection locked="0"/>
    </xf>
    <xf numFmtId="0" fontId="65" fillId="0" borderId="0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>
      <alignment horizontal="center" vertical="center"/>
    </xf>
    <xf numFmtId="49" fontId="56" fillId="0" borderId="10" xfId="0" applyNumberFormat="1" applyFont="1" applyBorder="1" applyAlignment="1" applyProtection="1">
      <alignment horizontal="center"/>
      <protection locked="0"/>
    </xf>
    <xf numFmtId="0" fontId="56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78" fillId="2" borderId="10" xfId="6" applyFill="1" applyBorder="1" applyAlignment="1">
      <alignment horizontal="center"/>
    </xf>
    <xf numFmtId="0" fontId="78" fillId="2" borderId="1" xfId="6" applyFill="1" applyBorder="1" applyAlignment="1">
      <alignment horizontal="center"/>
    </xf>
    <xf numFmtId="0" fontId="78" fillId="2" borderId="1" xfId="6" applyFill="1" applyBorder="1" applyAlignment="1">
      <alignment horizontal="left"/>
    </xf>
    <xf numFmtId="0" fontId="65" fillId="0" borderId="1" xfId="0" applyFont="1" applyFill="1" applyBorder="1" applyAlignment="1" applyProtection="1">
      <alignment horizontal="center" vertical="center"/>
      <protection locked="0"/>
    </xf>
    <xf numFmtId="0" fontId="0" fillId="2" borderId="15" xfId="6" applyFont="1" applyFill="1" applyBorder="1" applyAlignment="1">
      <alignment horizontal="center"/>
    </xf>
    <xf numFmtId="0" fontId="0" fillId="2" borderId="15" xfId="6" applyFont="1" applyFill="1" applyBorder="1" applyAlignment="1" applyProtection="1">
      <alignment horizontal="center"/>
      <protection hidden="1"/>
    </xf>
    <xf numFmtId="0" fontId="0" fillId="2" borderId="17" xfId="6" applyFont="1" applyFill="1" applyBorder="1" applyAlignment="1">
      <alignment horizontal="center"/>
    </xf>
    <xf numFmtId="0" fontId="56" fillId="0" borderId="8" xfId="0" applyFont="1" applyBorder="1" applyAlignment="1" applyProtection="1">
      <alignment horizontal="center" vertical="center"/>
      <protection locked="0"/>
    </xf>
    <xf numFmtId="0" fontId="56" fillId="0" borderId="9" xfId="0" applyFont="1" applyBorder="1" applyAlignment="1">
      <alignment horizontal="left"/>
    </xf>
    <xf numFmtId="0" fontId="56" fillId="0" borderId="9" xfId="0" applyFont="1" applyBorder="1" applyAlignment="1">
      <alignment horizontal="center" vertical="center"/>
    </xf>
    <xf numFmtId="0" fontId="56" fillId="0" borderId="10" xfId="0" applyFont="1" applyBorder="1" applyAlignment="1" applyProtection="1">
      <alignment horizontal="center" vertical="center"/>
      <protection locked="0"/>
    </xf>
    <xf numFmtId="0" fontId="59" fillId="0" borderId="1" xfId="0" applyFont="1" applyBorder="1"/>
    <xf numFmtId="0" fontId="68" fillId="0" borderId="1" xfId="0" applyFont="1" applyBorder="1" applyAlignment="1">
      <alignment horizontal="left"/>
    </xf>
    <xf numFmtId="49" fontId="56" fillId="0" borderId="10" xfId="6" applyNumberFormat="1" applyFont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69" fillId="0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left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69" fillId="0" borderId="12" xfId="0" applyFont="1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left"/>
      <protection locked="0"/>
    </xf>
    <xf numFmtId="0" fontId="63" fillId="0" borderId="0" xfId="0" applyFont="1" applyAlignment="1">
      <alignment horizontal="center"/>
    </xf>
    <xf numFmtId="0" fontId="0" fillId="2" borderId="24" xfId="0" applyFill="1" applyBorder="1" applyAlignment="1" applyProtection="1">
      <alignment horizontal="center"/>
      <protection locked="0"/>
    </xf>
    <xf numFmtId="0" fontId="65" fillId="0" borderId="25" xfId="0" applyFont="1" applyFill="1" applyBorder="1" applyAlignment="1" applyProtection="1">
      <alignment horizontal="center" vertical="center"/>
      <protection locked="0"/>
    </xf>
    <xf numFmtId="0" fontId="0" fillId="2" borderId="25" xfId="0" applyFill="1" applyBorder="1" applyAlignment="1" applyProtection="1">
      <alignment horizontal="left"/>
      <protection locked="0"/>
    </xf>
    <xf numFmtId="0" fontId="56" fillId="0" borderId="25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56" fillId="0" borderId="9" xfId="0" applyFont="1" applyBorder="1"/>
    <xf numFmtId="0" fontId="68" fillId="0" borderId="1" xfId="0" applyFont="1" applyBorder="1"/>
    <xf numFmtId="0" fontId="56" fillId="0" borderId="10" xfId="0" applyFont="1" applyBorder="1" applyAlignment="1">
      <alignment horizontal="center"/>
    </xf>
    <xf numFmtId="0" fontId="0" fillId="0" borderId="0" xfId="6" applyFont="1" applyBorder="1" applyAlignment="1">
      <alignment horizontal="left" indent="2"/>
    </xf>
    <xf numFmtId="0" fontId="0" fillId="2" borderId="0" xfId="0" applyFill="1" applyBorder="1" applyAlignment="1" applyProtection="1">
      <alignment horizontal="center"/>
      <protection locked="0"/>
    </xf>
    <xf numFmtId="0" fontId="55" fillId="0" borderId="9" xfId="0" applyFont="1" applyFill="1" applyBorder="1" applyAlignment="1" applyProtection="1">
      <alignment horizontal="center" vertical="center"/>
      <protection locked="0"/>
    </xf>
    <xf numFmtId="49" fontId="0" fillId="0" borderId="1" xfId="6" applyNumberFormat="1" applyFont="1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/>
      <protection locked="0"/>
    </xf>
    <xf numFmtId="0" fontId="55" fillId="0" borderId="1" xfId="0" applyFont="1" applyFill="1" applyBorder="1" applyAlignment="1" applyProtection="1">
      <alignment horizontal="center" vertical="center"/>
      <protection locked="0"/>
    </xf>
    <xf numFmtId="0" fontId="78" fillId="2" borderId="14" xfId="6" applyFill="1" applyBorder="1"/>
    <xf numFmtId="0" fontId="78" fillId="2" borderId="17" xfId="6" applyFill="1" applyBorder="1"/>
    <xf numFmtId="0" fontId="0" fillId="2" borderId="0" xfId="6" applyFont="1" applyFill="1" applyBorder="1"/>
    <xf numFmtId="0" fontId="78" fillId="0" borderId="0" xfId="6"/>
    <xf numFmtId="0" fontId="78" fillId="2" borderId="24" xfId="6" applyFill="1" applyBorder="1" applyAlignment="1">
      <alignment horizontal="center"/>
    </xf>
    <xf numFmtId="0" fontId="53" fillId="0" borderId="0" xfId="6" applyFont="1" applyBorder="1" applyAlignment="1">
      <alignment horizontal="center" vertical="center"/>
    </xf>
    <xf numFmtId="0" fontId="78" fillId="2" borderId="45" xfId="6" applyFill="1" applyBorder="1" applyAlignment="1">
      <alignment horizontal="center"/>
    </xf>
    <xf numFmtId="0" fontId="78" fillId="2" borderId="46" xfId="6" applyFill="1" applyBorder="1" applyAlignment="1">
      <alignment horizontal="center"/>
    </xf>
    <xf numFmtId="0" fontId="78" fillId="2" borderId="46" xfId="6" applyFill="1" applyBorder="1"/>
    <xf numFmtId="0" fontId="78" fillId="2" borderId="47" xfId="6" applyFill="1" applyBorder="1"/>
    <xf numFmtId="0" fontId="57" fillId="0" borderId="34" xfId="0" applyFont="1" applyFill="1" applyBorder="1" applyAlignment="1" applyProtection="1">
      <alignment horizontal="center" vertical="center"/>
      <protection locked="0"/>
    </xf>
    <xf numFmtId="0" fontId="56" fillId="0" borderId="9" xfId="0" applyFont="1" applyBorder="1" applyAlignment="1" applyProtection="1">
      <alignment horizontal="center" vertical="center"/>
      <protection locked="0"/>
    </xf>
    <xf numFmtId="49" fontId="56" fillId="0" borderId="1" xfId="6" applyNumberFormat="1" applyFont="1" applyBorder="1" applyAlignment="1" applyProtection="1">
      <alignment horizontal="center"/>
      <protection locked="0"/>
    </xf>
    <xf numFmtId="49" fontId="56" fillId="0" borderId="33" xfId="0" applyNumberFormat="1" applyFont="1" applyBorder="1" applyAlignment="1" applyProtection="1">
      <alignment horizontal="center"/>
      <protection locked="0"/>
    </xf>
    <xf numFmtId="0" fontId="0" fillId="0" borderId="48" xfId="0" applyFill="1" applyBorder="1" applyAlignment="1">
      <alignment horizontal="center"/>
    </xf>
    <xf numFmtId="0" fontId="62" fillId="0" borderId="14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78" fillId="2" borderId="25" xfId="6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56" fillId="2" borderId="25" xfId="0" applyFont="1" applyFill="1" applyBorder="1" applyAlignment="1">
      <alignment horizontal="center"/>
    </xf>
    <xf numFmtId="0" fontId="5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6" fillId="2" borderId="9" xfId="0" applyFont="1" applyFill="1" applyBorder="1"/>
    <xf numFmtId="0" fontId="56" fillId="2" borderId="9" xfId="0" applyFont="1" applyFill="1" applyBorder="1" applyAlignment="1">
      <alignment horizontal="center"/>
    </xf>
    <xf numFmtId="0" fontId="56" fillId="2" borderId="14" xfId="0" applyFont="1" applyFill="1" applyBorder="1"/>
    <xf numFmtId="0" fontId="0" fillId="0" borderId="46" xfId="0" applyBorder="1"/>
    <xf numFmtId="0" fontId="55" fillId="0" borderId="49" xfId="0" applyFont="1" applyFill="1" applyBorder="1" applyAlignment="1" applyProtection="1">
      <alignment horizontal="center" vertical="center"/>
      <protection locked="0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78" fillId="0" borderId="0" xfId="6" applyFill="1" applyBorder="1"/>
    <xf numFmtId="0" fontId="56" fillId="2" borderId="0" xfId="0" applyFont="1" applyFill="1" applyBorder="1"/>
    <xf numFmtId="0" fontId="0" fillId="2" borderId="0" xfId="0" applyFill="1" applyBorder="1" applyAlignment="1">
      <alignment horizontal="center"/>
    </xf>
    <xf numFmtId="0" fontId="56" fillId="2" borderId="27" xfId="0" applyFont="1" applyFill="1" applyBorder="1"/>
    <xf numFmtId="0" fontId="56" fillId="2" borderId="27" xfId="0" applyFont="1" applyFill="1" applyBorder="1" applyAlignment="1">
      <alignment horizontal="center"/>
    </xf>
    <xf numFmtId="0" fontId="0" fillId="0" borderId="50" xfId="0" applyBorder="1"/>
    <xf numFmtId="0" fontId="56" fillId="2" borderId="0" xfId="0" applyFont="1" applyFill="1" applyBorder="1" applyAlignment="1" applyProtection="1">
      <alignment horizontal="center"/>
      <protection locked="0"/>
    </xf>
    <xf numFmtId="0" fontId="78" fillId="0" borderId="12" xfId="6" applyBorder="1"/>
    <xf numFmtId="0" fontId="0" fillId="2" borderId="12" xfId="6" applyFont="1" applyFill="1" applyBorder="1"/>
    <xf numFmtId="0" fontId="78" fillId="0" borderId="12" xfId="6" applyBorder="1" applyAlignment="1">
      <alignment horizontal="center" vertical="center"/>
    </xf>
    <xf numFmtId="0" fontId="78" fillId="0" borderId="17" xfId="6" applyBorder="1" applyAlignment="1">
      <alignment horizontal="center"/>
    </xf>
    <xf numFmtId="0" fontId="0" fillId="0" borderId="17" xfId="0" applyBorder="1" applyAlignment="1">
      <alignment horizontal="center"/>
    </xf>
    <xf numFmtId="0" fontId="56" fillId="0" borderId="25" xfId="0" applyFont="1" applyFill="1" applyBorder="1" applyAlignment="1" applyProtection="1">
      <alignment horizontal="center" vertical="center"/>
      <protection locked="0"/>
    </xf>
    <xf numFmtId="0" fontId="65" fillId="0" borderId="25" xfId="0" applyFont="1" applyFill="1" applyBorder="1" applyAlignment="1" applyProtection="1">
      <alignment vertical="center"/>
      <protection locked="0"/>
    </xf>
    <xf numFmtId="0" fontId="0" fillId="2" borderId="25" xfId="6" applyFont="1" applyFill="1" applyBorder="1" applyAlignment="1">
      <alignment horizontal="center"/>
    </xf>
    <xf numFmtId="0" fontId="0" fillId="2" borderId="1" xfId="0" applyFont="1" applyFill="1" applyBorder="1" applyAlignment="1" applyProtection="1">
      <alignment horizontal="center"/>
      <protection locked="0"/>
    </xf>
    <xf numFmtId="0" fontId="0" fillId="2" borderId="1" xfId="0" applyFont="1" applyFill="1" applyBorder="1" applyProtection="1">
      <protection locked="0"/>
    </xf>
    <xf numFmtId="0" fontId="65" fillId="0" borderId="1" xfId="0" applyFont="1" applyFill="1" applyBorder="1" applyAlignment="1" applyProtection="1">
      <alignment vertical="center"/>
      <protection locked="0"/>
    </xf>
    <xf numFmtId="0" fontId="0" fillId="2" borderId="1" xfId="6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56" fillId="2" borderId="1" xfId="0" applyFont="1" applyFill="1" applyBorder="1" applyProtection="1">
      <protection locked="0"/>
    </xf>
    <xf numFmtId="0" fontId="70" fillId="4" borderId="15" xfId="0" applyFont="1" applyFill="1" applyBorder="1" applyAlignment="1">
      <alignment horizontal="center"/>
    </xf>
    <xf numFmtId="0" fontId="78" fillId="2" borderId="18" xfId="6" applyFill="1" applyBorder="1" applyAlignment="1">
      <alignment horizontal="center"/>
    </xf>
    <xf numFmtId="0" fontId="0" fillId="2" borderId="29" xfId="0" applyFont="1" applyFill="1" applyBorder="1" applyAlignment="1">
      <alignment horizontal="center"/>
    </xf>
    <xf numFmtId="0" fontId="0" fillId="2" borderId="1" xfId="6" applyFont="1" applyFill="1" applyBorder="1"/>
    <xf numFmtId="0" fontId="56" fillId="2" borderId="1" xfId="0" applyFont="1" applyFill="1" applyBorder="1" applyAlignment="1" applyProtection="1">
      <alignment horizontal="left" vertical="center"/>
      <protection locked="0"/>
    </xf>
    <xf numFmtId="0" fontId="56" fillId="0" borderId="11" xfId="0" applyFont="1" applyFill="1" applyBorder="1" applyAlignment="1" applyProtection="1">
      <alignment horizontal="center" vertical="center"/>
      <protection locked="0"/>
    </xf>
    <xf numFmtId="0" fontId="65" fillId="0" borderId="11" xfId="0" applyFont="1" applyFill="1" applyBorder="1" applyAlignment="1" applyProtection="1">
      <alignment horizontal="center" vertical="center"/>
      <protection locked="0"/>
    </xf>
    <xf numFmtId="0" fontId="65" fillId="0" borderId="11" xfId="0" applyFont="1" applyFill="1" applyBorder="1" applyAlignment="1" applyProtection="1">
      <alignment vertical="center"/>
      <protection locked="0"/>
    </xf>
    <xf numFmtId="0" fontId="0" fillId="2" borderId="11" xfId="6" applyFont="1" applyFill="1" applyBorder="1" applyAlignment="1">
      <alignment horizontal="center"/>
    </xf>
    <xf numFmtId="0" fontId="70" fillId="4" borderId="16" xfId="0" applyFont="1" applyFill="1" applyBorder="1" applyAlignment="1">
      <alignment horizontal="center"/>
    </xf>
    <xf numFmtId="0" fontId="56" fillId="0" borderId="46" xfId="0" applyFont="1" applyFill="1" applyBorder="1" applyAlignment="1" applyProtection="1">
      <alignment horizontal="center" vertical="center"/>
      <protection locked="0"/>
    </xf>
    <xf numFmtId="0" fontId="65" fillId="0" borderId="46" xfId="0" applyFont="1" applyFill="1" applyBorder="1" applyAlignment="1" applyProtection="1">
      <alignment horizontal="center" vertical="center"/>
      <protection locked="0"/>
    </xf>
    <xf numFmtId="0" fontId="65" fillId="0" borderId="46" xfId="0" applyFont="1" applyFill="1" applyBorder="1" applyAlignment="1" applyProtection="1">
      <alignment vertical="center"/>
      <protection locked="0"/>
    </xf>
    <xf numFmtId="0" fontId="0" fillId="2" borderId="46" xfId="6" applyFont="1" applyFill="1" applyBorder="1" applyAlignment="1">
      <alignment horizontal="center"/>
    </xf>
    <xf numFmtId="0" fontId="70" fillId="4" borderId="47" xfId="0" applyFont="1" applyFill="1" applyBorder="1" applyAlignment="1">
      <alignment horizontal="center"/>
    </xf>
    <xf numFmtId="0" fontId="53" fillId="0" borderId="0" xfId="6" quotePrefix="1" applyFont="1" applyBorder="1" applyAlignment="1">
      <alignment horizontal="center" vertical="center"/>
    </xf>
    <xf numFmtId="0" fontId="0" fillId="0" borderId="0" xfId="6" quotePrefix="1" applyFont="1" applyBorder="1" applyAlignment="1">
      <alignment horizontal="center" vertical="center"/>
    </xf>
    <xf numFmtId="0" fontId="55" fillId="0" borderId="14" xfId="0" quotePrefix="1" applyFont="1" applyFill="1" applyBorder="1" applyAlignment="1" applyProtection="1">
      <alignment horizontal="center" vertical="center"/>
      <protection locked="0"/>
    </xf>
    <xf numFmtId="0" fontId="55" fillId="0" borderId="29" xfId="6" quotePrefix="1" applyFont="1" applyFill="1" applyBorder="1" applyAlignment="1" applyProtection="1">
      <alignment horizontal="center" vertical="center"/>
      <protection locked="0"/>
    </xf>
    <xf numFmtId="0" fontId="55" fillId="0" borderId="44" xfId="0" quotePrefix="1" applyFont="1" applyFill="1" applyBorder="1" applyAlignment="1" applyProtection="1">
      <alignment horizontal="center" vertical="center"/>
      <protection locked="0"/>
    </xf>
    <xf numFmtId="0" fontId="0" fillId="0" borderId="0" xfId="0" quotePrefix="1" applyBorder="1"/>
    <xf numFmtId="0" fontId="55" fillId="0" borderId="29" xfId="0" quotePrefix="1" applyFont="1" applyFill="1" applyBorder="1" applyAlignment="1" applyProtection="1">
      <alignment horizontal="center" vertical="center"/>
      <protection locked="0"/>
    </xf>
    <xf numFmtId="0" fontId="46" fillId="0" borderId="2" xfId="0" quotePrefix="1" applyFont="1" applyBorder="1" applyAlignment="1">
      <alignment vertical="center" wrapText="1"/>
    </xf>
    <xf numFmtId="0" fontId="41" fillId="0" borderId="0" xfId="0" applyFont="1"/>
    <xf numFmtId="0" fontId="54" fillId="2" borderId="0" xfId="0" applyFont="1" applyFill="1" applyBorder="1"/>
    <xf numFmtId="0" fontId="54" fillId="2" borderId="0" xfId="0" applyFont="1" applyFill="1" applyBorder="1" applyAlignment="1" applyProtection="1">
      <alignment horizontal="center"/>
      <protection locked="0"/>
    </xf>
    <xf numFmtId="0" fontId="54" fillId="0" borderId="0" xfId="0" applyFont="1" applyBorder="1" applyAlignment="1">
      <alignment horizontal="left"/>
    </xf>
    <xf numFmtId="0" fontId="79" fillId="0" borderId="1" xfId="0" applyFont="1" applyBorder="1"/>
    <xf numFmtId="0" fontId="79" fillId="0" borderId="0" xfId="0" applyFont="1" applyBorder="1" applyAlignment="1">
      <alignment horizontal="center"/>
    </xf>
    <xf numFmtId="0" fontId="80" fillId="0" borderId="1" xfId="0" applyFont="1" applyBorder="1"/>
    <xf numFmtId="0" fontId="81" fillId="0" borderId="53" xfId="6" quotePrefix="1" applyFont="1" applyBorder="1" applyAlignment="1" applyProtection="1">
      <alignment horizontal="center" vertical="center"/>
      <protection locked="0"/>
    </xf>
    <xf numFmtId="0" fontId="55" fillId="0" borderId="54" xfId="0" applyFont="1" applyFill="1" applyBorder="1" applyAlignment="1" applyProtection="1">
      <alignment horizontal="center" vertical="center"/>
      <protection locked="0"/>
    </xf>
    <xf numFmtId="0" fontId="0" fillId="0" borderId="55" xfId="0" applyBorder="1" applyAlignment="1">
      <alignment horizontal="center"/>
    </xf>
    <xf numFmtId="0" fontId="0" fillId="0" borderId="56" xfId="0" applyBorder="1"/>
    <xf numFmtId="0" fontId="0" fillId="0" borderId="56" xfId="0" applyBorder="1" applyAlignment="1">
      <alignment horizontal="center"/>
    </xf>
    <xf numFmtId="0" fontId="79" fillId="0" borderId="1" xfId="0" applyFont="1" applyBorder="1" applyAlignment="1">
      <alignment horizontal="center"/>
    </xf>
    <xf numFmtId="0" fontId="79" fillId="0" borderId="1" xfId="0" applyFont="1" applyFill="1" applyBorder="1" applyAlignment="1">
      <alignment horizontal="left"/>
    </xf>
    <xf numFmtId="0" fontId="79" fillId="0" borderId="10" xfId="0" applyFont="1" applyFill="1" applyBorder="1" applyAlignment="1" applyProtection="1">
      <alignment horizontal="center" vertical="center"/>
      <protection locked="0"/>
    </xf>
    <xf numFmtId="0" fontId="79" fillId="0" borderId="1" xfId="0" applyFont="1" applyFill="1" applyBorder="1" applyAlignment="1">
      <alignment horizontal="center"/>
    </xf>
    <xf numFmtId="0" fontId="79" fillId="0" borderId="15" xfId="0" applyFont="1" applyFill="1" applyBorder="1" applyAlignment="1">
      <alignment horizontal="center"/>
    </xf>
    <xf numFmtId="0" fontId="79" fillId="0" borderId="0" xfId="0" applyFont="1"/>
    <xf numFmtId="0" fontId="0" fillId="0" borderId="59" xfId="0" applyFill="1" applyBorder="1" applyAlignment="1">
      <alignment horizontal="center"/>
    </xf>
    <xf numFmtId="0" fontId="57" fillId="0" borderId="0" xfId="0" quotePrefix="1" applyFont="1" applyFill="1" applyBorder="1" applyAlignment="1" applyProtection="1">
      <alignment horizontal="center" vertical="center"/>
      <protection locked="0"/>
    </xf>
    <xf numFmtId="0" fontId="39" fillId="0" borderId="0" xfId="0" applyFont="1"/>
    <xf numFmtId="0" fontId="79" fillId="2" borderId="0" xfId="0" applyFont="1" applyFill="1" applyBorder="1" applyAlignment="1">
      <alignment horizontal="center"/>
    </xf>
    <xf numFmtId="0" fontId="79" fillId="2" borderId="0" xfId="0" applyFont="1" applyFill="1" applyBorder="1"/>
    <xf numFmtId="0" fontId="38" fillId="0" borderId="0" xfId="0" applyFont="1" applyBorder="1" applyAlignment="1">
      <alignment horizontal="left"/>
    </xf>
    <xf numFmtId="49" fontId="79" fillId="0" borderId="1" xfId="0" applyNumberFormat="1" applyFont="1" applyFill="1" applyBorder="1" applyAlignment="1" applyProtection="1">
      <alignment horizontal="center"/>
      <protection locked="0"/>
    </xf>
    <xf numFmtId="0" fontId="79" fillId="0" borderId="0" xfId="0" applyFont="1" applyFill="1" applyBorder="1" applyAlignment="1">
      <alignment horizontal="center"/>
    </xf>
    <xf numFmtId="0" fontId="56" fillId="0" borderId="60" xfId="0" applyFont="1" applyBorder="1"/>
    <xf numFmtId="0" fontId="54" fillId="0" borderId="60" xfId="0" quotePrefix="1" applyFont="1" applyBorder="1"/>
    <xf numFmtId="0" fontId="56" fillId="0" borderId="56" xfId="0" applyFont="1" applyFill="1" applyBorder="1" applyAlignment="1">
      <alignment horizontal="center"/>
    </xf>
    <xf numFmtId="0" fontId="56" fillId="0" borderId="62" xfId="0" applyFont="1" applyFill="1" applyBorder="1" applyAlignment="1" applyProtection="1">
      <alignment horizontal="center" vertical="center"/>
      <protection locked="0"/>
    </xf>
    <xf numFmtId="0" fontId="56" fillId="0" borderId="60" xfId="0" quotePrefix="1" applyFont="1" applyBorder="1"/>
    <xf numFmtId="0" fontId="0" fillId="0" borderId="60" xfId="0" quotePrefix="1" applyFont="1" applyBorder="1"/>
    <xf numFmtId="0" fontId="56" fillId="2" borderId="56" xfId="0" applyFont="1" applyFill="1" applyBorder="1"/>
    <xf numFmtId="0" fontId="40" fillId="0" borderId="0" xfId="0" applyFont="1" applyBorder="1" applyAlignment="1">
      <alignment horizontal="left"/>
    </xf>
    <xf numFmtId="0" fontId="79" fillId="0" borderId="0" xfId="0" applyFont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37" fillId="0" borderId="0" xfId="0" applyFont="1" applyBorder="1"/>
    <xf numFmtId="0" fontId="79" fillId="0" borderId="0" xfId="0" applyFont="1" applyFill="1" applyBorder="1"/>
    <xf numFmtId="0" fontId="35" fillId="0" borderId="0" xfId="0" applyFont="1"/>
    <xf numFmtId="0" fontId="85" fillId="0" borderId="0" xfId="0" applyFont="1"/>
    <xf numFmtId="0" fontId="64" fillId="3" borderId="37" xfId="6" applyFont="1" applyFill="1" applyBorder="1" applyAlignment="1">
      <alignment horizontal="center" vertical="center"/>
    </xf>
    <xf numFmtId="0" fontId="53" fillId="3" borderId="37" xfId="6" applyFont="1" applyFill="1" applyBorder="1" applyAlignment="1">
      <alignment horizontal="center" vertical="center"/>
    </xf>
    <xf numFmtId="0" fontId="53" fillId="3" borderId="42" xfId="6" applyFont="1" applyFill="1" applyBorder="1" applyAlignment="1">
      <alignment horizontal="center" vertical="center"/>
    </xf>
    <xf numFmtId="0" fontId="53" fillId="3" borderId="38" xfId="6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6" applyFont="1" applyBorder="1" applyAlignment="1">
      <alignment horizontal="center" vertical="center"/>
    </xf>
    <xf numFmtId="0" fontId="52" fillId="0" borderId="0" xfId="6" applyFont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0" fontId="56" fillId="0" borderId="25" xfId="0" applyFont="1" applyBorder="1" applyAlignment="1">
      <alignment horizontal="left"/>
    </xf>
    <xf numFmtId="0" fontId="55" fillId="0" borderId="44" xfId="0" quotePrefix="1" applyFont="1" applyFill="1" applyBorder="1" applyAlignment="1" applyProtection="1">
      <alignment horizontal="left" vertical="center"/>
      <protection locked="0"/>
    </xf>
    <xf numFmtId="0" fontId="55" fillId="0" borderId="1" xfId="0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/>
    </xf>
    <xf numFmtId="49" fontId="0" fillId="0" borderId="1" xfId="6" applyNumberFormat="1" applyFont="1" applyFill="1" applyBorder="1" applyAlignment="1" applyProtection="1">
      <alignment horizontal="left"/>
      <protection locked="0"/>
    </xf>
    <xf numFmtId="0" fontId="0" fillId="0" borderId="1" xfId="0" applyBorder="1" applyAlignment="1">
      <alignment horizontal="left" vertical="center"/>
    </xf>
    <xf numFmtId="49" fontId="0" fillId="0" borderId="1" xfId="0" applyNumberFormat="1" applyFill="1" applyBorder="1" applyAlignment="1" applyProtection="1">
      <alignment horizontal="left"/>
      <protection locked="0"/>
    </xf>
    <xf numFmtId="0" fontId="57" fillId="0" borderId="1" xfId="0" applyFont="1" applyFill="1" applyBorder="1" applyAlignment="1" applyProtection="1">
      <alignment horizontal="left" vertical="center"/>
      <protection locked="0"/>
    </xf>
    <xf numFmtId="0" fontId="86" fillId="0" borderId="1" xfId="0" applyFont="1" applyFill="1" applyBorder="1" applyAlignment="1">
      <alignment horizontal="left"/>
    </xf>
    <xf numFmtId="0" fontId="86" fillId="0" borderId="1" xfId="0" applyFont="1" applyBorder="1" applyAlignment="1">
      <alignment horizontal="left"/>
    </xf>
    <xf numFmtId="0" fontId="57" fillId="0" borderId="44" xfId="0" quotePrefix="1" applyFont="1" applyFill="1" applyBorder="1" applyAlignment="1" applyProtection="1">
      <alignment horizontal="left" vertical="center"/>
      <protection locked="0"/>
    </xf>
    <xf numFmtId="0" fontId="87" fillId="0" borderId="1" xfId="0" applyFont="1" applyBorder="1"/>
    <xf numFmtId="0" fontId="87" fillId="0" borderId="1" xfId="0" applyFont="1" applyBorder="1" applyAlignment="1">
      <alignment horizontal="left"/>
    </xf>
    <xf numFmtId="0" fontId="54" fillId="2" borderId="1" xfId="6" applyFont="1" applyFill="1" applyBorder="1" applyAlignment="1">
      <alignment horizontal="left"/>
    </xf>
    <xf numFmtId="49" fontId="0" fillId="0" borderId="25" xfId="6" applyNumberFormat="1" applyFont="1" applyFill="1" applyBorder="1" applyAlignment="1" applyProtection="1">
      <alignment horizontal="left"/>
      <protection locked="0"/>
    </xf>
    <xf numFmtId="0" fontId="0" fillId="0" borderId="25" xfId="0" applyBorder="1" applyAlignment="1">
      <alignment horizontal="left" vertical="center"/>
    </xf>
    <xf numFmtId="0" fontId="55" fillId="0" borderId="14" xfId="6" quotePrefix="1" applyFont="1" applyFill="1" applyBorder="1" applyAlignment="1" applyProtection="1">
      <alignment horizontal="center" vertical="center"/>
      <protection locked="0"/>
    </xf>
    <xf numFmtId="0" fontId="55" fillId="0" borderId="0" xfId="0" quotePrefix="1" applyFont="1" applyFill="1" applyBorder="1" applyAlignment="1" applyProtection="1">
      <alignment horizontal="left" vertical="center"/>
      <protection locked="0"/>
    </xf>
    <xf numFmtId="0" fontId="55" fillId="0" borderId="44" xfId="6" quotePrefix="1" applyFont="1" applyFill="1" applyBorder="1" applyAlignment="1" applyProtection="1">
      <alignment horizontal="center" vertical="center"/>
      <protection locked="0"/>
    </xf>
    <xf numFmtId="0" fontId="0" fillId="0" borderId="44" xfId="0" applyBorder="1"/>
    <xf numFmtId="0" fontId="55" fillId="0" borderId="0" xfId="6" quotePrefix="1" applyFont="1" applyFill="1" applyBorder="1" applyAlignment="1" applyProtection="1">
      <alignment horizontal="center" vertical="center"/>
      <protection locked="0"/>
    </xf>
    <xf numFmtId="0" fontId="55" fillId="0" borderId="29" xfId="0" quotePrefix="1" applyFont="1" applyFill="1" applyBorder="1" applyAlignment="1" applyProtection="1">
      <alignment horizontal="left" vertical="center"/>
      <protection locked="0"/>
    </xf>
    <xf numFmtId="0" fontId="55" fillId="0" borderId="14" xfId="0" quotePrefix="1" applyFont="1" applyFill="1" applyBorder="1" applyAlignment="1" applyProtection="1">
      <alignment horizontal="left" vertical="center"/>
      <protection locked="0"/>
    </xf>
    <xf numFmtId="0" fontId="55" fillId="0" borderId="0" xfId="0" quotePrefix="1" applyFont="1" applyFill="1" applyBorder="1" applyAlignment="1" applyProtection="1">
      <alignment horizontal="center" vertical="center"/>
      <protection locked="0"/>
    </xf>
    <xf numFmtId="0" fontId="87" fillId="0" borderId="9" xfId="0" applyFont="1" applyBorder="1"/>
    <xf numFmtId="0" fontId="53" fillId="3" borderId="0" xfId="6" applyFont="1" applyFill="1" applyBorder="1" applyAlignment="1">
      <alignment horizontal="center" vertical="center"/>
    </xf>
    <xf numFmtId="0" fontId="67" fillId="2" borderId="0" xfId="6" applyFont="1" applyFill="1" applyBorder="1" applyAlignment="1">
      <alignment horizontal="center"/>
    </xf>
    <xf numFmtId="0" fontId="78" fillId="2" borderId="0" xfId="6" applyFill="1" applyBorder="1" applyAlignment="1">
      <alignment horizontal="center"/>
    </xf>
    <xf numFmtId="0" fontId="0" fillId="2" borderId="0" xfId="6" applyFont="1" applyFill="1" applyBorder="1" applyAlignment="1">
      <alignment horizontal="center"/>
    </xf>
    <xf numFmtId="0" fontId="0" fillId="2" borderId="0" xfId="6" applyFont="1" applyFill="1" applyBorder="1" applyAlignment="1" applyProtection="1">
      <alignment horizontal="center"/>
      <protection hidden="1"/>
    </xf>
    <xf numFmtId="0" fontId="53" fillId="0" borderId="0" xfId="6" applyFont="1" applyFill="1" applyBorder="1" applyAlignment="1">
      <alignment horizontal="center" vertical="center"/>
    </xf>
    <xf numFmtId="0" fontId="58" fillId="0" borderId="1" xfId="0" applyFont="1" applyFill="1" applyBorder="1" applyAlignment="1" applyProtection="1">
      <alignment horizontal="center" vertical="center"/>
      <protection locked="0"/>
    </xf>
    <xf numFmtId="49" fontId="88" fillId="0" borderId="1" xfId="0" applyNumberFormat="1" applyFont="1" applyFill="1" applyBorder="1" applyAlignment="1" applyProtection="1">
      <alignment horizontal="center"/>
      <protection locked="0"/>
    </xf>
    <xf numFmtId="49" fontId="88" fillId="0" borderId="1" xfId="6" applyNumberFormat="1" applyFont="1" applyFill="1" applyBorder="1" applyAlignment="1" applyProtection="1">
      <alignment horizontal="center"/>
      <protection locked="0"/>
    </xf>
    <xf numFmtId="0" fontId="89" fillId="2" borderId="1" xfId="0" applyFont="1" applyFill="1" applyBorder="1" applyAlignment="1" applyProtection="1">
      <alignment horizontal="center"/>
      <protection locked="0"/>
    </xf>
    <xf numFmtId="0" fontId="89" fillId="2" borderId="9" xfId="0" applyFont="1" applyFill="1" applyBorder="1" applyAlignment="1" applyProtection="1">
      <alignment horizontal="center"/>
      <protection locked="0"/>
    </xf>
    <xf numFmtId="49" fontId="89" fillId="0" borderId="1" xfId="0" applyNumberFormat="1" applyFont="1" applyFill="1" applyBorder="1" applyAlignment="1" applyProtection="1">
      <alignment horizontal="left"/>
      <protection locked="0"/>
    </xf>
    <xf numFmtId="49" fontId="88" fillId="0" borderId="1" xfId="0" applyNumberFormat="1" applyFont="1" applyFill="1" applyBorder="1" applyAlignment="1" applyProtection="1">
      <alignment horizontal="left"/>
      <protection locked="0"/>
    </xf>
    <xf numFmtId="0" fontId="0" fillId="0" borderId="59" xfId="0" applyFill="1" applyBorder="1" applyAlignment="1">
      <alignment horizontal="left"/>
    </xf>
    <xf numFmtId="49" fontId="89" fillId="0" borderId="1" xfId="0" applyNumberFormat="1" applyFont="1" applyFill="1" applyBorder="1" applyAlignment="1" applyProtection="1">
      <alignment horizontal="center"/>
      <protection locked="0"/>
    </xf>
    <xf numFmtId="0" fontId="56" fillId="2" borderId="63" xfId="6" applyFont="1" applyFill="1" applyBorder="1" applyAlignment="1">
      <alignment horizontal="center"/>
    </xf>
    <xf numFmtId="0" fontId="58" fillId="0" borderId="63" xfId="0" applyFont="1" applyFill="1" applyBorder="1" applyAlignment="1" applyProtection="1">
      <alignment horizontal="center" vertical="center"/>
      <protection locked="0"/>
    </xf>
    <xf numFmtId="0" fontId="56" fillId="0" borderId="63" xfId="0" applyFont="1" applyFill="1" applyBorder="1" applyAlignment="1">
      <alignment horizontal="center"/>
    </xf>
    <xf numFmtId="0" fontId="56" fillId="2" borderId="64" xfId="6" applyFont="1" applyFill="1" applyBorder="1" applyAlignment="1">
      <alignment horizontal="center"/>
    </xf>
    <xf numFmtId="0" fontId="58" fillId="0" borderId="65" xfId="0" applyFont="1" applyFill="1" applyBorder="1" applyAlignment="1" applyProtection="1">
      <alignment horizontal="center" vertical="center"/>
      <protection locked="0"/>
    </xf>
    <xf numFmtId="0" fontId="56" fillId="0" borderId="65" xfId="0" applyFont="1" applyFill="1" applyBorder="1" applyAlignment="1">
      <alignment horizontal="center"/>
    </xf>
    <xf numFmtId="0" fontId="56" fillId="0" borderId="65" xfId="0" applyFont="1" applyBorder="1"/>
    <xf numFmtId="0" fontId="56" fillId="0" borderId="65" xfId="0" applyFont="1" applyBorder="1" applyAlignment="1">
      <alignment horizontal="center"/>
    </xf>
    <xf numFmtId="0" fontId="58" fillId="0" borderId="66" xfId="0" quotePrefix="1" applyFont="1" applyFill="1" applyBorder="1" applyAlignment="1" applyProtection="1">
      <alignment horizontal="center" vertical="center"/>
      <protection locked="0"/>
    </xf>
    <xf numFmtId="0" fontId="56" fillId="2" borderId="60" xfId="6" applyFont="1" applyFill="1" applyBorder="1" applyAlignment="1">
      <alignment horizontal="center"/>
    </xf>
    <xf numFmtId="0" fontId="56" fillId="2" borderId="55" xfId="6" applyFont="1" applyFill="1" applyBorder="1" applyAlignment="1">
      <alignment horizontal="center"/>
    </xf>
    <xf numFmtId="0" fontId="56" fillId="0" borderId="63" xfId="0" applyFont="1" applyFill="1" applyBorder="1" applyAlignment="1" applyProtection="1">
      <alignment horizontal="center" vertical="center"/>
      <protection locked="0"/>
    </xf>
    <xf numFmtId="0" fontId="78" fillId="2" borderId="64" xfId="6" applyFill="1" applyBorder="1" applyAlignment="1">
      <alignment horizontal="center"/>
    </xf>
    <xf numFmtId="0" fontId="78" fillId="2" borderId="60" xfId="6" applyFill="1" applyBorder="1" applyAlignment="1">
      <alignment horizontal="center"/>
    </xf>
    <xf numFmtId="0" fontId="78" fillId="2" borderId="55" xfId="6" applyFill="1" applyBorder="1" applyAlignment="1">
      <alignment horizontal="center"/>
    </xf>
    <xf numFmtId="0" fontId="56" fillId="0" borderId="63" xfId="0" applyFont="1" applyFill="1" applyBorder="1"/>
    <xf numFmtId="0" fontId="59" fillId="0" borderId="63" xfId="0" applyFont="1" applyFill="1" applyBorder="1"/>
    <xf numFmtId="0" fontId="56" fillId="0" borderId="63" xfId="0" applyFont="1" applyFill="1" applyBorder="1" applyAlignment="1" applyProtection="1">
      <alignment horizontal="left" vertical="center"/>
      <protection locked="0"/>
    </xf>
    <xf numFmtId="49" fontId="56" fillId="0" borderId="65" xfId="6" applyNumberFormat="1" applyFont="1" applyFill="1" applyBorder="1" applyAlignment="1" applyProtection="1">
      <alignment horizontal="center"/>
      <protection locked="0"/>
    </xf>
    <xf numFmtId="0" fontId="56" fillId="0" borderId="65" xfId="0" applyFont="1" applyBorder="1" applyAlignment="1">
      <alignment horizontal="center" vertical="center"/>
    </xf>
    <xf numFmtId="0" fontId="56" fillId="0" borderId="61" xfId="0" applyFont="1" applyFill="1" applyBorder="1" applyAlignment="1">
      <alignment horizontal="center"/>
    </xf>
    <xf numFmtId="0" fontId="56" fillId="2" borderId="61" xfId="6" applyFont="1" applyFill="1" applyBorder="1" applyAlignment="1">
      <alignment horizontal="center"/>
    </xf>
    <xf numFmtId="0" fontId="56" fillId="2" borderId="61" xfId="6" applyFont="1" applyFill="1" applyBorder="1" applyAlignment="1" applyProtection="1">
      <alignment horizontal="center"/>
      <protection hidden="1"/>
    </xf>
    <xf numFmtId="0" fontId="56" fillId="0" borderId="56" xfId="0" applyFont="1" applyFill="1" applyBorder="1" applyAlignment="1" applyProtection="1">
      <alignment horizontal="center" vertical="center"/>
      <protection locked="0"/>
    </xf>
    <xf numFmtId="0" fontId="56" fillId="0" borderId="56" xfId="0" applyFont="1" applyFill="1" applyBorder="1" applyAlignment="1" applyProtection="1">
      <alignment horizontal="left" vertical="center"/>
      <protection locked="0"/>
    </xf>
    <xf numFmtId="0" fontId="56" fillId="2" borderId="57" xfId="6" applyFont="1" applyFill="1" applyBorder="1" applyAlignment="1">
      <alignment horizontal="center"/>
    </xf>
    <xf numFmtId="0" fontId="81" fillId="0" borderId="0" xfId="0" quotePrefix="1" applyFont="1" applyBorder="1" applyAlignment="1" applyProtection="1">
      <alignment horizontal="center" vertical="center"/>
      <protection locked="0"/>
    </xf>
    <xf numFmtId="0" fontId="80" fillId="0" borderId="0" xfId="0" applyFont="1" applyFill="1" applyBorder="1"/>
    <xf numFmtId="0" fontId="81" fillId="0" borderId="0" xfId="0" applyFont="1" applyBorder="1" applyAlignment="1" applyProtection="1">
      <alignment vertical="center"/>
      <protection locked="0"/>
    </xf>
    <xf numFmtId="0" fontId="56" fillId="2" borderId="0" xfId="0" applyFont="1" applyFill="1" applyBorder="1" applyAlignment="1"/>
    <xf numFmtId="0" fontId="87" fillId="2" borderId="0" xfId="0" applyFont="1" applyFill="1" applyBorder="1"/>
    <xf numFmtId="0" fontId="56" fillId="2" borderId="63" xfId="0" applyFont="1" applyFill="1" applyBorder="1" applyAlignment="1">
      <alignment horizontal="center"/>
    </xf>
    <xf numFmtId="0" fontId="56" fillId="2" borderId="63" xfId="0" applyFont="1" applyFill="1" applyBorder="1"/>
    <xf numFmtId="0" fontId="56" fillId="2" borderId="63" xfId="0" applyFont="1" applyFill="1" applyBorder="1" applyAlignment="1"/>
    <xf numFmtId="0" fontId="56" fillId="2" borderId="65" xfId="0" applyFont="1" applyFill="1" applyBorder="1" applyAlignment="1">
      <alignment horizontal="center"/>
    </xf>
    <xf numFmtId="0" fontId="56" fillId="2" borderId="66" xfId="0" applyFont="1" applyFill="1" applyBorder="1" applyAlignment="1">
      <alignment horizontal="center"/>
    </xf>
    <xf numFmtId="0" fontId="78" fillId="2" borderId="56" xfId="6" applyFill="1" applyBorder="1" applyAlignment="1">
      <alignment horizontal="center"/>
    </xf>
    <xf numFmtId="0" fontId="56" fillId="2" borderId="56" xfId="0" applyFont="1" applyFill="1" applyBorder="1" applyAlignment="1">
      <alignment horizontal="center"/>
    </xf>
    <xf numFmtId="0" fontId="56" fillId="0" borderId="65" xfId="0" applyFont="1" applyFill="1" applyBorder="1" applyAlignment="1" applyProtection="1">
      <alignment horizontal="center" vertical="center"/>
      <protection locked="0"/>
    </xf>
    <xf numFmtId="49" fontId="56" fillId="0" borderId="63" xfId="0" applyNumberFormat="1" applyFont="1" applyBorder="1" applyAlignment="1" applyProtection="1">
      <alignment horizontal="center"/>
      <protection locked="0"/>
    </xf>
    <xf numFmtId="0" fontId="56" fillId="2" borderId="65" xfId="0" applyFont="1" applyFill="1" applyBorder="1"/>
    <xf numFmtId="0" fontId="78" fillId="2" borderId="67" xfId="6" applyFill="1" applyBorder="1" applyAlignment="1">
      <alignment horizontal="center"/>
    </xf>
    <xf numFmtId="0" fontId="56" fillId="0" borderId="68" xfId="0" applyFont="1" applyFill="1" applyBorder="1" applyAlignment="1" applyProtection="1">
      <alignment horizontal="center" vertical="center"/>
      <protection locked="0"/>
    </xf>
    <xf numFmtId="0" fontId="56" fillId="2" borderId="68" xfId="0" applyFont="1" applyFill="1" applyBorder="1" applyAlignment="1">
      <alignment horizontal="center"/>
    </xf>
    <xf numFmtId="0" fontId="78" fillId="2" borderId="65" xfId="6" applyFill="1" applyBorder="1" applyAlignment="1">
      <alignment horizontal="center"/>
    </xf>
    <xf numFmtId="0" fontId="78" fillId="2" borderId="65" xfId="6" applyFill="1" applyBorder="1"/>
    <xf numFmtId="0" fontId="78" fillId="2" borderId="66" xfId="6" applyFill="1" applyBorder="1"/>
    <xf numFmtId="0" fontId="78" fillId="2" borderId="56" xfId="6" applyFill="1" applyBorder="1"/>
    <xf numFmtId="0" fontId="78" fillId="2" borderId="57" xfId="6" applyFill="1" applyBorder="1"/>
    <xf numFmtId="0" fontId="78" fillId="2" borderId="52" xfId="6" applyFill="1" applyBorder="1" applyAlignment="1">
      <alignment horizontal="center"/>
    </xf>
    <xf numFmtId="0" fontId="78" fillId="2" borderId="52" xfId="6" applyFill="1" applyBorder="1"/>
    <xf numFmtId="0" fontId="62" fillId="0" borderId="0" xfId="0" applyFont="1" applyBorder="1" applyAlignment="1">
      <alignment horizontal="center"/>
    </xf>
    <xf numFmtId="0" fontId="56" fillId="0" borderId="66" xfId="0" applyFont="1" applyBorder="1"/>
    <xf numFmtId="0" fontId="54" fillId="0" borderId="0" xfId="0" applyFont="1" applyFill="1" applyBorder="1" applyAlignment="1" applyProtection="1">
      <alignment horizontal="center" vertical="center"/>
      <protection locked="0"/>
    </xf>
    <xf numFmtId="0" fontId="81" fillId="0" borderId="0" xfId="0" applyFont="1" applyFill="1" applyBorder="1" applyAlignment="1" applyProtection="1">
      <alignment horizontal="center" vertical="center"/>
      <protection locked="0"/>
    </xf>
    <xf numFmtId="0" fontId="53" fillId="3" borderId="37" xfId="6" applyFont="1" applyFill="1" applyBorder="1" applyAlignment="1">
      <alignment horizontal="center" vertical="center"/>
    </xf>
    <xf numFmtId="0" fontId="53" fillId="3" borderId="42" xfId="6" applyFont="1" applyFill="1" applyBorder="1" applyAlignment="1">
      <alignment horizontal="center" vertical="center"/>
    </xf>
    <xf numFmtId="49" fontId="56" fillId="0" borderId="1" xfId="0" applyNumberFormat="1" applyFont="1" applyFill="1" applyBorder="1" applyAlignment="1" applyProtection="1">
      <alignment horizontal="center"/>
      <protection locked="0"/>
    </xf>
    <xf numFmtId="0" fontId="58" fillId="0" borderId="14" xfId="0" quotePrefix="1" applyFont="1" applyFill="1" applyBorder="1" applyAlignment="1" applyProtection="1">
      <alignment horizontal="center" vertical="center"/>
      <protection locked="0"/>
    </xf>
    <xf numFmtId="0" fontId="78" fillId="2" borderId="71" xfId="6" applyFill="1" applyBorder="1" applyAlignment="1">
      <alignment horizontal="center"/>
    </xf>
    <xf numFmtId="0" fontId="56" fillId="0" borderId="59" xfId="0" applyFont="1" applyBorder="1"/>
    <xf numFmtId="49" fontId="90" fillId="0" borderId="1" xfId="6" applyNumberFormat="1" applyFont="1" applyFill="1" applyBorder="1" applyAlignment="1" applyProtection="1">
      <alignment horizontal="center"/>
      <protection locked="0"/>
    </xf>
    <xf numFmtId="0" fontId="56" fillId="2" borderId="71" xfId="6" applyFont="1" applyFill="1" applyBorder="1" applyAlignment="1">
      <alignment horizontal="center"/>
    </xf>
    <xf numFmtId="49" fontId="56" fillId="0" borderId="59" xfId="6" applyNumberFormat="1" applyFont="1" applyFill="1" applyBorder="1" applyAlignment="1" applyProtection="1">
      <alignment horizontal="center"/>
      <protection locked="0"/>
    </xf>
    <xf numFmtId="0" fontId="56" fillId="0" borderId="65" xfId="0" applyFont="1" applyBorder="1" applyAlignment="1">
      <alignment horizontal="left"/>
    </xf>
    <xf numFmtId="0" fontId="0" fillId="0" borderId="55" xfId="0" applyBorder="1"/>
    <xf numFmtId="0" fontId="54" fillId="0" borderId="56" xfId="0" applyFont="1" applyFill="1" applyBorder="1" applyAlignment="1">
      <alignment horizontal="center"/>
    </xf>
    <xf numFmtId="0" fontId="54" fillId="0" borderId="57" xfId="0" applyFont="1" applyBorder="1" applyAlignment="1">
      <alignment horizontal="center"/>
    </xf>
    <xf numFmtId="0" fontId="58" fillId="0" borderId="0" xfId="6" applyFont="1" applyFill="1" applyBorder="1" applyAlignment="1" applyProtection="1">
      <alignment horizontal="center" vertical="center"/>
      <protection locked="0"/>
    </xf>
    <xf numFmtId="0" fontId="33" fillId="0" borderId="0" xfId="0" applyFont="1"/>
    <xf numFmtId="0" fontId="54" fillId="2" borderId="63" xfId="0" applyFont="1" applyFill="1" applyBorder="1"/>
    <xf numFmtId="0" fontId="54" fillId="0" borderId="0" xfId="0" applyFont="1" applyFill="1" applyBorder="1"/>
    <xf numFmtId="0" fontId="54" fillId="2" borderId="0" xfId="0" applyFont="1" applyFill="1" applyBorder="1" applyAlignment="1">
      <alignment horizontal="center"/>
    </xf>
    <xf numFmtId="0" fontId="56" fillId="0" borderId="0" xfId="0" quotePrefix="1" applyFont="1" applyBorder="1" applyAlignment="1" applyProtection="1">
      <alignment horizontal="center" vertical="center"/>
      <protection locked="0"/>
    </xf>
    <xf numFmtId="0" fontId="56" fillId="0" borderId="0" xfId="0" applyFont="1" applyBorder="1" applyAlignment="1" applyProtection="1">
      <alignment vertical="center"/>
      <protection locked="0"/>
    </xf>
    <xf numFmtId="0" fontId="33" fillId="0" borderId="0" xfId="0" applyFont="1" applyBorder="1" applyAlignment="1">
      <alignment horizontal="center"/>
    </xf>
    <xf numFmtId="0" fontId="33" fillId="0" borderId="0" xfId="0" applyFont="1" applyBorder="1"/>
    <xf numFmtId="0" fontId="0" fillId="0" borderId="72" xfId="0" applyBorder="1"/>
    <xf numFmtId="0" fontId="0" fillId="0" borderId="72" xfId="0" applyBorder="1" applyAlignment="1">
      <alignment horizontal="center"/>
    </xf>
    <xf numFmtId="0" fontId="0" fillId="0" borderId="72" xfId="0" quotePrefix="1" applyBorder="1" applyAlignment="1">
      <alignment horizontal="center"/>
    </xf>
    <xf numFmtId="0" fontId="54" fillId="0" borderId="72" xfId="0" applyFont="1" applyBorder="1"/>
    <xf numFmtId="0" fontId="56" fillId="0" borderId="72" xfId="0" applyFont="1" applyBorder="1"/>
    <xf numFmtId="0" fontId="82" fillId="0" borderId="0" xfId="24" applyFont="1" applyBorder="1" applyAlignment="1" applyProtection="1">
      <alignment horizontal="center"/>
      <protection locked="0"/>
    </xf>
    <xf numFmtId="0" fontId="0" fillId="0" borderId="0" xfId="0" quotePrefix="1" applyBorder="1" applyAlignment="1">
      <alignment horizontal="center"/>
    </xf>
    <xf numFmtId="0" fontId="0" fillId="0" borderId="0" xfId="0" quotePrefix="1" applyFill="1" applyBorder="1" applyAlignment="1">
      <alignment horizontal="center"/>
    </xf>
    <xf numFmtId="0" fontId="56" fillId="0" borderId="0" xfId="0" applyFont="1" applyBorder="1" applyAlignment="1">
      <alignment horizontal="center"/>
    </xf>
    <xf numFmtId="0" fontId="56" fillId="0" borderId="0" xfId="0" applyFont="1" applyFill="1" applyBorder="1" applyAlignment="1">
      <alignment horizontal="center"/>
    </xf>
    <xf numFmtId="0" fontId="56" fillId="0" borderId="72" xfId="0" quotePrefix="1" applyFont="1" applyBorder="1" applyAlignment="1">
      <alignment horizontal="center"/>
    </xf>
    <xf numFmtId="0" fontId="56" fillId="0" borderId="72" xfId="0" applyFont="1" applyBorder="1" applyAlignment="1">
      <alignment horizontal="center"/>
    </xf>
    <xf numFmtId="0" fontId="54" fillId="0" borderId="72" xfId="0" quotePrefix="1" applyFont="1" applyBorder="1" applyAlignment="1">
      <alignment horizontal="center"/>
    </xf>
    <xf numFmtId="0" fontId="54" fillId="0" borderId="72" xfId="0" applyFont="1" applyBorder="1" applyAlignment="1">
      <alignment horizontal="center"/>
    </xf>
    <xf numFmtId="0" fontId="91" fillId="0" borderId="0" xfId="0" applyFont="1" applyBorder="1" applyAlignment="1">
      <alignment horizontal="center"/>
    </xf>
    <xf numFmtId="0" fontId="61" fillId="0" borderId="0" xfId="0" applyFont="1" applyBorder="1" applyAlignment="1">
      <alignment horizontal="center"/>
    </xf>
    <xf numFmtId="0" fontId="88" fillId="0" borderId="0" xfId="0" applyFont="1" applyBorder="1" applyAlignment="1">
      <alignment horizontal="center"/>
    </xf>
    <xf numFmtId="0" fontId="56" fillId="0" borderId="65" xfId="0" quotePrefix="1" applyFont="1" applyBorder="1" applyAlignment="1">
      <alignment horizontal="center"/>
    </xf>
    <xf numFmtId="0" fontId="65" fillId="0" borderId="73" xfId="0" applyFont="1" applyFill="1" applyBorder="1" applyAlignment="1" applyProtection="1">
      <alignment horizontal="center" vertical="center"/>
      <protection locked="0"/>
    </xf>
    <xf numFmtId="0" fontId="65" fillId="0" borderId="58" xfId="0" applyFont="1" applyFill="1" applyBorder="1" applyAlignment="1" applyProtection="1">
      <alignment horizontal="center" vertical="center"/>
      <protection locked="0"/>
    </xf>
    <xf numFmtId="0" fontId="56" fillId="2" borderId="72" xfId="0" applyFont="1" applyFill="1" applyBorder="1"/>
    <xf numFmtId="0" fontId="56" fillId="2" borderId="72" xfId="0" applyFont="1" applyFill="1" applyBorder="1" applyAlignment="1">
      <alignment horizontal="center"/>
    </xf>
    <xf numFmtId="0" fontId="56" fillId="0" borderId="70" xfId="0" applyFont="1" applyBorder="1"/>
    <xf numFmtId="0" fontId="0" fillId="2" borderId="72" xfId="0" applyFill="1" applyBorder="1" applyAlignment="1">
      <alignment horizontal="center"/>
    </xf>
    <xf numFmtId="0" fontId="0" fillId="0" borderId="70" xfId="0" applyBorder="1"/>
    <xf numFmtId="0" fontId="56" fillId="0" borderId="0" xfId="0" applyFont="1" applyBorder="1"/>
    <xf numFmtId="0" fontId="53" fillId="3" borderId="37" xfId="6" applyFont="1" applyFill="1" applyBorder="1" applyAlignment="1">
      <alignment horizontal="center" vertical="center"/>
    </xf>
    <xf numFmtId="0" fontId="89" fillId="2" borderId="59" xfId="0" applyFont="1" applyFill="1" applyBorder="1" applyAlignment="1" applyProtection="1">
      <alignment horizontal="center"/>
      <protection locked="0"/>
    </xf>
    <xf numFmtId="0" fontId="0" fillId="2" borderId="72" xfId="0" applyFill="1" applyBorder="1" applyAlignment="1" applyProtection="1">
      <alignment horizontal="center"/>
      <protection locked="0"/>
    </xf>
    <xf numFmtId="0" fontId="0" fillId="0" borderId="72" xfId="0" applyFill="1" applyBorder="1" applyAlignment="1">
      <alignment horizontal="center"/>
    </xf>
    <xf numFmtId="0" fontId="58" fillId="0" borderId="44" xfId="6" quotePrefix="1" applyFont="1" applyFill="1" applyBorder="1" applyAlignment="1" applyProtection="1">
      <alignment horizontal="center" vertical="center"/>
      <protection locked="0"/>
    </xf>
    <xf numFmtId="0" fontId="55" fillId="0" borderId="59" xfId="0" applyFont="1" applyFill="1" applyBorder="1" applyAlignment="1" applyProtection="1">
      <alignment horizontal="center" vertical="center"/>
      <protection locked="0"/>
    </xf>
    <xf numFmtId="0" fontId="87" fillId="0" borderId="59" xfId="0" applyFont="1" applyBorder="1"/>
    <xf numFmtId="0" fontId="0" fillId="0" borderId="59" xfId="0" applyBorder="1" applyAlignment="1">
      <alignment horizontal="center"/>
    </xf>
    <xf numFmtId="0" fontId="55" fillId="0" borderId="72" xfId="0" applyFont="1" applyFill="1" applyBorder="1" applyAlignment="1" applyProtection="1">
      <alignment horizontal="center" vertical="center"/>
      <protection locked="0"/>
    </xf>
    <xf numFmtId="0" fontId="56" fillId="2" borderId="72" xfId="0" applyFont="1" applyFill="1" applyBorder="1" applyAlignment="1" applyProtection="1">
      <alignment horizontal="center" vertical="center"/>
      <protection locked="0"/>
    </xf>
    <xf numFmtId="0" fontId="56" fillId="0" borderId="72" xfId="0" applyFont="1" applyFill="1" applyBorder="1" applyAlignment="1" applyProtection="1">
      <alignment horizontal="center" vertical="center"/>
      <protection locked="0"/>
    </xf>
    <xf numFmtId="0" fontId="32" fillId="0" borderId="11" xfId="0" applyFont="1" applyBorder="1" applyAlignment="1">
      <alignment horizontal="center"/>
    </xf>
    <xf numFmtId="0" fontId="32" fillId="0" borderId="0" xfId="0" applyFont="1"/>
    <xf numFmtId="0" fontId="32" fillId="0" borderId="0" xfId="6" applyFont="1" applyBorder="1" applyAlignment="1">
      <alignment horizontal="center" vertical="center"/>
    </xf>
    <xf numFmtId="0" fontId="31" fillId="0" borderId="0" xfId="0" applyFont="1"/>
    <xf numFmtId="0" fontId="46" fillId="0" borderId="0" xfId="0" quotePrefix="1" applyFont="1" applyBorder="1" applyAlignment="1">
      <alignment vertical="center" wrapText="1"/>
    </xf>
    <xf numFmtId="0" fontId="46" fillId="0" borderId="0" xfId="0" applyFont="1" applyBorder="1" applyAlignment="1">
      <alignment vertical="center" wrapText="1"/>
    </xf>
    <xf numFmtId="0" fontId="93" fillId="0" borderId="0" xfId="0" applyFont="1"/>
    <xf numFmtId="0" fontId="94" fillId="0" borderId="0" xfId="0" applyFont="1"/>
    <xf numFmtId="0" fontId="53" fillId="2" borderId="0" xfId="6" applyFont="1" applyFill="1" applyBorder="1" applyAlignment="1">
      <alignment horizontal="center" vertical="center"/>
    </xf>
    <xf numFmtId="49" fontId="56" fillId="0" borderId="0" xfId="6" applyNumberFormat="1" applyFont="1" applyFill="1" applyBorder="1" applyAlignment="1" applyProtection="1">
      <alignment horizontal="center"/>
      <protection locked="0"/>
    </xf>
    <xf numFmtId="0" fontId="56" fillId="0" borderId="0" xfId="0" applyFont="1" applyFill="1" applyBorder="1"/>
    <xf numFmtId="0" fontId="56" fillId="0" borderId="52" xfId="0" applyFont="1" applyFill="1" applyBorder="1" applyAlignment="1">
      <alignment horizontal="center"/>
    </xf>
    <xf numFmtId="0" fontId="56" fillId="0" borderId="52" xfId="0" applyFont="1" applyBorder="1"/>
    <xf numFmtId="0" fontId="56" fillId="0" borderId="72" xfId="0" applyFont="1" applyFill="1" applyBorder="1" applyAlignment="1">
      <alignment horizontal="center"/>
    </xf>
    <xf numFmtId="0" fontId="56" fillId="0" borderId="70" xfId="0" applyFont="1" applyBorder="1" applyAlignment="1">
      <alignment horizontal="center"/>
    </xf>
    <xf numFmtId="0" fontId="54" fillId="2" borderId="63" xfId="0" applyFont="1" applyFill="1" applyBorder="1" applyAlignment="1">
      <alignment horizontal="center"/>
    </xf>
    <xf numFmtId="0" fontId="54" fillId="2" borderId="61" xfId="0" applyFont="1" applyFill="1" applyBorder="1" applyAlignment="1">
      <alignment horizontal="center"/>
    </xf>
    <xf numFmtId="49" fontId="56" fillId="0" borderId="72" xfId="0" applyNumberFormat="1" applyFont="1" applyFill="1" applyBorder="1" applyAlignment="1" applyProtection="1">
      <alignment horizontal="center"/>
      <protection locked="0"/>
    </xf>
    <xf numFmtId="0" fontId="58" fillId="0" borderId="72" xfId="0" applyFont="1" applyFill="1" applyBorder="1" applyAlignment="1" applyProtection="1">
      <alignment horizontal="center" vertical="center"/>
      <protection locked="0"/>
    </xf>
    <xf numFmtId="0" fontId="0" fillId="0" borderId="72" xfId="0" applyBorder="1" applyAlignment="1">
      <alignment horizontal="left"/>
    </xf>
    <xf numFmtId="0" fontId="30" fillId="0" borderId="72" xfId="0" applyFont="1" applyBorder="1" applyAlignment="1">
      <alignment horizontal="center"/>
    </xf>
    <xf numFmtId="49" fontId="54" fillId="0" borderId="0" xfId="0" applyNumberFormat="1" applyFont="1" applyBorder="1" applyAlignment="1" applyProtection="1">
      <alignment horizontal="center"/>
      <protection locked="0"/>
    </xf>
    <xf numFmtId="0" fontId="56" fillId="0" borderId="52" xfId="0" applyFont="1" applyFill="1" applyBorder="1" applyAlignment="1" applyProtection="1">
      <alignment horizontal="center" vertical="center"/>
      <protection locked="0"/>
    </xf>
    <xf numFmtId="0" fontId="56" fillId="2" borderId="52" xfId="0" applyFont="1" applyFill="1" applyBorder="1" applyAlignment="1">
      <alignment horizontal="center"/>
    </xf>
    <xf numFmtId="0" fontId="56" fillId="2" borderId="74" xfId="0" applyFont="1" applyFill="1" applyBorder="1" applyAlignment="1">
      <alignment horizontal="center"/>
    </xf>
    <xf numFmtId="0" fontId="56" fillId="0" borderId="72" xfId="0" quotePrefix="1" applyFont="1" applyBorder="1" applyAlignment="1" applyProtection="1">
      <alignment horizontal="center" vertical="center"/>
      <protection locked="0"/>
    </xf>
    <xf numFmtId="0" fontId="56" fillId="2" borderId="52" xfId="0" applyFont="1" applyFill="1" applyBorder="1"/>
    <xf numFmtId="0" fontId="56" fillId="0" borderId="72" xfId="0" applyFont="1" applyBorder="1" applyAlignment="1" applyProtection="1">
      <alignment vertical="center"/>
      <protection locked="0"/>
    </xf>
    <xf numFmtId="0" fontId="56" fillId="2" borderId="70" xfId="0" applyFont="1" applyFill="1" applyBorder="1" applyAlignment="1">
      <alignment horizontal="center"/>
    </xf>
    <xf numFmtId="49" fontId="56" fillId="0" borderId="72" xfId="0" applyNumberFormat="1" applyFont="1" applyBorder="1" applyAlignment="1" applyProtection="1">
      <alignment horizontal="center"/>
      <protection locked="0"/>
    </xf>
    <xf numFmtId="0" fontId="56" fillId="2" borderId="72" xfId="0" applyFont="1" applyFill="1" applyBorder="1" applyAlignment="1"/>
    <xf numFmtId="0" fontId="93" fillId="0" borderId="70" xfId="0" applyFont="1" applyBorder="1" applyAlignment="1">
      <alignment horizontal="center"/>
    </xf>
    <xf numFmtId="0" fontId="29" fillId="0" borderId="72" xfId="0" applyFont="1" applyBorder="1"/>
    <xf numFmtId="0" fontId="29" fillId="0" borderId="72" xfId="0" applyFont="1" applyBorder="1" applyAlignment="1">
      <alignment horizontal="center"/>
    </xf>
    <xf numFmtId="0" fontId="56" fillId="0" borderId="72" xfId="0" quotePrefix="1" applyFont="1" applyFill="1" applyBorder="1" applyAlignment="1">
      <alignment horizontal="center"/>
    </xf>
    <xf numFmtId="0" fontId="33" fillId="0" borderId="72" xfId="0" applyFont="1" applyBorder="1" applyAlignment="1">
      <alignment horizontal="center"/>
    </xf>
    <xf numFmtId="0" fontId="33" fillId="0" borderId="72" xfId="0" applyFont="1" applyBorder="1"/>
    <xf numFmtId="0" fontId="0" fillId="0" borderId="57" xfId="0" applyBorder="1"/>
    <xf numFmtId="0" fontId="56" fillId="0" borderId="68" xfId="0" applyFont="1" applyFill="1" applyBorder="1" applyAlignment="1">
      <alignment horizontal="center"/>
    </xf>
    <xf numFmtId="0" fontId="56" fillId="2" borderId="68" xfId="0" applyFont="1" applyFill="1" applyBorder="1"/>
    <xf numFmtId="0" fontId="65" fillId="0" borderId="72" xfId="0" applyFont="1" applyFill="1" applyBorder="1" applyAlignment="1" applyProtection="1">
      <alignment horizontal="center" vertical="center"/>
      <protection locked="0"/>
    </xf>
    <xf numFmtId="0" fontId="54" fillId="0" borderId="72" xfId="0" applyFont="1" applyFill="1" applyBorder="1" applyAlignment="1" applyProtection="1">
      <alignment horizontal="center" vertical="center"/>
      <protection locked="0"/>
    </xf>
    <xf numFmtId="0" fontId="54" fillId="0" borderId="72" xfId="0" applyFont="1" applyFill="1" applyBorder="1" applyAlignment="1">
      <alignment horizontal="center"/>
    </xf>
    <xf numFmtId="0" fontId="54" fillId="2" borderId="72" xfId="0" applyFont="1" applyFill="1" applyBorder="1"/>
    <xf numFmtId="0" fontId="54" fillId="2" borderId="72" xfId="0" applyFont="1" applyFill="1" applyBorder="1" applyAlignment="1">
      <alignment horizontal="center"/>
    </xf>
    <xf numFmtId="0" fontId="54" fillId="2" borderId="70" xfId="0" applyFont="1" applyFill="1" applyBorder="1" applyAlignment="1">
      <alignment horizontal="center"/>
    </xf>
    <xf numFmtId="0" fontId="82" fillId="2" borderId="0" xfId="24" applyFont="1" applyFill="1" applyBorder="1" applyAlignment="1" applyProtection="1">
      <alignment horizontal="center"/>
      <protection locked="0"/>
    </xf>
    <xf numFmtId="0" fontId="29" fillId="2" borderId="0" xfId="24" applyFont="1" applyFill="1" applyBorder="1" applyAlignment="1" applyProtection="1">
      <alignment horizontal="left" vertical="center"/>
      <protection hidden="1"/>
    </xf>
    <xf numFmtId="0" fontId="29" fillId="2" borderId="0" xfId="24" applyFont="1" applyFill="1" applyBorder="1" applyAlignment="1" applyProtection="1">
      <alignment vertical="center"/>
      <protection hidden="1"/>
    </xf>
    <xf numFmtId="0" fontId="54" fillId="2" borderId="0" xfId="24" applyFont="1" applyFill="1" applyBorder="1" applyAlignment="1" applyProtection="1">
      <alignment horizontal="left" vertical="center"/>
      <protection hidden="1"/>
    </xf>
    <xf numFmtId="0" fontId="78" fillId="2" borderId="57" xfId="6" applyFill="1" applyBorder="1" applyAlignment="1">
      <alignment horizontal="center"/>
    </xf>
    <xf numFmtId="0" fontId="0" fillId="0" borderId="70" xfId="0" applyBorder="1" applyAlignment="1">
      <alignment horizontal="left"/>
    </xf>
    <xf numFmtId="0" fontId="28" fillId="2" borderId="0" xfId="24" applyFont="1" applyFill="1" applyBorder="1" applyAlignment="1" applyProtection="1">
      <alignment vertical="center"/>
      <protection hidden="1"/>
    </xf>
    <xf numFmtId="0" fontId="28" fillId="0" borderId="0" xfId="0" applyFont="1" applyBorder="1" applyAlignment="1">
      <alignment horizontal="right"/>
    </xf>
    <xf numFmtId="0" fontId="56" fillId="2" borderId="72" xfId="0" quotePrefix="1" applyFont="1" applyFill="1" applyBorder="1"/>
    <xf numFmtId="0" fontId="56" fillId="0" borderId="72" xfId="0" quotePrefix="1" applyFont="1" applyBorder="1"/>
    <xf numFmtId="0" fontId="56" fillId="0" borderId="72" xfId="0" quotePrefix="1" applyFont="1" applyBorder="1" applyAlignment="1">
      <alignment horizontal="left"/>
    </xf>
    <xf numFmtId="0" fontId="56" fillId="0" borderId="52" xfId="0" quotePrefix="1" applyFont="1" applyBorder="1" applyAlignment="1">
      <alignment horizontal="center"/>
    </xf>
    <xf numFmtId="0" fontId="56" fillId="0" borderId="52" xfId="0" applyFont="1" applyBorder="1" applyAlignment="1">
      <alignment horizontal="center"/>
    </xf>
    <xf numFmtId="0" fontId="80" fillId="2" borderId="52" xfId="6" applyFont="1" applyFill="1" applyBorder="1" applyAlignment="1">
      <alignment horizontal="center"/>
    </xf>
    <xf numFmtId="0" fontId="78" fillId="2" borderId="74" xfId="6" applyFill="1" applyBorder="1" applyAlignment="1">
      <alignment horizontal="center"/>
    </xf>
    <xf numFmtId="0" fontId="65" fillId="0" borderId="65" xfId="0" applyFont="1" applyFill="1" applyBorder="1" applyAlignment="1" applyProtection="1">
      <alignment horizontal="center" vertical="center"/>
      <protection locked="0"/>
    </xf>
    <xf numFmtId="0" fontId="79" fillId="2" borderId="56" xfId="0" applyFont="1" applyFill="1" applyBorder="1"/>
    <xf numFmtId="0" fontId="79" fillId="2" borderId="57" xfId="0" applyFont="1" applyFill="1" applyBorder="1"/>
    <xf numFmtId="0" fontId="65" fillId="0" borderId="72" xfId="0" applyFont="1" applyFill="1" applyBorder="1" applyAlignment="1" applyProtection="1">
      <alignment vertical="center"/>
      <protection locked="0"/>
    </xf>
    <xf numFmtId="0" fontId="0" fillId="2" borderId="72" xfId="6" applyFont="1" applyFill="1" applyBorder="1" applyAlignment="1">
      <alignment horizontal="center"/>
    </xf>
    <xf numFmtId="0" fontId="0" fillId="2" borderId="72" xfId="0" applyFont="1" applyFill="1" applyBorder="1" applyProtection="1">
      <protection locked="0"/>
    </xf>
    <xf numFmtId="0" fontId="0" fillId="2" borderId="70" xfId="6" applyFont="1" applyFill="1" applyBorder="1" applyAlignment="1">
      <alignment horizontal="center"/>
    </xf>
    <xf numFmtId="0" fontId="70" fillId="4" borderId="70" xfId="0" applyFont="1" applyFill="1" applyBorder="1" applyAlignment="1">
      <alignment horizontal="center"/>
    </xf>
    <xf numFmtId="0" fontId="0" fillId="0" borderId="70" xfId="0" applyFont="1" applyBorder="1" applyAlignment="1">
      <alignment horizontal="center"/>
    </xf>
    <xf numFmtId="0" fontId="0" fillId="2" borderId="70" xfId="0" applyFont="1" applyFill="1" applyBorder="1" applyAlignment="1">
      <alignment horizontal="center"/>
    </xf>
    <xf numFmtId="0" fontId="65" fillId="0" borderId="52" xfId="0" applyFont="1" applyFill="1" applyBorder="1" applyAlignment="1" applyProtection="1">
      <alignment horizontal="center" vertical="center"/>
      <protection locked="0"/>
    </xf>
    <xf numFmtId="0" fontId="65" fillId="0" borderId="56" xfId="0" applyFont="1" applyFill="1" applyBorder="1" applyAlignment="1" applyProtection="1">
      <alignment horizontal="center" vertical="center"/>
      <protection locked="0"/>
    </xf>
    <xf numFmtId="0" fontId="56" fillId="0" borderId="57" xfId="0" applyFont="1" applyBorder="1" applyAlignment="1">
      <alignment horizontal="center"/>
    </xf>
    <xf numFmtId="0" fontId="78" fillId="2" borderId="74" xfId="6" applyFill="1" applyBorder="1"/>
    <xf numFmtId="49" fontId="27" fillId="0" borderId="65" xfId="0" applyNumberFormat="1" applyFont="1" applyBorder="1" applyAlignment="1" applyProtection="1">
      <alignment horizontal="center"/>
      <protection locked="0"/>
    </xf>
    <xf numFmtId="49" fontId="27" fillId="0" borderId="72" xfId="0" applyNumberFormat="1" applyFont="1" applyBorder="1" applyAlignment="1" applyProtection="1">
      <alignment horizontal="center"/>
      <protection locked="0"/>
    </xf>
    <xf numFmtId="0" fontId="56" fillId="2" borderId="52" xfId="0" quotePrefix="1" applyFont="1" applyFill="1" applyBorder="1"/>
    <xf numFmtId="0" fontId="34" fillId="0" borderId="0" xfId="0" applyFont="1" applyBorder="1"/>
    <xf numFmtId="0" fontId="28" fillId="0" borderId="0" xfId="0" applyFont="1" applyBorder="1"/>
    <xf numFmtId="0" fontId="56" fillId="0" borderId="0" xfId="0" quotePrefix="1" applyFont="1" applyBorder="1" applyAlignment="1">
      <alignment horizontal="center"/>
    </xf>
    <xf numFmtId="0" fontId="56" fillId="0" borderId="0" xfId="0" quotePrefix="1" applyFont="1" applyBorder="1"/>
    <xf numFmtId="0" fontId="56" fillId="2" borderId="0" xfId="0" quotePrefix="1" applyFont="1" applyFill="1" applyBorder="1"/>
    <xf numFmtId="0" fontId="56" fillId="0" borderId="0" xfId="0" quotePrefix="1" applyFont="1" applyBorder="1" applyAlignment="1">
      <alignment horizontal="left"/>
    </xf>
    <xf numFmtId="0" fontId="26" fillId="0" borderId="1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0" fillId="0" borderId="64" xfId="0" quotePrefix="1" applyBorder="1"/>
    <xf numFmtId="0" fontId="33" fillId="0" borderId="60" xfId="0" quotePrefix="1" applyFont="1" applyBorder="1"/>
    <xf numFmtId="0" fontId="33" fillId="0" borderId="70" xfId="0" applyFont="1" applyBorder="1"/>
    <xf numFmtId="0" fontId="56" fillId="0" borderId="70" xfId="0" applyFont="1" applyBorder="1" applyAlignment="1">
      <alignment horizontal="left"/>
    </xf>
    <xf numFmtId="0" fontId="62" fillId="0" borderId="70" xfId="0" applyFont="1" applyFill="1" applyBorder="1" applyAlignment="1">
      <alignment horizontal="left"/>
    </xf>
    <xf numFmtId="0" fontId="26" fillId="0" borderId="72" xfId="0" applyFont="1" applyBorder="1" applyAlignment="1">
      <alignment horizontal="center"/>
    </xf>
    <xf numFmtId="0" fontId="53" fillId="0" borderId="0" xfId="0" applyFont="1" applyAlignment="1">
      <alignment horizontal="center"/>
    </xf>
    <xf numFmtId="164" fontId="44" fillId="0" borderId="1" xfId="0" applyNumberFormat="1" applyFont="1" applyBorder="1" applyAlignment="1">
      <alignment horizontal="center" vertical="center"/>
    </xf>
    <xf numFmtId="0" fontId="44" fillId="0" borderId="56" xfId="0" applyFont="1" applyBorder="1" applyAlignment="1">
      <alignment horizontal="center" vertical="center"/>
    </xf>
    <xf numFmtId="0" fontId="43" fillId="0" borderId="45" xfId="0" quotePrefix="1" applyFont="1" applyBorder="1" applyAlignment="1">
      <alignment horizontal="center" vertical="center"/>
    </xf>
    <xf numFmtId="0" fontId="43" fillId="0" borderId="75" xfId="0" applyFont="1" applyBorder="1" applyAlignment="1">
      <alignment horizontal="center" vertical="center"/>
    </xf>
    <xf numFmtId="0" fontId="44" fillId="0" borderId="75" xfId="0" applyFont="1" applyBorder="1" applyAlignment="1">
      <alignment horizontal="center" vertical="center"/>
    </xf>
    <xf numFmtId="1" fontId="43" fillId="0" borderId="75" xfId="0" applyNumberFormat="1" applyFont="1" applyBorder="1" applyAlignment="1">
      <alignment horizontal="center" vertical="center"/>
    </xf>
    <xf numFmtId="0" fontId="44" fillId="0" borderId="76" xfId="0" applyFont="1" applyBorder="1" applyAlignment="1">
      <alignment horizontal="center" vertical="center"/>
    </xf>
    <xf numFmtId="0" fontId="54" fillId="0" borderId="60" xfId="0" quotePrefix="1" applyFont="1" applyFill="1" applyBorder="1"/>
    <xf numFmtId="0" fontId="56" fillId="0" borderId="67" xfId="0" quotePrefix="1" applyFont="1" applyBorder="1"/>
    <xf numFmtId="0" fontId="56" fillId="0" borderId="68" xfId="0" applyFont="1" applyBorder="1"/>
    <xf numFmtId="49" fontId="56" fillId="0" borderId="68" xfId="0" applyNumberFormat="1" applyFont="1" applyFill="1" applyBorder="1" applyAlignment="1" applyProtection="1">
      <alignment horizontal="center"/>
      <protection locked="0"/>
    </xf>
    <xf numFmtId="0" fontId="56" fillId="0" borderId="68" xfId="0" applyFont="1" applyBorder="1" applyAlignment="1">
      <alignment horizontal="center"/>
    </xf>
    <xf numFmtId="0" fontId="62" fillId="0" borderId="69" xfId="0" applyFont="1" applyBorder="1" applyAlignment="1">
      <alignment horizontal="center"/>
    </xf>
    <xf numFmtId="0" fontId="54" fillId="0" borderId="55" xfId="0" quotePrefix="1" applyFont="1" applyBorder="1"/>
    <xf numFmtId="0" fontId="54" fillId="2" borderId="56" xfId="0" applyFont="1" applyFill="1" applyBorder="1"/>
    <xf numFmtId="0" fontId="54" fillId="0" borderId="56" xfId="0" applyFont="1" applyFill="1" applyBorder="1" applyAlignment="1" applyProtection="1">
      <alignment horizontal="center" vertical="center"/>
      <protection locked="0"/>
    </xf>
    <xf numFmtId="0" fontId="54" fillId="0" borderId="57" xfId="0" applyFont="1" applyBorder="1"/>
    <xf numFmtId="0" fontId="54" fillId="0" borderId="56" xfId="0" applyFont="1" applyBorder="1" applyAlignment="1">
      <alignment horizontal="center"/>
    </xf>
    <xf numFmtId="0" fontId="54" fillId="0" borderId="72" xfId="0" applyFont="1" applyBorder="1" applyAlignment="1" applyProtection="1">
      <alignment vertical="center"/>
      <protection locked="0"/>
    </xf>
    <xf numFmtId="0" fontId="65" fillId="0" borderId="72" xfId="0" quotePrefix="1" applyFont="1" applyFill="1" applyBorder="1" applyAlignment="1" applyProtection="1">
      <alignment horizontal="center" vertical="center"/>
      <protection locked="0"/>
    </xf>
    <xf numFmtId="0" fontId="25" fillId="0" borderId="72" xfId="0" applyFont="1" applyBorder="1"/>
    <xf numFmtId="0" fontId="25" fillId="0" borderId="72" xfId="0" applyFont="1" applyBorder="1" applyAlignment="1">
      <alignment horizontal="center"/>
    </xf>
    <xf numFmtId="0" fontId="25" fillId="0" borderId="70" xfId="0" applyFont="1" applyBorder="1" applyAlignment="1">
      <alignment horizontal="left"/>
    </xf>
    <xf numFmtId="0" fontId="0" fillId="0" borderId="0" xfId="0" applyFont="1" applyBorder="1"/>
    <xf numFmtId="0" fontId="0" fillId="2" borderId="0" xfId="0" applyFont="1" applyFill="1" applyBorder="1"/>
    <xf numFmtId="0" fontId="0" fillId="0" borderId="0" xfId="0" applyFont="1" applyFill="1" applyBorder="1" applyAlignment="1" applyProtection="1">
      <alignment horizontal="center" vertical="center"/>
      <protection locked="0"/>
    </xf>
    <xf numFmtId="0" fontId="0" fillId="0" borderId="0" xfId="0" applyFont="1" applyBorder="1" applyAlignment="1">
      <alignment horizontal="center" vertical="center"/>
    </xf>
    <xf numFmtId="0" fontId="54" fillId="0" borderId="0" xfId="0" quotePrefix="1" applyFont="1" applyBorder="1"/>
    <xf numFmtId="49" fontId="56" fillId="0" borderId="0" xfId="0" applyNumberFormat="1" applyFont="1" applyFill="1" applyBorder="1" applyAlignment="1" applyProtection="1">
      <alignment horizontal="center"/>
      <protection locked="0"/>
    </xf>
    <xf numFmtId="0" fontId="54" fillId="0" borderId="0" xfId="0" applyFont="1" applyBorder="1" applyAlignment="1"/>
    <xf numFmtId="0" fontId="79" fillId="0" borderId="0" xfId="0" quotePrefix="1" applyFont="1" applyFill="1" applyBorder="1"/>
    <xf numFmtId="0" fontId="54" fillId="0" borderId="56" xfId="0" applyFont="1" applyBorder="1"/>
    <xf numFmtId="0" fontId="83" fillId="0" borderId="0" xfId="0" quotePrefix="1" applyFont="1" applyFill="1" applyBorder="1" applyAlignment="1" applyProtection="1">
      <alignment horizontal="center" vertical="center"/>
      <protection locked="0"/>
    </xf>
    <xf numFmtId="0" fontId="56" fillId="0" borderId="0" xfId="0" applyFont="1" applyFill="1" applyBorder="1" applyAlignment="1" applyProtection="1">
      <alignment horizontal="center"/>
      <protection locked="0"/>
    </xf>
    <xf numFmtId="0" fontId="56" fillId="0" borderId="0" xfId="0" applyFont="1" applyFill="1" applyBorder="1" applyAlignment="1">
      <alignment horizontal="left"/>
    </xf>
    <xf numFmtId="0" fontId="56" fillId="0" borderId="0" xfId="0" applyFont="1" applyBorder="1" applyAlignment="1"/>
    <xf numFmtId="0" fontId="58" fillId="0" borderId="0" xfId="0" applyFont="1" applyBorder="1" applyAlignment="1" applyProtection="1">
      <alignment horizontal="center" vertical="center"/>
      <protection locked="0"/>
    </xf>
    <xf numFmtId="0" fontId="57" fillId="0" borderId="56" xfId="0" applyFont="1" applyBorder="1" applyAlignment="1" applyProtection="1">
      <alignment horizontal="center" vertical="center"/>
      <protection locked="0"/>
    </xf>
    <xf numFmtId="0" fontId="54" fillId="0" borderId="56" xfId="0" applyFont="1" applyBorder="1" applyAlignment="1">
      <alignment horizontal="center" vertical="center"/>
    </xf>
    <xf numFmtId="0" fontId="62" fillId="0" borderId="77" xfId="0" applyFont="1" applyBorder="1" applyAlignment="1">
      <alignment horizontal="center"/>
    </xf>
    <xf numFmtId="0" fontId="56" fillId="0" borderId="78" xfId="0" applyFont="1" applyFill="1" applyBorder="1" applyAlignment="1">
      <alignment horizontal="center"/>
    </xf>
    <xf numFmtId="0" fontId="60" fillId="0" borderId="0" xfId="0" applyFont="1" applyBorder="1" applyAlignment="1">
      <alignment horizontal="left"/>
    </xf>
    <xf numFmtId="0" fontId="56" fillId="0" borderId="0" xfId="0" applyFont="1" applyBorder="1" applyAlignment="1">
      <alignment horizontal="left"/>
    </xf>
    <xf numFmtId="0" fontId="0" fillId="0" borderId="0" xfId="0" quotePrefix="1" applyFont="1" applyBorder="1"/>
    <xf numFmtId="0" fontId="54" fillId="0" borderId="0" xfId="0" applyFont="1" applyFill="1" applyBorder="1" applyAlignment="1">
      <alignment horizontal="left"/>
    </xf>
    <xf numFmtId="0" fontId="54" fillId="0" borderId="0" xfId="0" quotePrefix="1" applyFont="1" applyFill="1" applyBorder="1"/>
    <xf numFmtId="0" fontId="83" fillId="0" borderId="0" xfId="6" applyFont="1" applyFill="1" applyBorder="1" applyAlignment="1" applyProtection="1">
      <alignment horizontal="center" vertical="center"/>
      <protection locked="0"/>
    </xf>
    <xf numFmtId="49" fontId="54" fillId="0" borderId="0" xfId="0" applyNumberFormat="1" applyFont="1" applyFill="1" applyBorder="1" applyAlignment="1" applyProtection="1">
      <alignment horizontal="center"/>
      <protection locked="0"/>
    </xf>
    <xf numFmtId="0" fontId="79" fillId="0" borderId="0" xfId="0" applyFont="1" applyFill="1" applyBorder="1" applyAlignment="1">
      <alignment horizontal="left"/>
    </xf>
    <xf numFmtId="0" fontId="56" fillId="0" borderId="0" xfId="0" applyFont="1" applyBorder="1" applyAlignment="1">
      <alignment horizontal="center" vertical="center"/>
    </xf>
    <xf numFmtId="0" fontId="58" fillId="0" borderId="0" xfId="0" quotePrefix="1" applyFont="1" applyFill="1" applyBorder="1" applyAlignment="1" applyProtection="1">
      <alignment horizontal="center" vertical="center"/>
      <protection locked="0"/>
    </xf>
    <xf numFmtId="0" fontId="30" fillId="0" borderId="0" xfId="0" applyFont="1" applyBorder="1" applyAlignment="1">
      <alignment horizontal="center"/>
    </xf>
    <xf numFmtId="0" fontId="66" fillId="0" borderId="0" xfId="0" applyFont="1" applyBorder="1" applyAlignment="1">
      <alignment horizontal="center"/>
    </xf>
    <xf numFmtId="49" fontId="56" fillId="0" borderId="0" xfId="0" applyNumberFormat="1" applyFont="1" applyBorder="1" applyAlignment="1" applyProtection="1">
      <alignment horizontal="center"/>
      <protection locked="0"/>
    </xf>
    <xf numFmtId="0" fontId="57" fillId="0" borderId="0" xfId="0" applyFont="1" applyBorder="1" applyAlignment="1" applyProtection="1">
      <alignment horizontal="center" vertical="center"/>
      <protection locked="0"/>
    </xf>
    <xf numFmtId="0" fontId="35" fillId="0" borderId="0" xfId="0" applyFont="1" applyBorder="1"/>
    <xf numFmtId="0" fontId="63" fillId="0" borderId="0" xfId="0" applyFont="1" applyBorder="1"/>
    <xf numFmtId="0" fontId="85" fillId="0" borderId="0" xfId="0" applyFont="1" applyBorder="1"/>
    <xf numFmtId="0" fontId="0" fillId="0" borderId="72" xfId="0" applyFont="1" applyBorder="1" applyAlignment="1">
      <alignment horizontal="center" vertical="center"/>
    </xf>
    <xf numFmtId="0" fontId="54" fillId="0" borderId="70" xfId="0" applyFont="1" applyBorder="1" applyAlignment="1">
      <alignment horizontal="center"/>
    </xf>
    <xf numFmtId="0" fontId="57" fillId="0" borderId="70" xfId="6" applyFont="1" applyFill="1" applyBorder="1" applyAlignment="1" applyProtection="1">
      <alignment horizontal="center" vertical="center"/>
      <protection locked="0"/>
    </xf>
    <xf numFmtId="0" fontId="54" fillId="0" borderId="78" xfId="0" applyFont="1" applyBorder="1" applyAlignment="1">
      <alignment horizontal="center"/>
    </xf>
    <xf numFmtId="0" fontId="56" fillId="0" borderId="63" xfId="0" quotePrefix="1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54" fillId="2" borderId="63" xfId="6" applyFont="1" applyFill="1" applyBorder="1" applyAlignment="1">
      <alignment horizontal="center"/>
    </xf>
    <xf numFmtId="0" fontId="54" fillId="2" borderId="63" xfId="6" applyFont="1" applyFill="1" applyBorder="1" applyAlignment="1">
      <alignment horizontal="left"/>
    </xf>
    <xf numFmtId="0" fontId="24" fillId="0" borderId="0" xfId="0" quotePrefix="1" applyFont="1" applyFill="1" applyBorder="1" applyAlignment="1">
      <alignment horizontal="center"/>
    </xf>
    <xf numFmtId="0" fontId="24" fillId="0" borderId="0" xfId="0" quotePrefix="1" applyFont="1" applyBorder="1"/>
    <xf numFmtId="0" fontId="54" fillId="0" borderId="72" xfId="0" applyFont="1" applyFill="1" applyBorder="1"/>
    <xf numFmtId="0" fontId="23" fillId="0" borderId="0" xfId="0" quotePrefix="1" applyFont="1" applyBorder="1"/>
    <xf numFmtId="0" fontId="54" fillId="0" borderId="70" xfId="0" applyFont="1" applyBorder="1"/>
    <xf numFmtId="0" fontId="54" fillId="0" borderId="80" xfId="0" applyFont="1" applyBorder="1" applyAlignment="1">
      <alignment horizontal="center"/>
    </xf>
    <xf numFmtId="0" fontId="59" fillId="0" borderId="1" xfId="0" applyFont="1" applyFill="1" applyBorder="1"/>
    <xf numFmtId="0" fontId="54" fillId="2" borderId="1" xfId="6" applyFont="1" applyFill="1" applyBorder="1" applyAlignment="1">
      <alignment horizontal="center"/>
    </xf>
    <xf numFmtId="0" fontId="56" fillId="0" borderId="55" xfId="0" quotePrefix="1" applyFont="1" applyFill="1" applyBorder="1"/>
    <xf numFmtId="0" fontId="22" fillId="0" borderId="0" xfId="0" applyFont="1"/>
    <xf numFmtId="0" fontId="21" fillId="0" borderId="0" xfId="0" applyFont="1"/>
    <xf numFmtId="0" fontId="20" fillId="0" borderId="0" xfId="0" applyFont="1"/>
    <xf numFmtId="0" fontId="0" fillId="0" borderId="75" xfId="0" applyBorder="1"/>
    <xf numFmtId="0" fontId="19" fillId="0" borderId="75" xfId="0" applyFont="1" applyBorder="1"/>
    <xf numFmtId="0" fontId="0" fillId="0" borderId="75" xfId="0" applyBorder="1" applyAlignment="1">
      <alignment horizontal="center"/>
    </xf>
    <xf numFmtId="0" fontId="0" fillId="0" borderId="76" xfId="0" applyBorder="1" applyAlignment="1">
      <alignment horizontal="center"/>
    </xf>
    <xf numFmtId="49" fontId="54" fillId="0" borderId="0" xfId="6" applyNumberFormat="1" applyFont="1" applyFill="1" applyBorder="1" applyAlignment="1" applyProtection="1">
      <alignment horizontal="center"/>
      <protection locked="0"/>
    </xf>
    <xf numFmtId="0" fontId="18" fillId="0" borderId="0" xfId="0" quotePrefix="1" applyFont="1" applyFill="1" applyBorder="1" applyAlignment="1">
      <alignment horizontal="center"/>
    </xf>
    <xf numFmtId="0" fontId="18" fillId="0" borderId="0" xfId="0" applyFont="1"/>
    <xf numFmtId="0" fontId="18" fillId="0" borderId="9" xfId="0" applyFont="1" applyBorder="1" applyAlignment="1">
      <alignment horizontal="center"/>
    </xf>
    <xf numFmtId="0" fontId="18" fillId="2" borderId="0" xfId="0" applyFont="1" applyFill="1" applyBorder="1"/>
    <xf numFmtId="0" fontId="17" fillId="0" borderId="0" xfId="0" applyFont="1" applyBorder="1"/>
    <xf numFmtId="0" fontId="16" fillId="0" borderId="1" xfId="0" quotePrefix="1" applyFont="1" applyBorder="1"/>
    <xf numFmtId="0" fontId="56" fillId="0" borderId="1" xfId="0" quotePrefix="1" applyFont="1" applyBorder="1" applyAlignment="1">
      <alignment horizontal="center"/>
    </xf>
    <xf numFmtId="0" fontId="56" fillId="2" borderId="79" xfId="0" applyFont="1" applyFill="1" applyBorder="1"/>
    <xf numFmtId="0" fontId="56" fillId="0" borderId="79" xfId="0" applyFont="1" applyFill="1" applyBorder="1" applyAlignment="1" applyProtection="1">
      <alignment horizontal="center" vertical="center"/>
      <protection locked="0"/>
    </xf>
    <xf numFmtId="0" fontId="56" fillId="2" borderId="79" xfId="0" applyFont="1" applyFill="1" applyBorder="1" applyAlignment="1">
      <alignment horizontal="center"/>
    </xf>
    <xf numFmtId="0" fontId="95" fillId="0" borderId="1" xfId="0" applyFont="1" applyBorder="1" applyAlignment="1" applyProtection="1">
      <alignment vertical="center"/>
      <protection locked="0"/>
    </xf>
    <xf numFmtId="0" fontId="16" fillId="0" borderId="81" xfId="0" quotePrefix="1" applyFont="1" applyBorder="1" applyAlignment="1">
      <alignment horizontal="center"/>
    </xf>
    <xf numFmtId="0" fontId="16" fillId="0" borderId="60" xfId="0" quotePrefix="1" applyFont="1" applyBorder="1" applyAlignment="1">
      <alignment horizontal="center"/>
    </xf>
    <xf numFmtId="0" fontId="54" fillId="0" borderId="60" xfId="0" quotePrefix="1" applyFont="1" applyBorder="1" applyAlignment="1">
      <alignment horizontal="center"/>
    </xf>
    <xf numFmtId="0" fontId="95" fillId="0" borderId="70" xfId="0" applyFont="1" applyBorder="1" applyAlignment="1">
      <alignment horizontal="center"/>
    </xf>
    <xf numFmtId="0" fontId="0" fillId="0" borderId="71" xfId="0" quotePrefix="1" applyBorder="1" applyAlignment="1">
      <alignment horizontal="center"/>
    </xf>
    <xf numFmtId="0" fontId="68" fillId="0" borderId="59" xfId="0" applyFont="1" applyFill="1" applyBorder="1"/>
    <xf numFmtId="0" fontId="56" fillId="0" borderId="59" xfId="0" applyFont="1" applyFill="1" applyBorder="1" applyAlignment="1">
      <alignment horizontal="center" vertical="center"/>
    </xf>
    <xf numFmtId="0" fontId="56" fillId="0" borderId="60" xfId="0" quotePrefix="1" applyFont="1" applyFill="1" applyBorder="1" applyAlignment="1" applyProtection="1">
      <alignment horizontal="center" vertical="center"/>
      <protection locked="0"/>
    </xf>
    <xf numFmtId="0" fontId="56" fillId="0" borderId="55" xfId="0" quotePrefix="1" applyFont="1" applyBorder="1" applyAlignment="1">
      <alignment horizontal="center"/>
    </xf>
    <xf numFmtId="0" fontId="56" fillId="0" borderId="57" xfId="0" applyFont="1" applyFill="1" applyBorder="1" applyAlignment="1">
      <alignment horizontal="center"/>
    </xf>
    <xf numFmtId="0" fontId="62" fillId="0" borderId="56" xfId="0" applyFont="1" applyBorder="1"/>
    <xf numFmtId="0" fontId="16" fillId="0" borderId="1" xfId="0" applyFont="1" applyBorder="1"/>
    <xf numFmtId="0" fontId="16" fillId="0" borderId="11" xfId="0" applyFont="1" applyBorder="1"/>
    <xf numFmtId="0" fontId="0" fillId="0" borderId="1" xfId="0" quotePrefix="1" applyFill="1" applyBorder="1" applyAlignment="1">
      <alignment horizontal="center"/>
    </xf>
    <xf numFmtId="0" fontId="0" fillId="0" borderId="83" xfId="0" quotePrefix="1" applyBorder="1" applyAlignment="1">
      <alignment horizontal="center"/>
    </xf>
    <xf numFmtId="0" fontId="0" fillId="0" borderId="83" xfId="0" applyBorder="1"/>
    <xf numFmtId="0" fontId="0" fillId="0" borderId="83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left"/>
    </xf>
    <xf numFmtId="0" fontId="78" fillId="2" borderId="59" xfId="6" applyFill="1" applyBorder="1"/>
    <xf numFmtId="0" fontId="78" fillId="2" borderId="59" xfId="6" applyFill="1" applyBorder="1" applyAlignment="1">
      <alignment horizontal="center"/>
    </xf>
    <xf numFmtId="0" fontId="54" fillId="0" borderId="83" xfId="0" applyFont="1" applyBorder="1"/>
    <xf numFmtId="0" fontId="54" fillId="0" borderId="83" xfId="0" applyFont="1" applyBorder="1" applyAlignment="1">
      <alignment horizontal="center"/>
    </xf>
    <xf numFmtId="0" fontId="54" fillId="0" borderId="84" xfId="0" applyFont="1" applyBorder="1"/>
    <xf numFmtId="0" fontId="54" fillId="0" borderId="82" xfId="0" quotePrefix="1" applyFont="1" applyBorder="1"/>
    <xf numFmtId="0" fontId="54" fillId="0" borderId="83" xfId="0" applyFont="1" applyFill="1" applyBorder="1" applyAlignment="1" applyProtection="1">
      <alignment horizontal="center" vertical="center"/>
      <protection locked="0"/>
    </xf>
    <xf numFmtId="0" fontId="54" fillId="0" borderId="70" xfId="0" applyFont="1" applyBorder="1" applyAlignment="1">
      <alignment horizontal="left" vertical="center"/>
    </xf>
    <xf numFmtId="0" fontId="56" fillId="0" borderId="70" xfId="0" applyFont="1" applyFill="1" applyBorder="1" applyAlignment="1">
      <alignment horizontal="left"/>
    </xf>
    <xf numFmtId="0" fontId="54" fillId="0" borderId="70" xfId="0" applyFont="1" applyFill="1" applyBorder="1" applyAlignment="1">
      <alignment horizontal="left"/>
    </xf>
    <xf numFmtId="0" fontId="0" fillId="0" borderId="82" xfId="0" quotePrefix="1" applyFont="1" applyBorder="1"/>
    <xf numFmtId="0" fontId="0" fillId="0" borderId="87" xfId="0" applyBorder="1"/>
    <xf numFmtId="0" fontId="0" fillId="0" borderId="83" xfId="0" applyFont="1" applyBorder="1" applyAlignment="1">
      <alignment horizontal="center" vertical="center"/>
    </xf>
    <xf numFmtId="0" fontId="0" fillId="0" borderId="84" xfId="0" applyFont="1" applyBorder="1"/>
    <xf numFmtId="0" fontId="0" fillId="0" borderId="60" xfId="0" applyFont="1" applyBorder="1"/>
    <xf numFmtId="0" fontId="0" fillId="0" borderId="70" xfId="0" applyFont="1" applyBorder="1"/>
    <xf numFmtId="0" fontId="0" fillId="0" borderId="55" xfId="0" quotePrefix="1" applyBorder="1"/>
    <xf numFmtId="0" fontId="0" fillId="0" borderId="57" xfId="0" applyFont="1" applyFill="1" applyBorder="1"/>
    <xf numFmtId="0" fontId="19" fillId="0" borderId="83" xfId="0" applyFont="1" applyBorder="1"/>
    <xf numFmtId="0" fontId="54" fillId="0" borderId="74" xfId="0" applyFont="1" applyBorder="1" applyAlignment="1">
      <alignment horizontal="center"/>
    </xf>
    <xf numFmtId="0" fontId="16" fillId="0" borderId="72" xfId="0" applyFont="1" applyBorder="1"/>
    <xf numFmtId="0" fontId="54" fillId="0" borderId="63" xfId="0" applyFont="1" applyFill="1" applyBorder="1" applyAlignment="1" applyProtection="1">
      <alignment horizontal="center" vertical="center"/>
      <protection locked="0"/>
    </xf>
    <xf numFmtId="0" fontId="15" fillId="0" borderId="0" xfId="0" applyFont="1"/>
    <xf numFmtId="0" fontId="54" fillId="0" borderId="83" xfId="0" applyFont="1" applyBorder="1" applyAlignment="1" applyProtection="1">
      <alignment vertical="center"/>
      <protection locked="0"/>
    </xf>
    <xf numFmtId="0" fontId="54" fillId="0" borderId="83" xfId="0" applyFont="1" applyBorder="1" applyAlignment="1" applyProtection="1">
      <alignment horizontal="center" vertical="center"/>
      <protection locked="0"/>
    </xf>
    <xf numFmtId="0" fontId="54" fillId="0" borderId="83" xfId="0" applyFont="1" applyBorder="1" applyAlignment="1">
      <alignment horizontal="left"/>
    </xf>
    <xf numFmtId="0" fontId="54" fillId="0" borderId="84" xfId="0" applyFont="1" applyBorder="1" applyAlignment="1">
      <alignment horizontal="center"/>
    </xf>
    <xf numFmtId="0" fontId="79" fillId="0" borderId="55" xfId="0" quotePrefix="1" applyFont="1" applyBorder="1"/>
    <xf numFmtId="0" fontId="54" fillId="2" borderId="72" xfId="0" applyFont="1" applyFill="1" applyBorder="1" applyAlignment="1" applyProtection="1">
      <alignment horizontal="center" vertical="center"/>
      <protection locked="0"/>
    </xf>
    <xf numFmtId="0" fontId="54" fillId="2" borderId="72" xfId="0" quotePrefix="1" applyFont="1" applyFill="1" applyBorder="1" applyAlignment="1">
      <alignment horizontal="center"/>
    </xf>
    <xf numFmtId="0" fontId="54" fillId="0" borderId="72" xfId="0" applyFont="1" applyFill="1" applyBorder="1" applyAlignment="1" applyProtection="1">
      <alignment vertical="center"/>
      <protection locked="0"/>
    </xf>
    <xf numFmtId="0" fontId="54" fillId="2" borderId="70" xfId="6" applyFont="1" applyFill="1" applyBorder="1" applyAlignment="1">
      <alignment horizontal="left"/>
    </xf>
    <xf numFmtId="0" fontId="14" fillId="0" borderId="0" xfId="0" applyFont="1"/>
    <xf numFmtId="0" fontId="13" fillId="0" borderId="72" xfId="0" applyFont="1" applyFill="1" applyBorder="1" applyAlignment="1" applyProtection="1">
      <alignment horizontal="center" vertical="center"/>
      <protection locked="0"/>
    </xf>
    <xf numFmtId="0" fontId="13" fillId="0" borderId="72" xfId="0" quotePrefix="1" applyFont="1" applyBorder="1" applyAlignment="1">
      <alignment horizontal="center"/>
    </xf>
    <xf numFmtId="0" fontId="13" fillId="0" borderId="72" xfId="0" applyFont="1" applyBorder="1"/>
    <xf numFmtId="0" fontId="13" fillId="0" borderId="72" xfId="0" applyFont="1" applyBorder="1" applyAlignment="1">
      <alignment horizontal="center"/>
    </xf>
    <xf numFmtId="0" fontId="56" fillId="0" borderId="70" xfId="0" applyFont="1" applyFill="1" applyBorder="1" applyAlignment="1">
      <alignment horizontal="center"/>
    </xf>
    <xf numFmtId="0" fontId="13" fillId="0" borderId="60" xfId="0" quotePrefix="1" applyFont="1" applyBorder="1"/>
    <xf numFmtId="0" fontId="0" fillId="0" borderId="60" xfId="0" applyBorder="1" applyAlignment="1">
      <alignment horizontal="center"/>
    </xf>
    <xf numFmtId="0" fontId="54" fillId="0" borderId="0" xfId="0" applyFont="1" applyFill="1" applyBorder="1" applyAlignment="1">
      <alignment horizontal="center" vertical="center"/>
    </xf>
    <xf numFmtId="0" fontId="57" fillId="0" borderId="0" xfId="6" quotePrefix="1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0" fontId="54" fillId="0" borderId="88" xfId="0" quotePrefix="1" applyFont="1" applyFill="1" applyBorder="1"/>
    <xf numFmtId="0" fontId="54" fillId="0" borderId="89" xfId="0" applyFont="1" applyFill="1" applyBorder="1" applyAlignment="1" applyProtection="1">
      <alignment vertical="center"/>
      <protection locked="0"/>
    </xf>
    <xf numFmtId="0" fontId="54" fillId="2" borderId="89" xfId="0" applyFont="1" applyFill="1" applyBorder="1" applyAlignment="1" applyProtection="1">
      <alignment horizontal="center" vertical="center"/>
      <protection locked="0"/>
    </xf>
    <xf numFmtId="0" fontId="54" fillId="0" borderId="89" xfId="0" applyFont="1" applyBorder="1" applyAlignment="1">
      <alignment horizontal="center"/>
    </xf>
    <xf numFmtId="0" fontId="54" fillId="2" borderId="60" xfId="0" applyFont="1" applyFill="1" applyBorder="1" applyAlignment="1" applyProtection="1">
      <alignment horizontal="center" vertical="center"/>
      <protection locked="0"/>
    </xf>
    <xf numFmtId="0" fontId="79" fillId="0" borderId="55" xfId="0" quotePrefix="1" applyFont="1" applyFill="1" applyBorder="1"/>
    <xf numFmtId="0" fontId="79" fillId="0" borderId="56" xfId="0" applyFont="1" applyBorder="1"/>
    <xf numFmtId="0" fontId="83" fillId="0" borderId="56" xfId="0" applyFont="1" applyFill="1" applyBorder="1" applyAlignment="1" applyProtection="1">
      <alignment horizontal="center" vertical="center"/>
      <protection locked="0"/>
    </xf>
    <xf numFmtId="0" fontId="79" fillId="0" borderId="56" xfId="0" applyFont="1" applyBorder="1" applyAlignment="1">
      <alignment horizontal="center"/>
    </xf>
    <xf numFmtId="0" fontId="54" fillId="0" borderId="90" xfId="0" applyFont="1" applyBorder="1" applyAlignment="1">
      <alignment horizontal="center" vertical="center"/>
    </xf>
    <xf numFmtId="0" fontId="79" fillId="0" borderId="57" xfId="0" applyFont="1" applyBorder="1" applyAlignment="1">
      <alignment horizontal="left" vertical="center"/>
    </xf>
    <xf numFmtId="0" fontId="54" fillId="0" borderId="51" xfId="0" quotePrefix="1" applyFont="1" applyFill="1" applyBorder="1"/>
    <xf numFmtId="0" fontId="56" fillId="0" borderId="51" xfId="0" quotePrefix="1" applyFont="1" applyFill="1" applyBorder="1"/>
    <xf numFmtId="0" fontId="56" fillId="0" borderId="51" xfId="0" applyFont="1" applyBorder="1"/>
    <xf numFmtId="49" fontId="56" fillId="0" borderId="51" xfId="0" applyNumberFormat="1" applyFont="1" applyFill="1" applyBorder="1" applyAlignment="1" applyProtection="1">
      <alignment horizontal="center"/>
      <protection locked="0"/>
    </xf>
    <xf numFmtId="0" fontId="56" fillId="0" borderId="51" xfId="0" applyFont="1" applyFill="1" applyBorder="1" applyAlignment="1">
      <alignment horizontal="center"/>
    </xf>
    <xf numFmtId="0" fontId="56" fillId="0" borderId="51" xfId="0" applyFont="1" applyFill="1" applyBorder="1" applyAlignment="1">
      <alignment horizontal="left"/>
    </xf>
    <xf numFmtId="0" fontId="54" fillId="0" borderId="51" xfId="0" applyFont="1" applyFill="1" applyBorder="1" applyAlignment="1" applyProtection="1">
      <alignment horizontal="center" vertical="center"/>
      <protection locked="0"/>
    </xf>
    <xf numFmtId="0" fontId="54" fillId="2" borderId="51" xfId="0" applyFont="1" applyFill="1" applyBorder="1" applyAlignment="1">
      <alignment horizontal="center"/>
    </xf>
    <xf numFmtId="0" fontId="54" fillId="2" borderId="51" xfId="0" applyFont="1" applyFill="1" applyBorder="1"/>
    <xf numFmtId="0" fontId="54" fillId="0" borderId="68" xfId="0" applyFont="1" applyFill="1" applyBorder="1" applyAlignment="1" applyProtection="1">
      <alignment horizontal="center" vertical="center"/>
      <protection locked="0"/>
    </xf>
    <xf numFmtId="0" fontId="54" fillId="2" borderId="68" xfId="0" applyFont="1" applyFill="1" applyBorder="1"/>
    <xf numFmtId="0" fontId="54" fillId="2" borderId="68" xfId="0" applyFont="1" applyFill="1" applyBorder="1" applyAlignment="1">
      <alignment horizontal="center"/>
    </xf>
    <xf numFmtId="0" fontId="11" fillId="0" borderId="0" xfId="0" applyFont="1"/>
    <xf numFmtId="0" fontId="56" fillId="0" borderId="51" xfId="0" applyFont="1" applyBorder="1" applyAlignment="1">
      <alignment horizontal="center"/>
    </xf>
    <xf numFmtId="0" fontId="54" fillId="0" borderId="72" xfId="0" applyFont="1" applyFill="1" applyBorder="1" applyAlignment="1">
      <alignment horizontal="left"/>
    </xf>
    <xf numFmtId="49" fontId="54" fillId="0" borderId="72" xfId="0" applyNumberFormat="1" applyFont="1" applyBorder="1" applyAlignment="1" applyProtection="1">
      <alignment horizontal="center"/>
      <protection locked="0"/>
    </xf>
    <xf numFmtId="0" fontId="54" fillId="0" borderId="72" xfId="0" applyFont="1" applyBorder="1" applyAlignment="1">
      <alignment horizontal="left"/>
    </xf>
    <xf numFmtId="0" fontId="56" fillId="0" borderId="72" xfId="0" applyFont="1" applyFill="1" applyBorder="1" applyAlignment="1">
      <alignment horizontal="left"/>
    </xf>
    <xf numFmtId="0" fontId="54" fillId="0" borderId="72" xfId="0" applyFont="1" applyBorder="1" applyAlignment="1">
      <alignment horizontal="left" vertical="center"/>
    </xf>
    <xf numFmtId="0" fontId="54" fillId="0" borderId="72" xfId="0" applyFont="1" applyBorder="1" applyAlignment="1" applyProtection="1">
      <alignment horizontal="center" vertical="center"/>
      <protection locked="0"/>
    </xf>
    <xf numFmtId="0" fontId="57" fillId="0" borderId="72" xfId="0" applyFont="1" applyFill="1" applyBorder="1" applyAlignment="1" applyProtection="1">
      <alignment horizontal="center" vertical="center"/>
      <protection locked="0"/>
    </xf>
    <xf numFmtId="0" fontId="0" fillId="0" borderId="90" xfId="0" applyBorder="1" applyAlignment="1">
      <alignment horizontal="center"/>
    </xf>
    <xf numFmtId="0" fontId="56" fillId="0" borderId="60" xfId="0" quotePrefix="1" applyFont="1" applyFill="1" applyBorder="1"/>
    <xf numFmtId="0" fontId="16" fillId="0" borderId="70" xfId="0" applyFont="1" applyBorder="1" applyAlignment="1">
      <alignment horizontal="center"/>
    </xf>
    <xf numFmtId="0" fontId="54" fillId="0" borderId="88" xfId="0" quotePrefix="1" applyFont="1" applyBorder="1"/>
    <xf numFmtId="0" fontId="54" fillId="0" borderId="89" xfId="0" applyFont="1" applyBorder="1"/>
    <xf numFmtId="0" fontId="54" fillId="0" borderId="89" xfId="0" applyFont="1" applyFill="1" applyBorder="1" applyAlignment="1" applyProtection="1">
      <alignment horizontal="center" vertical="center"/>
      <protection locked="0"/>
    </xf>
    <xf numFmtId="0" fontId="0" fillId="0" borderId="60" xfId="0" applyBorder="1"/>
    <xf numFmtId="0" fontId="54" fillId="0" borderId="90" xfId="0" applyFont="1" applyBorder="1" applyAlignment="1">
      <alignment horizontal="center"/>
    </xf>
    <xf numFmtId="49" fontId="54" fillId="0" borderId="88" xfId="0" applyNumberFormat="1" applyFont="1" applyBorder="1" applyAlignment="1" applyProtection="1">
      <alignment horizontal="center"/>
      <protection locked="0"/>
    </xf>
    <xf numFmtId="0" fontId="57" fillId="0" borderId="89" xfId="0" applyFont="1" applyFill="1" applyBorder="1" applyAlignment="1" applyProtection="1">
      <alignment horizontal="center" vertical="center"/>
      <protection locked="0"/>
    </xf>
    <xf numFmtId="0" fontId="54" fillId="2" borderId="89" xfId="0" applyFont="1" applyFill="1" applyBorder="1"/>
    <xf numFmtId="0" fontId="54" fillId="2" borderId="89" xfId="0" applyFont="1" applyFill="1" applyBorder="1" applyAlignment="1">
      <alignment horizontal="center"/>
    </xf>
    <xf numFmtId="0" fontId="54" fillId="2" borderId="90" xfId="0" applyFont="1" applyFill="1" applyBorder="1" applyAlignment="1">
      <alignment horizontal="center"/>
    </xf>
    <xf numFmtId="0" fontId="54" fillId="0" borderId="60" xfId="0" applyFont="1" applyFill="1" applyBorder="1" applyAlignment="1" applyProtection="1">
      <alignment horizontal="center" vertical="center"/>
      <protection locked="0"/>
    </xf>
    <xf numFmtId="0" fontId="54" fillId="2" borderId="70" xfId="0" applyFont="1" applyFill="1" applyBorder="1"/>
    <xf numFmtId="49" fontId="54" fillId="0" borderId="55" xfId="6" applyNumberFormat="1" applyFont="1" applyFill="1" applyBorder="1" applyAlignment="1" applyProtection="1">
      <alignment horizontal="center"/>
      <protection locked="0"/>
    </xf>
    <xf numFmtId="0" fontId="54" fillId="0" borderId="56" xfId="0" applyFont="1" applyFill="1" applyBorder="1"/>
    <xf numFmtId="0" fontId="54" fillId="0" borderId="56" xfId="0" applyFont="1" applyFill="1" applyBorder="1" applyAlignment="1">
      <alignment horizontal="center" vertical="center"/>
    </xf>
    <xf numFmtId="0" fontId="57" fillId="0" borderId="57" xfId="6" quotePrefix="1" applyFont="1" applyFill="1" applyBorder="1" applyAlignment="1" applyProtection="1">
      <alignment horizontal="center" vertical="center"/>
      <protection locked="0"/>
    </xf>
    <xf numFmtId="0" fontId="10" fillId="0" borderId="0" xfId="0" applyFont="1"/>
    <xf numFmtId="0" fontId="58" fillId="0" borderId="30" xfId="0" quotePrefix="1" applyFont="1" applyFill="1" applyBorder="1" applyAlignment="1" applyProtection="1">
      <alignment horizontal="center" vertical="center"/>
      <protection locked="0"/>
    </xf>
    <xf numFmtId="49" fontId="56" fillId="0" borderId="1" xfId="0" quotePrefix="1" applyNumberFormat="1" applyFont="1" applyFill="1" applyBorder="1" applyAlignment="1" applyProtection="1">
      <alignment horizontal="center"/>
      <protection locked="0"/>
    </xf>
    <xf numFmtId="0" fontId="0" fillId="0" borderId="72" xfId="0" quotePrefix="1" applyBorder="1"/>
    <xf numFmtId="0" fontId="56" fillId="0" borderId="67" xfId="0" quotePrefix="1" applyFont="1" applyFill="1" applyBorder="1"/>
    <xf numFmtId="0" fontId="0" fillId="0" borderId="69" xfId="0" applyBorder="1"/>
    <xf numFmtId="0" fontId="0" fillId="0" borderId="56" xfId="0" applyBorder="1" applyAlignment="1">
      <alignment horizontal="left"/>
    </xf>
    <xf numFmtId="0" fontId="56" fillId="2" borderId="92" xfId="0" applyFont="1" applyFill="1" applyBorder="1"/>
    <xf numFmtId="0" fontId="56" fillId="2" borderId="92" xfId="0" applyFont="1" applyFill="1" applyBorder="1" applyAlignment="1">
      <alignment horizontal="center"/>
    </xf>
    <xf numFmtId="0" fontId="54" fillId="0" borderId="63" xfId="0" applyFont="1" applyFill="1" applyBorder="1" applyAlignment="1">
      <alignment horizontal="center"/>
    </xf>
    <xf numFmtId="16" fontId="0" fillId="0" borderId="0" xfId="0" applyNumberFormat="1" applyBorder="1"/>
    <xf numFmtId="0" fontId="9" fillId="0" borderId="0" xfId="0" quotePrefix="1" applyFont="1"/>
    <xf numFmtId="0" fontId="54" fillId="0" borderId="67" xfId="0" quotePrefix="1" applyFont="1" applyFill="1" applyBorder="1"/>
    <xf numFmtId="0" fontId="8" fillId="0" borderId="60" xfId="0" quotePrefix="1" applyFont="1" applyBorder="1"/>
    <xf numFmtId="0" fontId="8" fillId="0" borderId="70" xfId="0" applyFont="1" applyBorder="1"/>
    <xf numFmtId="0" fontId="8" fillId="0" borderId="55" xfId="0" quotePrefix="1" applyFont="1" applyBorder="1"/>
    <xf numFmtId="0" fontId="54" fillId="2" borderId="92" xfId="0" applyFont="1" applyFill="1" applyBorder="1"/>
    <xf numFmtId="0" fontId="54" fillId="0" borderId="92" xfId="0" applyFont="1" applyFill="1" applyBorder="1" applyAlignment="1" applyProtection="1">
      <alignment horizontal="center" vertical="center"/>
      <protection locked="0"/>
    </xf>
    <xf numFmtId="0" fontId="54" fillId="2" borderId="92" xfId="0" applyFont="1" applyFill="1" applyBorder="1" applyAlignment="1">
      <alignment horizontal="center"/>
    </xf>
    <xf numFmtId="0" fontId="0" fillId="0" borderId="92" xfId="0" applyBorder="1"/>
    <xf numFmtId="0" fontId="8" fillId="0" borderId="93" xfId="0" applyFont="1" applyBorder="1"/>
    <xf numFmtId="0" fontId="80" fillId="2" borderId="0" xfId="0" quotePrefix="1" applyFont="1" applyFill="1" applyBorder="1" applyAlignment="1"/>
    <xf numFmtId="0" fontId="80" fillId="0" borderId="0" xfId="0" applyFont="1" applyBorder="1" applyAlignment="1">
      <alignment horizontal="center"/>
    </xf>
    <xf numFmtId="0" fontId="36" fillId="0" borderId="0" xfId="0" applyFont="1" applyBorder="1" applyAlignment="1">
      <alignment horizontal="center"/>
    </xf>
    <xf numFmtId="0" fontId="79" fillId="0" borderId="0" xfId="0" quotePrefix="1" applyFont="1" applyBorder="1"/>
    <xf numFmtId="0" fontId="79" fillId="0" borderId="0" xfId="0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0" fontId="6" fillId="0" borderId="0" xfId="0" applyFont="1"/>
    <xf numFmtId="0" fontId="5" fillId="0" borderId="0" xfId="0" applyFont="1"/>
    <xf numFmtId="0" fontId="56" fillId="0" borderId="72" xfId="0" applyFont="1" applyBorder="1" applyAlignment="1" applyProtection="1">
      <alignment horizontal="center" vertical="center"/>
      <protection locked="0"/>
    </xf>
    <xf numFmtId="0" fontId="56" fillId="0" borderId="63" xfId="0" quotePrefix="1" applyFont="1" applyBorder="1" applyAlignment="1">
      <alignment horizontal="center"/>
    </xf>
    <xf numFmtId="0" fontId="56" fillId="0" borderId="72" xfId="6" quotePrefix="1" applyFont="1" applyBorder="1" applyAlignment="1" applyProtection="1">
      <alignment horizontal="center" vertical="center"/>
      <protection locked="0"/>
    </xf>
    <xf numFmtId="0" fontId="56" fillId="2" borderId="52" xfId="0" applyFont="1" applyFill="1" applyBorder="1" applyAlignment="1"/>
    <xf numFmtId="0" fontId="62" fillId="2" borderId="63" xfId="0" applyFont="1" applyFill="1" applyBorder="1"/>
    <xf numFmtId="0" fontId="56" fillId="2" borderId="63" xfId="0" quotePrefix="1" applyFont="1" applyFill="1" applyBorder="1" applyAlignment="1">
      <alignment horizontal="left"/>
    </xf>
    <xf numFmtId="0" fontId="54" fillId="2" borderId="74" xfId="0" applyFont="1" applyFill="1" applyBorder="1" applyAlignment="1">
      <alignment horizontal="center"/>
    </xf>
    <xf numFmtId="0" fontId="54" fillId="2" borderId="66" xfId="0" applyFont="1" applyFill="1" applyBorder="1" applyAlignment="1">
      <alignment horizontal="center"/>
    </xf>
    <xf numFmtId="0" fontId="64" fillId="3" borderId="37" xfId="6" applyFont="1" applyFill="1" applyBorder="1" applyAlignment="1">
      <alignment horizontal="center" vertical="center"/>
    </xf>
    <xf numFmtId="0" fontId="53" fillId="3" borderId="38" xfId="6" applyFont="1" applyFill="1" applyBorder="1" applyAlignment="1">
      <alignment horizontal="center" vertical="center"/>
    </xf>
    <xf numFmtId="49" fontId="56" fillId="0" borderId="91" xfId="0" applyNumberFormat="1" applyFont="1" applyBorder="1" applyAlignment="1" applyProtection="1">
      <alignment horizontal="center"/>
      <protection locked="0"/>
    </xf>
    <xf numFmtId="49" fontId="56" fillId="0" borderId="65" xfId="0" applyNumberFormat="1" applyFont="1" applyBorder="1" applyAlignment="1" applyProtection="1">
      <alignment horizontal="center"/>
      <protection locked="0"/>
    </xf>
    <xf numFmtId="0" fontId="0" fillId="0" borderId="58" xfId="0" applyBorder="1"/>
    <xf numFmtId="0" fontId="58" fillId="0" borderId="92" xfId="0" applyFont="1" applyFill="1" applyBorder="1" applyAlignment="1" applyProtection="1">
      <alignment horizontal="center" vertical="center"/>
      <protection locked="0"/>
    </xf>
    <xf numFmtId="0" fontId="0" fillId="0" borderId="74" xfId="0" applyBorder="1"/>
    <xf numFmtId="0" fontId="0" fillId="0" borderId="74" xfId="0" applyBorder="1" applyAlignment="1">
      <alignment horizontal="center"/>
    </xf>
    <xf numFmtId="0" fontId="56" fillId="0" borderId="89" xfId="0" applyFont="1" applyFill="1" applyBorder="1" applyAlignment="1" applyProtection="1">
      <alignment horizontal="center" vertical="center"/>
      <protection locked="0"/>
    </xf>
    <xf numFmtId="0" fontId="56" fillId="0" borderId="89" xfId="0" applyFont="1" applyFill="1" applyBorder="1" applyAlignment="1">
      <alignment horizontal="center"/>
    </xf>
    <xf numFmtId="0" fontId="56" fillId="2" borderId="89" xfId="0" applyFont="1" applyFill="1" applyBorder="1"/>
    <xf numFmtId="0" fontId="56" fillId="2" borderId="89" xfId="0" applyFont="1" applyFill="1" applyBorder="1" applyAlignment="1">
      <alignment horizontal="center"/>
    </xf>
    <xf numFmtId="0" fontId="56" fillId="2" borderId="90" xfId="0" applyFont="1" applyFill="1" applyBorder="1" applyAlignment="1">
      <alignment horizontal="center"/>
    </xf>
    <xf numFmtId="0" fontId="4" fillId="0" borderId="72" xfId="0" applyFont="1" applyBorder="1" applyAlignment="1">
      <alignment horizontal="center"/>
    </xf>
    <xf numFmtId="0" fontId="4" fillId="0" borderId="0" xfId="6" applyFont="1" applyBorder="1" applyAlignment="1">
      <alignment horizontal="center" vertical="center"/>
    </xf>
    <xf numFmtId="0" fontId="80" fillId="0" borderId="0" xfId="0" quotePrefix="1" applyFont="1" applyBorder="1" applyAlignment="1" applyProtection="1">
      <alignment horizontal="center" vertical="center"/>
      <protection locked="0"/>
    </xf>
    <xf numFmtId="49" fontId="0" fillId="0" borderId="0" xfId="0" applyNumberFormat="1" applyBorder="1" applyAlignment="1" applyProtection="1">
      <alignment horizontal="center"/>
      <protection locked="0"/>
    </xf>
    <xf numFmtId="0" fontId="58" fillId="0" borderId="0" xfId="0" applyFont="1" applyFill="1" applyBorder="1" applyAlignment="1" applyProtection="1">
      <alignment horizontal="center" vertical="center"/>
      <protection locked="0"/>
    </xf>
    <xf numFmtId="0" fontId="80" fillId="0" borderId="0" xfId="0" quotePrefix="1" applyFont="1" applyBorder="1"/>
    <xf numFmtId="0" fontId="80" fillId="2" borderId="0" xfId="0" applyFont="1" applyFill="1" applyBorder="1"/>
    <xf numFmtId="0" fontId="87" fillId="2" borderId="0" xfId="0" applyFont="1" applyFill="1" applyBorder="1" applyAlignment="1"/>
    <xf numFmtId="0" fontId="87" fillId="0" borderId="0" xfId="0" applyFont="1" applyBorder="1" applyAlignment="1" applyProtection="1">
      <alignment vertical="center"/>
      <protection locked="0"/>
    </xf>
    <xf numFmtId="0" fontId="80" fillId="0" borderId="0" xfId="0" applyFont="1" applyBorder="1" applyAlignment="1" applyProtection="1">
      <alignment vertical="center"/>
      <protection locked="0"/>
    </xf>
    <xf numFmtId="0" fontId="56" fillId="2" borderId="0" xfId="0" quotePrefix="1" applyFont="1" applyFill="1" applyBorder="1" applyAlignment="1">
      <alignment horizontal="left"/>
    </xf>
    <xf numFmtId="0" fontId="84" fillId="2" borderId="0" xfId="0" applyFont="1" applyFill="1" applyBorder="1"/>
    <xf numFmtId="0" fontId="23" fillId="0" borderId="0" xfId="0" applyFont="1" applyBorder="1"/>
    <xf numFmtId="0" fontId="54" fillId="0" borderId="0" xfId="0" quotePrefix="1" applyFont="1" applyBorder="1" applyAlignment="1" applyProtection="1">
      <alignment horizontal="center" vertical="center"/>
      <protection locked="0"/>
    </xf>
    <xf numFmtId="0" fontId="54" fillId="0" borderId="0" xfId="0" applyFont="1" applyBorder="1" applyAlignment="1" applyProtection="1">
      <alignment vertical="center"/>
      <protection locked="0"/>
    </xf>
    <xf numFmtId="0" fontId="29" fillId="0" borderId="0" xfId="0" applyFont="1" applyBorder="1"/>
    <xf numFmtId="0" fontId="88" fillId="0" borderId="0" xfId="0" quotePrefix="1" applyFont="1" applyBorder="1" applyAlignment="1">
      <alignment horizontal="center"/>
    </xf>
    <xf numFmtId="0" fontId="88" fillId="0" borderId="0" xfId="0" applyFont="1" applyBorder="1"/>
    <xf numFmtId="0" fontId="91" fillId="0" borderId="0" xfId="0" quotePrefix="1" applyFont="1" applyBorder="1" applyAlignment="1">
      <alignment horizontal="center"/>
    </xf>
    <xf numFmtId="0" fontId="91" fillId="0" borderId="0" xfId="0" applyFont="1" applyBorder="1"/>
    <xf numFmtId="0" fontId="61" fillId="0" borderId="0" xfId="0" quotePrefix="1" applyFont="1" applyBorder="1" applyAlignment="1">
      <alignment horizontal="center"/>
    </xf>
    <xf numFmtId="0" fontId="61" fillId="0" borderId="0" xfId="0" applyFont="1" applyBorder="1"/>
    <xf numFmtId="0" fontId="92" fillId="0" borderId="0" xfId="0" applyFont="1" applyBorder="1"/>
    <xf numFmtId="0" fontId="54" fillId="0" borderId="0" xfId="0" quotePrefix="1" applyFont="1" applyBorder="1" applyAlignment="1">
      <alignment horizontal="center"/>
    </xf>
    <xf numFmtId="0" fontId="0" fillId="0" borderId="0" xfId="0" quotePrefix="1" applyBorder="1" applyAlignment="1">
      <alignment horizontal="left"/>
    </xf>
    <xf numFmtId="0" fontId="29" fillId="0" borderId="0" xfId="0" applyFont="1" applyBorder="1" applyAlignment="1">
      <alignment horizontal="left"/>
    </xf>
    <xf numFmtId="0" fontId="66" fillId="0" borderId="0" xfId="0" applyFont="1" applyBorder="1"/>
    <xf numFmtId="0" fontId="28" fillId="0" borderId="0" xfId="0" applyFont="1" applyFill="1" applyBorder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56" fillId="0" borderId="66" xfId="0" applyFont="1" applyBorder="1" applyAlignment="1">
      <alignment horizontal="center"/>
    </xf>
    <xf numFmtId="0" fontId="56" fillId="0" borderId="86" xfId="0" applyFont="1" applyBorder="1" applyAlignment="1">
      <alignment horizontal="center"/>
    </xf>
    <xf numFmtId="0" fontId="80" fillId="2" borderId="94" xfId="0" applyFont="1" applyFill="1" applyBorder="1"/>
    <xf numFmtId="0" fontId="56" fillId="2" borderId="95" xfId="0" applyFont="1" applyFill="1" applyBorder="1"/>
    <xf numFmtId="0" fontId="54" fillId="2" borderId="95" xfId="0" applyFont="1" applyFill="1" applyBorder="1"/>
    <xf numFmtId="0" fontId="16" fillId="0" borderId="0" xfId="0" applyFont="1" applyBorder="1"/>
    <xf numFmtId="0" fontId="16" fillId="0" borderId="0" xfId="0" quotePrefix="1" applyFont="1" applyBorder="1"/>
    <xf numFmtId="0" fontId="13" fillId="0" borderId="0" xfId="0" applyFont="1" applyFill="1" applyBorder="1" applyAlignment="1" applyProtection="1">
      <alignment horizontal="center" vertical="center"/>
      <protection locked="0"/>
    </xf>
    <xf numFmtId="0" fontId="13" fillId="0" borderId="0" xfId="0" quotePrefix="1" applyFont="1" applyBorder="1" applyAlignment="1">
      <alignment horizontal="center"/>
    </xf>
    <xf numFmtId="0" fontId="13" fillId="0" borderId="0" xfId="0" applyFont="1" applyBorder="1"/>
    <xf numFmtId="0" fontId="13" fillId="0" borderId="0" xfId="0" applyFont="1" applyBorder="1" applyAlignment="1">
      <alignment horizontal="center"/>
    </xf>
    <xf numFmtId="49" fontId="27" fillId="0" borderId="0" xfId="0" applyNumberFormat="1" applyFont="1" applyBorder="1" applyAlignment="1" applyProtection="1">
      <alignment horizontal="center"/>
      <protection locked="0"/>
    </xf>
    <xf numFmtId="0" fontId="56" fillId="2" borderId="0" xfId="0" applyFont="1" applyFill="1" applyBorder="1" applyAlignment="1" applyProtection="1">
      <alignment horizontal="center" vertical="center"/>
      <protection locked="0"/>
    </xf>
    <xf numFmtId="0" fontId="65" fillId="0" borderId="0" xfId="0" quotePrefix="1" applyFont="1" applyFill="1" applyBorder="1" applyAlignment="1" applyProtection="1">
      <alignment horizontal="center" vertical="center"/>
      <protection locked="0"/>
    </xf>
    <xf numFmtId="0" fontId="25" fillId="0" borderId="0" xfId="0" applyFont="1" applyBorder="1"/>
    <xf numFmtId="0" fontId="25" fillId="0" borderId="0" xfId="0" applyFont="1" applyBorder="1" applyAlignment="1">
      <alignment horizontal="center"/>
    </xf>
    <xf numFmtId="0" fontId="4" fillId="0" borderId="0" xfId="0" applyFont="1"/>
    <xf numFmtId="0" fontId="4" fillId="0" borderId="0" xfId="0" applyFont="1" applyFill="1" applyBorder="1" applyAlignment="1">
      <alignment horizontal="center"/>
    </xf>
    <xf numFmtId="0" fontId="65" fillId="0" borderId="0" xfId="0" applyFont="1" applyBorder="1" applyAlignment="1" applyProtection="1">
      <alignment vertical="center"/>
      <protection locked="0"/>
    </xf>
    <xf numFmtId="0" fontId="54" fillId="2" borderId="0" xfId="0" applyFont="1" applyFill="1" applyBorder="1" applyAlignment="1" applyProtection="1">
      <alignment horizontal="center" vertical="center"/>
      <protection locked="0"/>
    </xf>
    <xf numFmtId="0" fontId="54" fillId="2" borderId="0" xfId="0" quotePrefix="1" applyFont="1" applyFill="1" applyBorder="1"/>
    <xf numFmtId="0" fontId="96" fillId="0" borderId="0" xfId="0" applyFont="1" applyFill="1" applyBorder="1" applyAlignment="1" applyProtection="1">
      <alignment horizontal="center" vertical="center"/>
      <protection locked="0"/>
    </xf>
    <xf numFmtId="0" fontId="96" fillId="0" borderId="0" xfId="0" quotePrefix="1" applyFont="1" applyBorder="1" applyAlignment="1">
      <alignment horizontal="center"/>
    </xf>
    <xf numFmtId="0" fontId="96" fillId="0" borderId="0" xfId="0" applyFont="1" applyBorder="1"/>
    <xf numFmtId="0" fontId="96" fillId="0" borderId="0" xfId="0" applyFont="1" applyBorder="1" applyAlignment="1">
      <alignment horizontal="center"/>
    </xf>
    <xf numFmtId="0" fontId="96" fillId="0" borderId="0" xfId="0" applyFont="1"/>
    <xf numFmtId="49" fontId="96" fillId="0" borderId="0" xfId="0" applyNumberFormat="1" applyFont="1" applyBorder="1" applyAlignment="1" applyProtection="1">
      <alignment horizontal="center"/>
      <protection locked="0"/>
    </xf>
    <xf numFmtId="0" fontId="96" fillId="0" borderId="0" xfId="0" quotePrefix="1" applyFont="1" applyBorder="1"/>
    <xf numFmtId="0" fontId="96" fillId="2" borderId="0" xfId="0" applyFont="1" applyFill="1" applyBorder="1" applyAlignment="1" applyProtection="1">
      <alignment horizontal="center" vertical="center"/>
      <protection locked="0"/>
    </xf>
    <xf numFmtId="0" fontId="56" fillId="0" borderId="92" xfId="0" quotePrefix="1" applyFont="1" applyBorder="1" applyAlignment="1">
      <alignment horizontal="center"/>
    </xf>
    <xf numFmtId="0" fontId="56" fillId="0" borderId="92" xfId="0" applyFont="1" applyBorder="1"/>
    <xf numFmtId="0" fontId="56" fillId="0" borderId="92" xfId="0" applyFont="1" applyBorder="1" applyAlignment="1">
      <alignment horizontal="center"/>
    </xf>
    <xf numFmtId="0" fontId="78" fillId="2" borderId="96" xfId="6" applyFill="1" applyBorder="1" applyAlignment="1">
      <alignment horizontal="center"/>
    </xf>
    <xf numFmtId="0" fontId="78" fillId="2" borderId="97" xfId="6" applyFill="1" applyBorder="1" applyAlignment="1">
      <alignment horizontal="center"/>
    </xf>
    <xf numFmtId="0" fontId="78" fillId="2" borderId="98" xfId="6" applyFill="1" applyBorder="1" applyAlignment="1">
      <alignment horizontal="center"/>
    </xf>
    <xf numFmtId="0" fontId="56" fillId="0" borderId="92" xfId="0" applyFont="1" applyFill="1" applyBorder="1" applyAlignment="1" applyProtection="1">
      <alignment horizontal="center" vertical="center"/>
      <protection locked="0"/>
    </xf>
    <xf numFmtId="0" fontId="56" fillId="0" borderId="25" xfId="0" applyFont="1" applyBorder="1"/>
    <xf numFmtId="0" fontId="65" fillId="0" borderId="92" xfId="0" applyFont="1" applyFill="1" applyBorder="1" applyAlignment="1" applyProtection="1">
      <alignment horizontal="center" vertical="center"/>
      <protection locked="0"/>
    </xf>
    <xf numFmtId="0" fontId="78" fillId="2" borderId="88" xfId="6" applyFill="1" applyBorder="1" applyAlignment="1">
      <alignment horizontal="center"/>
    </xf>
    <xf numFmtId="49" fontId="56" fillId="0" borderId="89" xfId="0" applyNumberFormat="1" applyFont="1" applyBorder="1" applyAlignment="1" applyProtection="1">
      <alignment horizontal="center"/>
      <protection locked="0"/>
    </xf>
    <xf numFmtId="0" fontId="58" fillId="0" borderId="89" xfId="0" applyFont="1" applyFill="1" applyBorder="1" applyAlignment="1" applyProtection="1">
      <alignment horizontal="center" vertical="center"/>
      <protection locked="0"/>
    </xf>
    <xf numFmtId="0" fontId="56" fillId="2" borderId="61" xfId="0" applyFont="1" applyFill="1" applyBorder="1" applyAlignment="1">
      <alignment horizontal="center"/>
    </xf>
    <xf numFmtId="0" fontId="78" fillId="0" borderId="92" xfId="6" applyBorder="1" applyAlignment="1">
      <alignment horizontal="center"/>
    </xf>
    <xf numFmtId="0" fontId="78" fillId="0" borderId="92" xfId="6" applyBorder="1" applyAlignment="1">
      <alignment horizontal="center" vertical="center"/>
    </xf>
    <xf numFmtId="0" fontId="78" fillId="0" borderId="92" xfId="6" applyBorder="1" applyAlignment="1">
      <alignment horizontal="left" vertical="center"/>
    </xf>
    <xf numFmtId="0" fontId="0" fillId="0" borderId="92" xfId="0" applyBorder="1" applyAlignment="1">
      <alignment horizontal="center"/>
    </xf>
    <xf numFmtId="0" fontId="78" fillId="0" borderId="57" xfId="6" applyBorder="1" applyAlignment="1">
      <alignment horizontal="center" vertical="center"/>
    </xf>
    <xf numFmtId="0" fontId="78" fillId="0" borderId="18" xfId="6" applyBorder="1" applyAlignment="1">
      <alignment horizontal="center"/>
    </xf>
    <xf numFmtId="0" fontId="56" fillId="0" borderId="11" xfId="0" applyFont="1" applyFill="1" applyBorder="1" applyAlignment="1">
      <alignment horizontal="center"/>
    </xf>
    <xf numFmtId="0" fontId="56" fillId="2" borderId="11" xfId="0" applyFont="1" applyFill="1" applyBorder="1"/>
    <xf numFmtId="0" fontId="56" fillId="2" borderId="11" xfId="0" applyFont="1" applyFill="1" applyBorder="1" applyAlignment="1">
      <alignment horizontal="center"/>
    </xf>
    <xf numFmtId="0" fontId="56" fillId="2" borderId="16" xfId="0" applyFont="1" applyFill="1" applyBorder="1" applyAlignment="1">
      <alignment horizontal="center"/>
    </xf>
    <xf numFmtId="0" fontId="78" fillId="0" borderId="89" xfId="6" applyFill="1" applyBorder="1" applyAlignment="1">
      <alignment horizontal="center"/>
    </xf>
    <xf numFmtId="0" fontId="78" fillId="0" borderId="89" xfId="6" applyBorder="1" applyAlignment="1">
      <alignment horizontal="center"/>
    </xf>
    <xf numFmtId="0" fontId="0" fillId="2" borderId="89" xfId="6" applyFont="1" applyFill="1" applyBorder="1" applyAlignment="1">
      <alignment horizontal="left"/>
    </xf>
    <xf numFmtId="0" fontId="0" fillId="0" borderId="89" xfId="0" applyBorder="1" applyAlignment="1">
      <alignment horizontal="center"/>
    </xf>
    <xf numFmtId="0" fontId="78" fillId="0" borderId="90" xfId="6" applyBorder="1" applyAlignment="1">
      <alignment horizontal="center"/>
    </xf>
    <xf numFmtId="0" fontId="3" fillId="0" borderId="88" xfId="6" applyFont="1" applyBorder="1" applyAlignment="1">
      <alignment horizontal="center"/>
    </xf>
    <xf numFmtId="0" fontId="3" fillId="0" borderId="55" xfId="6" applyFont="1" applyBorder="1" applyAlignment="1">
      <alignment horizontal="center"/>
    </xf>
    <xf numFmtId="0" fontId="0" fillId="2" borderId="63" xfId="0" applyFill="1" applyBorder="1" applyAlignment="1">
      <alignment horizontal="center"/>
    </xf>
    <xf numFmtId="0" fontId="56" fillId="2" borderId="57" xfId="0" applyFont="1" applyFill="1" applyBorder="1" applyAlignment="1">
      <alignment horizontal="center"/>
    </xf>
    <xf numFmtId="49" fontId="56" fillId="0" borderId="11" xfId="0" applyNumberFormat="1" applyFont="1" applyBorder="1" applyAlignment="1" applyProtection="1">
      <alignment horizontal="center"/>
      <protection locked="0"/>
    </xf>
    <xf numFmtId="0" fontId="0" fillId="0" borderId="88" xfId="0" applyBorder="1" applyAlignment="1">
      <alignment horizontal="center"/>
    </xf>
    <xf numFmtId="0" fontId="56" fillId="2" borderId="18" xfId="6" applyFont="1" applyFill="1" applyBorder="1" applyAlignment="1">
      <alignment horizontal="center"/>
    </xf>
    <xf numFmtId="0" fontId="56" fillId="2" borderId="73" xfId="6" applyFont="1" applyFill="1" applyBorder="1" applyAlignment="1">
      <alignment horizontal="center" vertical="center"/>
    </xf>
    <xf numFmtId="0" fontId="0" fillId="2" borderId="73" xfId="6" applyFont="1" applyFill="1" applyBorder="1" applyAlignment="1">
      <alignment horizontal="left"/>
    </xf>
    <xf numFmtId="0" fontId="0" fillId="2" borderId="73" xfId="6" applyFont="1" applyFill="1" applyBorder="1" applyAlignment="1">
      <alignment horizontal="center"/>
    </xf>
    <xf numFmtId="0" fontId="67" fillId="2" borderId="44" xfId="6" applyFont="1" applyFill="1" applyBorder="1" applyAlignment="1">
      <alignment horizontal="center"/>
    </xf>
    <xf numFmtId="0" fontId="78" fillId="2" borderId="92" xfId="6" applyFill="1" applyBorder="1" applyAlignment="1">
      <alignment horizontal="center"/>
    </xf>
    <xf numFmtId="0" fontId="78" fillId="2" borderId="92" xfId="6" applyFill="1" applyBorder="1" applyAlignment="1">
      <alignment horizontal="left"/>
    </xf>
    <xf numFmtId="0" fontId="56" fillId="0" borderId="89" xfId="0" quotePrefix="1" applyNumberFormat="1" applyFont="1" applyBorder="1" applyAlignment="1" applyProtection="1">
      <alignment horizontal="center"/>
      <protection locked="0"/>
    </xf>
    <xf numFmtId="0" fontId="56" fillId="0" borderId="92" xfId="0" quotePrefix="1" applyNumberFormat="1" applyFont="1" applyBorder="1" applyAlignment="1" applyProtection="1">
      <alignment horizontal="center"/>
      <protection locked="0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52" fillId="0" borderId="0" xfId="6" applyFont="1" applyBorder="1" applyAlignment="1">
      <alignment horizontal="center" vertical="center"/>
    </xf>
    <xf numFmtId="0" fontId="52" fillId="0" borderId="0" xfId="6" applyFont="1" applyAlignment="1">
      <alignment horizontal="center" vertical="center"/>
    </xf>
    <xf numFmtId="0" fontId="53" fillId="0" borderId="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49" fillId="0" borderId="0" xfId="0" applyFont="1" applyBorder="1" applyAlignment="1">
      <alignment horizontal="center" vertical="center"/>
    </xf>
    <xf numFmtId="0" fontId="2" fillId="0" borderId="0" xfId="0" applyFont="1"/>
    <xf numFmtId="0" fontId="2" fillId="0" borderId="72" xfId="0" applyFont="1" applyBorder="1"/>
    <xf numFmtId="0" fontId="0" fillId="0" borderId="63" xfId="0" applyBorder="1" applyAlignment="1">
      <alignment horizontal="center"/>
    </xf>
    <xf numFmtId="0" fontId="56" fillId="0" borderId="58" xfId="0" applyFont="1" applyFill="1" applyBorder="1" applyAlignment="1" applyProtection="1">
      <alignment horizontal="center" vertical="center"/>
      <protection locked="0"/>
    </xf>
    <xf numFmtId="0" fontId="56" fillId="0" borderId="10" xfId="0" applyFont="1" applyFill="1" applyBorder="1" applyAlignment="1" applyProtection="1">
      <alignment horizontal="center" vertical="center"/>
      <protection locked="0"/>
    </xf>
    <xf numFmtId="0" fontId="0" fillId="0" borderId="63" xfId="0" quotePrefix="1" applyBorder="1" applyAlignment="1">
      <alignment horizontal="center"/>
    </xf>
    <xf numFmtId="0" fontId="0" fillId="0" borderId="63" xfId="0" applyBorder="1"/>
    <xf numFmtId="0" fontId="56" fillId="0" borderId="72" xfId="0" applyFont="1" applyFill="1" applyBorder="1"/>
    <xf numFmtId="0" fontId="56" fillId="0" borderId="72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/>
    </xf>
    <xf numFmtId="0" fontId="56" fillId="2" borderId="15" xfId="0" applyFont="1" applyFill="1" applyBorder="1" applyAlignment="1">
      <alignment horizontal="center"/>
    </xf>
    <xf numFmtId="0" fontId="56" fillId="2" borderId="11" xfId="6" applyFont="1" applyFill="1" applyBorder="1" applyAlignment="1">
      <alignment horizontal="center"/>
    </xf>
    <xf numFmtId="0" fontId="56" fillId="2" borderId="89" xfId="0" quotePrefix="1" applyFont="1" applyFill="1" applyBorder="1" applyAlignment="1">
      <alignment horizontal="left"/>
    </xf>
    <xf numFmtId="0" fontId="56" fillId="0" borderId="89" xfId="0" quotePrefix="1" applyFont="1" applyBorder="1" applyAlignment="1" applyProtection="1">
      <alignment horizontal="center" vertical="center"/>
      <protection locked="0"/>
    </xf>
    <xf numFmtId="0" fontId="56" fillId="0" borderId="11" xfId="0" quotePrefix="1" applyFont="1" applyBorder="1" applyAlignment="1" applyProtection="1">
      <alignment horizontal="center" vertical="center"/>
      <protection locked="0"/>
    </xf>
    <xf numFmtId="0" fontId="56" fillId="0" borderId="89" xfId="0" applyFont="1" applyBorder="1" applyAlignment="1" applyProtection="1">
      <alignment vertical="center"/>
      <protection locked="0"/>
    </xf>
    <xf numFmtId="0" fontId="56" fillId="0" borderId="11" xfId="0" applyFont="1" applyBorder="1" applyAlignment="1" applyProtection="1">
      <alignment vertical="center"/>
      <protection locked="0"/>
    </xf>
    <xf numFmtId="49" fontId="56" fillId="0" borderId="25" xfId="0" applyNumberFormat="1" applyFont="1" applyBorder="1" applyAlignment="1" applyProtection="1">
      <alignment horizontal="center"/>
      <protection locked="0"/>
    </xf>
    <xf numFmtId="0" fontId="56" fillId="0" borderId="25" xfId="0" quotePrefix="1" applyFont="1" applyBorder="1" applyAlignment="1">
      <alignment horizontal="center"/>
    </xf>
    <xf numFmtId="0" fontId="56" fillId="0" borderId="25" xfId="0" applyFont="1" applyBorder="1" applyAlignment="1">
      <alignment horizontal="center"/>
    </xf>
    <xf numFmtId="0" fontId="56" fillId="0" borderId="90" xfId="0" applyFont="1" applyBorder="1" applyAlignment="1">
      <alignment horizontal="center"/>
    </xf>
    <xf numFmtId="49" fontId="56" fillId="0" borderId="92" xfId="0" applyNumberFormat="1" applyFont="1" applyBorder="1" applyAlignment="1" applyProtection="1">
      <alignment horizontal="center"/>
      <protection locked="0"/>
    </xf>
    <xf numFmtId="0" fontId="56" fillId="2" borderId="72" xfId="0" quotePrefix="1" applyFont="1" applyFill="1" applyBorder="1" applyAlignment="1">
      <alignment horizontal="center"/>
    </xf>
    <xf numFmtId="0" fontId="56" fillId="2" borderId="25" xfId="0" applyFont="1" applyFill="1" applyBorder="1" applyAlignment="1" applyProtection="1">
      <alignment horizontal="center" vertical="center"/>
      <protection locked="0"/>
    </xf>
    <xf numFmtId="0" fontId="56" fillId="0" borderId="72" xfId="0" quotePrefix="1" applyFont="1" applyFill="1" applyBorder="1" applyAlignment="1" applyProtection="1">
      <alignment horizontal="center" vertical="center"/>
      <protection locked="0"/>
    </xf>
    <xf numFmtId="0" fontId="56" fillId="0" borderId="93" xfId="0" applyFont="1" applyBorder="1" applyAlignment="1">
      <alignment horizontal="center"/>
    </xf>
    <xf numFmtId="0" fontId="0" fillId="0" borderId="63" xfId="0" applyBorder="1" applyAlignment="1">
      <alignment horizontal="left"/>
    </xf>
    <xf numFmtId="0" fontId="56" fillId="0" borderId="63" xfId="0" applyFont="1" applyBorder="1" applyAlignment="1">
      <alignment horizontal="center"/>
    </xf>
    <xf numFmtId="0" fontId="56" fillId="0" borderId="89" xfId="0" quotePrefix="1" applyFont="1" applyBorder="1" applyAlignment="1">
      <alignment horizontal="center"/>
    </xf>
    <xf numFmtId="0" fontId="0" fillId="0" borderId="89" xfId="0" applyBorder="1" applyAlignment="1">
      <alignment horizontal="left"/>
    </xf>
    <xf numFmtId="0" fontId="65" fillId="0" borderId="63" xfId="0" applyFont="1" applyFill="1" applyBorder="1" applyAlignment="1" applyProtection="1">
      <alignment horizontal="center" vertical="center"/>
      <protection locked="0"/>
    </xf>
    <xf numFmtId="0" fontId="56" fillId="0" borderId="61" xfId="0" applyFont="1" applyBorder="1" applyAlignment="1">
      <alignment horizontal="center"/>
    </xf>
    <xf numFmtId="0" fontId="0" fillId="0" borderId="61" xfId="0" applyBorder="1" applyAlignment="1">
      <alignment horizontal="center"/>
    </xf>
    <xf numFmtId="0" fontId="79" fillId="0" borderId="92" xfId="0" applyFont="1" applyFill="1" applyBorder="1" applyAlignment="1" applyProtection="1">
      <alignment horizontal="center" vertical="center"/>
      <protection locked="0"/>
    </xf>
    <xf numFmtId="0" fontId="79" fillId="0" borderId="92" xfId="0" applyFont="1" applyFill="1" applyBorder="1"/>
    <xf numFmtId="0" fontId="79" fillId="2" borderId="92" xfId="0" applyFont="1" applyFill="1" applyBorder="1"/>
    <xf numFmtId="0" fontId="79" fillId="2" borderId="92" xfId="0" applyFont="1" applyFill="1" applyBorder="1" applyAlignment="1">
      <alignment horizontal="center"/>
    </xf>
    <xf numFmtId="0" fontId="79" fillId="2" borderId="93" xfId="0" applyFont="1" applyFill="1" applyBorder="1"/>
    <xf numFmtId="0" fontId="56" fillId="2" borderId="63" xfId="0" quotePrefix="1" applyFont="1" applyFill="1" applyBorder="1" applyAlignment="1">
      <alignment horizontal="center"/>
    </xf>
    <xf numFmtId="0" fontId="0" fillId="0" borderId="92" xfId="0" applyFill="1" applyBorder="1"/>
    <xf numFmtId="0" fontId="56" fillId="2" borderId="93" xfId="0" applyFont="1" applyFill="1" applyBorder="1"/>
    <xf numFmtId="0" fontId="56" fillId="0" borderId="63" xfId="0" applyFont="1" applyBorder="1" applyAlignment="1">
      <alignment horizontal="left"/>
    </xf>
    <xf numFmtId="0" fontId="56" fillId="0" borderId="55" xfId="0" applyFont="1" applyBorder="1" applyAlignment="1">
      <alignment horizontal="center"/>
    </xf>
    <xf numFmtId="0" fontId="56" fillId="0" borderId="89" xfId="0" applyFont="1" applyBorder="1" applyAlignment="1">
      <alignment horizontal="left"/>
    </xf>
    <xf numFmtId="0" fontId="56" fillId="2" borderId="92" xfId="6" applyFont="1" applyFill="1" applyBorder="1" applyAlignment="1">
      <alignment horizontal="center"/>
    </xf>
    <xf numFmtId="0" fontId="56" fillId="2" borderId="61" xfId="24" applyFont="1" applyFill="1" applyBorder="1" applyAlignment="1" applyProtection="1">
      <alignment horizontal="center" vertical="center"/>
      <protection hidden="1"/>
    </xf>
    <xf numFmtId="0" fontId="0" fillId="0" borderId="93" xfId="0" applyBorder="1" applyAlignment="1">
      <alignment horizontal="center"/>
    </xf>
    <xf numFmtId="0" fontId="97" fillId="0" borderId="63" xfId="24" applyFont="1" applyBorder="1" applyAlignment="1" applyProtection="1">
      <alignment horizontal="center"/>
      <protection locked="0"/>
    </xf>
    <xf numFmtId="0" fontId="2" fillId="0" borderId="63" xfId="0" applyFont="1" applyBorder="1" applyAlignment="1">
      <alignment horizontal="left"/>
    </xf>
    <xf numFmtId="0" fontId="2" fillId="0" borderId="0" xfId="0" quotePrefix="1" applyFont="1"/>
    <xf numFmtId="0" fontId="0" fillId="0" borderId="100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0" borderId="102" xfId="0" applyBorder="1" applyAlignment="1">
      <alignment horizontal="center"/>
    </xf>
    <xf numFmtId="0" fontId="0" fillId="0" borderId="103" xfId="0" applyBorder="1" applyAlignment="1">
      <alignment horizontal="center"/>
    </xf>
    <xf numFmtId="0" fontId="93" fillId="0" borderId="0" xfId="0" applyFont="1" applyBorder="1" applyAlignment="1">
      <alignment horizontal="center"/>
    </xf>
    <xf numFmtId="0" fontId="62" fillId="0" borderId="0" xfId="0" applyFont="1" applyFill="1" applyBorder="1" applyAlignment="1">
      <alignment horizontal="left"/>
    </xf>
    <xf numFmtId="0" fontId="54" fillId="0" borderId="0" xfId="0" applyFont="1" applyBorder="1" applyAlignment="1">
      <alignment horizontal="left" vertical="center"/>
    </xf>
    <xf numFmtId="0" fontId="0" fillId="0" borderId="0" xfId="0" applyFont="1" applyFill="1" applyBorder="1"/>
    <xf numFmtId="0" fontId="95" fillId="0" borderId="0" xfId="0" applyFont="1" applyBorder="1" applyAlignment="1">
      <alignment horizontal="center"/>
    </xf>
    <xf numFmtId="0" fontId="54" fillId="0" borderId="85" xfId="0" applyFont="1" applyBorder="1" applyAlignment="1">
      <alignment horizontal="left"/>
    </xf>
    <xf numFmtId="0" fontId="79" fillId="2" borderId="104" xfId="0" applyFont="1" applyFill="1" applyBorder="1"/>
    <xf numFmtId="0" fontId="54" fillId="2" borderId="0" xfId="6" applyFont="1" applyFill="1" applyBorder="1" applyAlignment="1">
      <alignment horizontal="left"/>
    </xf>
    <xf numFmtId="0" fontId="79" fillId="0" borderId="0" xfId="0" applyFont="1" applyBorder="1" applyAlignment="1">
      <alignment horizontal="left" vertical="center"/>
    </xf>
    <xf numFmtId="0" fontId="0" fillId="0" borderId="105" xfId="0" applyBorder="1" applyAlignment="1">
      <alignment horizontal="center"/>
    </xf>
    <xf numFmtId="0" fontId="0" fillId="0" borderId="106" xfId="0" applyBorder="1" applyAlignment="1">
      <alignment horizontal="center"/>
    </xf>
    <xf numFmtId="49" fontId="0" fillId="0" borderId="59" xfId="0" applyNumberFormat="1" applyBorder="1" applyAlignment="1">
      <alignment horizontal="center"/>
    </xf>
    <xf numFmtId="0" fontId="54" fillId="0" borderId="92" xfId="0" quotePrefix="1" applyFont="1" applyBorder="1" applyAlignment="1">
      <alignment horizontal="center"/>
    </xf>
    <xf numFmtId="0" fontId="54" fillId="0" borderId="92" xfId="0" applyFont="1" applyBorder="1"/>
    <xf numFmtId="0" fontId="54" fillId="0" borderId="92" xfId="0" applyFont="1" applyBorder="1" applyAlignment="1">
      <alignment horizontal="center"/>
    </xf>
    <xf numFmtId="0" fontId="56" fillId="0" borderId="106" xfId="0" applyFont="1" applyBorder="1" applyAlignment="1">
      <alignment horizontal="center"/>
    </xf>
    <xf numFmtId="0" fontId="54" fillId="0" borderId="99" xfId="0" applyFont="1" applyBorder="1"/>
    <xf numFmtId="0" fontId="54" fillId="0" borderId="99" xfId="0" applyFont="1" applyFill="1" applyBorder="1" applyAlignment="1" applyProtection="1">
      <alignment horizontal="center" vertical="center"/>
      <protection locked="0"/>
    </xf>
    <xf numFmtId="0" fontId="54" fillId="0" borderId="99" xfId="0" applyFont="1" applyBorder="1" applyAlignment="1">
      <alignment horizontal="center"/>
    </xf>
    <xf numFmtId="0" fontId="54" fillId="0" borderId="99" xfId="0" applyFont="1" applyFill="1" applyBorder="1" applyAlignment="1">
      <alignment horizontal="left"/>
    </xf>
    <xf numFmtId="0" fontId="54" fillId="0" borderId="99" xfId="0" applyFont="1" applyBorder="1" applyAlignment="1">
      <alignment horizontal="left"/>
    </xf>
    <xf numFmtId="0" fontId="0" fillId="0" borderId="36" xfId="0" applyBorder="1"/>
    <xf numFmtId="0" fontId="0" fillId="0" borderId="36" xfId="0" applyBorder="1" applyAlignment="1"/>
    <xf numFmtId="0" fontId="0" fillId="0" borderId="36" xfId="0" applyBorder="1" applyAlignment="1">
      <alignment horizontal="center"/>
    </xf>
    <xf numFmtId="0" fontId="54" fillId="2" borderId="0" xfId="0" quotePrefix="1" applyFont="1" applyFill="1" applyBorder="1" applyAlignment="1">
      <alignment horizontal="left"/>
    </xf>
    <xf numFmtId="0" fontId="1" fillId="0" borderId="72" xfId="0" applyFont="1" applyBorder="1"/>
    <xf numFmtId="0" fontId="1" fillId="0" borderId="0" xfId="0" quotePrefix="1" applyFont="1"/>
    <xf numFmtId="0" fontId="98" fillId="0" borderId="28" xfId="0" quotePrefix="1" applyFont="1" applyBorder="1"/>
    <xf numFmtId="0" fontId="57" fillId="0" borderId="65" xfId="0" quotePrefix="1" applyFont="1" applyFill="1" applyBorder="1" applyAlignment="1" applyProtection="1">
      <alignment horizontal="center" vertical="center"/>
      <protection locked="0"/>
    </xf>
    <xf numFmtId="0" fontId="54" fillId="0" borderId="72" xfId="0" quotePrefix="1" applyFont="1" applyBorder="1" applyAlignment="1" applyProtection="1">
      <alignment horizontal="center" vertical="center"/>
      <protection locked="0"/>
    </xf>
    <xf numFmtId="0" fontId="92" fillId="0" borderId="72" xfId="0" applyFont="1" applyBorder="1" applyAlignment="1">
      <alignment horizontal="center"/>
    </xf>
    <xf numFmtId="0" fontId="54" fillId="0" borderId="99" xfId="0" quotePrefix="1" applyFont="1" applyBorder="1" applyAlignment="1" applyProtection="1">
      <alignment horizontal="center" vertical="center"/>
      <protection locked="0"/>
    </xf>
    <xf numFmtId="0" fontId="54" fillId="0" borderId="99" xfId="0" applyFont="1" applyBorder="1" applyAlignment="1" applyProtection="1">
      <alignment vertical="center"/>
      <protection locked="0"/>
    </xf>
    <xf numFmtId="0" fontId="54" fillId="2" borderId="99" xfId="0" applyFont="1" applyFill="1" applyBorder="1" applyAlignment="1">
      <alignment horizontal="center"/>
    </xf>
    <xf numFmtId="0" fontId="54" fillId="2" borderId="106" xfId="0" applyFont="1" applyFill="1" applyBorder="1" applyAlignment="1">
      <alignment horizontal="center"/>
    </xf>
    <xf numFmtId="0" fontId="54" fillId="2" borderId="99" xfId="0" applyFont="1" applyFill="1" applyBorder="1"/>
    <xf numFmtId="49" fontId="54" fillId="0" borderId="99" xfId="0" applyNumberFormat="1" applyFont="1" applyBorder="1" applyAlignment="1" applyProtection="1">
      <alignment horizontal="center"/>
      <protection locked="0"/>
    </xf>
    <xf numFmtId="0" fontId="57" fillId="0" borderId="99" xfId="0" applyFont="1" applyFill="1" applyBorder="1" applyAlignment="1" applyProtection="1">
      <alignment horizontal="center" vertical="center"/>
      <protection locked="0"/>
    </xf>
    <xf numFmtId="0" fontId="0" fillId="0" borderId="27" xfId="0" applyBorder="1"/>
    <xf numFmtId="0" fontId="0" fillId="0" borderId="27" xfId="0" applyBorder="1" applyAlignment="1"/>
    <xf numFmtId="0" fontId="0" fillId="0" borderId="27" xfId="0" applyBorder="1" applyAlignment="1">
      <alignment horizontal="center"/>
    </xf>
    <xf numFmtId="0" fontId="54" fillId="2" borderId="107" xfId="0" applyFont="1" applyFill="1" applyBorder="1" applyAlignment="1">
      <alignment horizontal="center"/>
    </xf>
    <xf numFmtId="0" fontId="54" fillId="0" borderId="10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52" fillId="0" borderId="0" xfId="6" applyFont="1" applyBorder="1" applyAlignment="1">
      <alignment horizontal="center" vertical="center"/>
    </xf>
    <xf numFmtId="0" fontId="52" fillId="0" borderId="0" xfId="6" applyFont="1" applyAlignment="1">
      <alignment horizontal="center" vertical="center"/>
    </xf>
    <xf numFmtId="0" fontId="64" fillId="3" borderId="19" xfId="6" applyFont="1" applyFill="1" applyBorder="1" applyAlignment="1">
      <alignment horizontal="center" vertical="center"/>
    </xf>
    <xf numFmtId="0" fontId="64" fillId="3" borderId="36" xfId="6" applyFont="1" applyFill="1" applyBorder="1" applyAlignment="1">
      <alignment horizontal="center" vertical="center"/>
    </xf>
    <xf numFmtId="0" fontId="64" fillId="3" borderId="32" xfId="6" applyFont="1" applyFill="1" applyBorder="1" applyAlignment="1">
      <alignment horizontal="center" vertical="center"/>
    </xf>
    <xf numFmtId="0" fontId="64" fillId="3" borderId="37" xfId="6" applyFont="1" applyFill="1" applyBorder="1" applyAlignment="1">
      <alignment horizontal="center" vertical="center"/>
    </xf>
    <xf numFmtId="0" fontId="64" fillId="3" borderId="38" xfId="6" applyFont="1" applyFill="1" applyBorder="1" applyAlignment="1">
      <alignment horizontal="center" vertical="center"/>
    </xf>
    <xf numFmtId="0" fontId="53" fillId="3" borderId="37" xfId="6" applyFont="1" applyFill="1" applyBorder="1" applyAlignment="1">
      <alignment horizontal="center" vertical="center"/>
    </xf>
    <xf numFmtId="0" fontId="53" fillId="3" borderId="38" xfId="6" applyFont="1" applyFill="1" applyBorder="1" applyAlignment="1">
      <alignment horizontal="center" vertical="center"/>
    </xf>
    <xf numFmtId="0" fontId="53" fillId="3" borderId="42" xfId="6" applyFont="1" applyFill="1" applyBorder="1" applyAlignment="1">
      <alignment horizontal="center" vertical="center"/>
    </xf>
    <xf numFmtId="0" fontId="64" fillId="3" borderId="42" xfId="6" applyFont="1" applyFill="1" applyBorder="1" applyAlignment="1">
      <alignment horizontal="center" vertical="center"/>
    </xf>
    <xf numFmtId="0" fontId="51" fillId="0" borderId="0" xfId="0" applyFont="1" applyBorder="1" applyAlignment="1">
      <alignment horizontal="center" vertical="center"/>
    </xf>
    <xf numFmtId="0" fontId="49" fillId="0" borderId="0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0" fontId="53" fillId="0" borderId="19" xfId="0" applyFont="1" applyBorder="1" applyAlignment="1">
      <alignment horizontal="center"/>
    </xf>
    <xf numFmtId="0" fontId="53" fillId="0" borderId="2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52" fillId="0" borderId="0" xfId="0" applyFont="1" applyBorder="1" applyAlignment="1">
      <alignment horizontal="center"/>
    </xf>
    <xf numFmtId="0" fontId="53" fillId="0" borderId="0" xfId="0" applyFont="1" applyBorder="1" applyAlignment="1">
      <alignment horizontal="center"/>
    </xf>
    <xf numFmtId="0" fontId="53" fillId="0" borderId="0" xfId="0" applyFont="1" applyAlignment="1">
      <alignment horizontal="center"/>
    </xf>
    <xf numFmtId="0" fontId="44" fillId="0" borderId="66" xfId="0" applyFont="1" applyBorder="1" applyAlignment="1">
      <alignment horizontal="center" vertical="center"/>
    </xf>
    <xf numFmtId="0" fontId="44" fillId="0" borderId="57" xfId="0" applyFont="1" applyBorder="1" applyAlignment="1">
      <alignment horizontal="center" vertical="center"/>
    </xf>
    <xf numFmtId="0" fontId="42" fillId="0" borderId="0" xfId="0" applyFont="1" applyAlignment="1">
      <alignment horizontal="center"/>
    </xf>
    <xf numFmtId="0" fontId="44" fillId="0" borderId="65" xfId="0" applyFont="1" applyBorder="1" applyAlignment="1">
      <alignment horizontal="center" vertical="center"/>
    </xf>
    <xf numFmtId="0" fontId="44" fillId="0" borderId="64" xfId="0" applyFont="1" applyBorder="1" applyAlignment="1">
      <alignment horizontal="center" vertical="center"/>
    </xf>
    <xf numFmtId="0" fontId="44" fillId="0" borderId="55" xfId="0" applyFont="1" applyBorder="1" applyAlignment="1">
      <alignment horizontal="center" vertical="center"/>
    </xf>
    <xf numFmtId="0" fontId="44" fillId="0" borderId="56" xfId="0" applyFont="1" applyBorder="1" applyAlignment="1">
      <alignment horizontal="center" vertical="center"/>
    </xf>
    <xf numFmtId="0" fontId="99" fillId="0" borderId="99" xfId="0" applyFont="1" applyBorder="1"/>
    <xf numFmtId="0" fontId="99" fillId="0" borderId="99" xfId="0" quotePrefix="1" applyFont="1" applyBorder="1"/>
    <xf numFmtId="0" fontId="100" fillId="0" borderId="108" xfId="0" applyFont="1" applyFill="1" applyBorder="1" applyAlignment="1">
      <alignment horizontal="center" vertical="center"/>
    </xf>
    <xf numFmtId="0" fontId="99" fillId="0" borderId="72" xfId="0" applyFont="1" applyBorder="1"/>
    <xf numFmtId="0" fontId="99" fillId="0" borderId="72" xfId="0" quotePrefix="1" applyFont="1" applyBorder="1"/>
    <xf numFmtId="0" fontId="101" fillId="0" borderId="108" xfId="0" applyFont="1" applyFill="1" applyBorder="1" applyAlignment="1">
      <alignment horizontal="center" vertical="center"/>
    </xf>
    <xf numFmtId="0" fontId="102" fillId="0" borderId="72" xfId="0" quotePrefix="1" applyFont="1" applyBorder="1"/>
    <xf numFmtId="0" fontId="103" fillId="0" borderId="108" xfId="0" applyFont="1" applyFill="1" applyBorder="1" applyAlignment="1">
      <alignment horizontal="center" vertical="center"/>
    </xf>
    <xf numFmtId="0" fontId="99" fillId="2" borderId="72" xfId="0" applyFont="1" applyFill="1" applyBorder="1"/>
    <xf numFmtId="0" fontId="0" fillId="0" borderId="72" xfId="0" quotePrefix="1" applyFont="1" applyBorder="1" applyAlignment="1">
      <alignment wrapText="1"/>
    </xf>
    <xf numFmtId="0" fontId="104" fillId="0" borderId="108" xfId="0" applyFont="1" applyFill="1" applyBorder="1" applyAlignment="1">
      <alignment horizontal="center" vertical="center"/>
    </xf>
    <xf numFmtId="0" fontId="105" fillId="0" borderId="108" xfId="0" applyFont="1" applyFill="1" applyBorder="1" applyAlignment="1">
      <alignment horizontal="center" vertical="center"/>
    </xf>
    <xf numFmtId="0" fontId="102" fillId="0" borderId="72" xfId="0" applyFont="1" applyBorder="1"/>
    <xf numFmtId="0" fontId="99" fillId="0" borderId="72" xfId="0" quotePrefix="1" applyFont="1" applyFill="1" applyBorder="1"/>
    <xf numFmtId="0" fontId="105" fillId="5" borderId="108" xfId="0" applyFont="1" applyFill="1" applyBorder="1" applyAlignment="1">
      <alignment horizontal="center" vertical="center"/>
    </xf>
    <xf numFmtId="0" fontId="102" fillId="0" borderId="108" xfId="0" applyFont="1" applyFill="1" applyBorder="1" applyAlignment="1">
      <alignment horizontal="center" vertical="center"/>
    </xf>
    <xf numFmtId="0" fontId="99" fillId="3" borderId="72" xfId="0" applyFont="1" applyFill="1" applyBorder="1"/>
    <xf numFmtId="0" fontId="99" fillId="0" borderId="0" xfId="0" quotePrefix="1" applyFont="1" applyBorder="1"/>
    <xf numFmtId="0" fontId="99" fillId="0" borderId="22" xfId="0" quotePrefix="1" applyFont="1" applyBorder="1"/>
    <xf numFmtId="0" fontId="78" fillId="2" borderId="109" xfId="6" applyFill="1" applyBorder="1" applyAlignment="1">
      <alignment horizontal="center"/>
    </xf>
    <xf numFmtId="0" fontId="0" fillId="0" borderId="98" xfId="0" applyBorder="1" applyAlignment="1">
      <alignment horizontal="center"/>
    </xf>
    <xf numFmtId="0" fontId="65" fillId="0" borderId="110" xfId="0" applyFont="1" applyFill="1" applyBorder="1" applyAlignment="1" applyProtection="1">
      <alignment horizontal="center" vertical="center"/>
      <protection locked="0"/>
    </xf>
    <xf numFmtId="0" fontId="56" fillId="0" borderId="72" xfId="0" applyFont="1" applyBorder="1" applyAlignment="1">
      <alignment horizontal="left"/>
    </xf>
    <xf numFmtId="0" fontId="56" fillId="0" borderId="111" xfId="0" applyFont="1" applyBorder="1" applyAlignment="1">
      <alignment horizontal="center"/>
    </xf>
    <xf numFmtId="0" fontId="56" fillId="0" borderId="70" xfId="0" quotePrefix="1" applyFont="1" applyBorder="1" applyAlignment="1">
      <alignment horizontal="center"/>
    </xf>
    <xf numFmtId="0" fontId="0" fillId="0" borderId="45" xfId="0" applyBorder="1"/>
    <xf numFmtId="0" fontId="78" fillId="2" borderId="112" xfId="6" applyFill="1" applyBorder="1" applyAlignment="1">
      <alignment horizontal="center"/>
    </xf>
    <xf numFmtId="0" fontId="65" fillId="0" borderId="113" xfId="0" applyFont="1" applyFill="1" applyBorder="1" applyAlignment="1" applyProtection="1">
      <alignment horizontal="center" vertical="center"/>
      <protection locked="0"/>
    </xf>
    <xf numFmtId="0" fontId="99" fillId="0" borderId="114" xfId="0" quotePrefix="1" applyFont="1" applyBorder="1"/>
    <xf numFmtId="0" fontId="78" fillId="2" borderId="105" xfId="6" applyFill="1" applyBorder="1" applyAlignment="1">
      <alignment horizontal="center"/>
    </xf>
    <xf numFmtId="0" fontId="65" fillId="0" borderId="114" xfId="0" applyFont="1" applyFill="1" applyBorder="1" applyAlignment="1" applyProtection="1">
      <alignment horizontal="center" vertical="center"/>
      <protection locked="0"/>
    </xf>
    <xf numFmtId="0" fontId="56" fillId="2" borderId="105" xfId="6" applyFont="1" applyFill="1" applyBorder="1" applyAlignment="1">
      <alignment horizontal="center"/>
    </xf>
    <xf numFmtId="49" fontId="56" fillId="0" borderId="114" xfId="0" applyNumberFormat="1" applyFont="1" applyBorder="1" applyAlignment="1" applyProtection="1">
      <alignment horizontal="center"/>
      <protection locked="0"/>
    </xf>
    <xf numFmtId="0" fontId="99" fillId="0" borderId="114" xfId="0" quotePrefix="1" applyFont="1" applyFill="1" applyBorder="1"/>
  </cellXfs>
  <cellStyles count="28">
    <cellStyle name="Comma [0] 2" xfId="1"/>
    <cellStyle name="Hyperlink 2" xfId="2"/>
    <cellStyle name="Hyperlink 2 2" xfId="3"/>
    <cellStyle name="Hyperlink 3" xfId="4"/>
    <cellStyle name="Normal" xfId="0" builtinId="0"/>
    <cellStyle name="Normal 10 2 2" xfId="5"/>
    <cellStyle name="Normal 2" xfId="6"/>
    <cellStyle name="Normal 2 2" xfId="7"/>
    <cellStyle name="Normal 2 2 2" xfId="8"/>
    <cellStyle name="Normal 2 2 3" xfId="9"/>
    <cellStyle name="Normal 2 2 3 2" xfId="10"/>
    <cellStyle name="Normal 2 2 3 2 2" xfId="11"/>
    <cellStyle name="Normal 2 2 3 3" xfId="12"/>
    <cellStyle name="Normal 2 2 4" xfId="13"/>
    <cellStyle name="Normal 2 3" xfId="14"/>
    <cellStyle name="Normal 2 4" xfId="15"/>
    <cellStyle name="Normal 2 5" xfId="16"/>
    <cellStyle name="Normal 3" xfId="17"/>
    <cellStyle name="Normal 3 2" xfId="18"/>
    <cellStyle name="Normal 3 3" xfId="19"/>
    <cellStyle name="Normal 3 3 2" xfId="20"/>
    <cellStyle name="Normal 4" xfId="21"/>
    <cellStyle name="Normal 4 2" xfId="22"/>
    <cellStyle name="Normal 4 2 2" xfId="23"/>
    <cellStyle name="Normal 5" xfId="24"/>
    <cellStyle name="Normal 6" xfId="25"/>
    <cellStyle name="Normal 7" xfId="26"/>
    <cellStyle name="Title 2" xfId="27"/>
  </cellStyles>
  <dxfs count="4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38099</xdr:rowOff>
    </xdr:from>
    <xdr:to>
      <xdr:col>1</xdr:col>
      <xdr:colOff>180975</xdr:colOff>
      <xdr:row>4</xdr:row>
      <xdr:rowOff>28575</xdr:rowOff>
    </xdr:to>
    <xdr:pic>
      <xdr:nvPicPr>
        <xdr:cNvPr id="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37465"/>
          <a:ext cx="647700" cy="762635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54</xdr:row>
      <xdr:rowOff>38099</xdr:rowOff>
    </xdr:from>
    <xdr:to>
      <xdr:col>1</xdr:col>
      <xdr:colOff>180975</xdr:colOff>
      <xdr:row>58</xdr:row>
      <xdr:rowOff>28575</xdr:rowOff>
    </xdr:to>
    <xdr:pic>
      <xdr:nvPicPr>
        <xdr:cNvPr id="3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10495915"/>
          <a:ext cx="6477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108</xdr:row>
      <xdr:rowOff>38099</xdr:rowOff>
    </xdr:from>
    <xdr:to>
      <xdr:col>1</xdr:col>
      <xdr:colOff>180975</xdr:colOff>
      <xdr:row>112</xdr:row>
      <xdr:rowOff>28575</xdr:rowOff>
    </xdr:to>
    <xdr:pic>
      <xdr:nvPicPr>
        <xdr:cNvPr id="4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21068665"/>
          <a:ext cx="6477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162</xdr:row>
      <xdr:rowOff>38099</xdr:rowOff>
    </xdr:from>
    <xdr:to>
      <xdr:col>1</xdr:col>
      <xdr:colOff>180975</xdr:colOff>
      <xdr:row>166</xdr:row>
      <xdr:rowOff>28575</xdr:rowOff>
    </xdr:to>
    <xdr:pic>
      <xdr:nvPicPr>
        <xdr:cNvPr id="5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31612840"/>
          <a:ext cx="6477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216</xdr:row>
      <xdr:rowOff>38099</xdr:rowOff>
    </xdr:from>
    <xdr:to>
      <xdr:col>1</xdr:col>
      <xdr:colOff>180975</xdr:colOff>
      <xdr:row>220</xdr:row>
      <xdr:rowOff>28575</xdr:rowOff>
    </xdr:to>
    <xdr:pic>
      <xdr:nvPicPr>
        <xdr:cNvPr id="6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42204640"/>
          <a:ext cx="6477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270</xdr:row>
      <xdr:rowOff>38099</xdr:rowOff>
    </xdr:from>
    <xdr:to>
      <xdr:col>1</xdr:col>
      <xdr:colOff>180975</xdr:colOff>
      <xdr:row>274</xdr:row>
      <xdr:rowOff>28575</xdr:rowOff>
    </xdr:to>
    <xdr:pic>
      <xdr:nvPicPr>
        <xdr:cNvPr id="7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2748815"/>
          <a:ext cx="6477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324</xdr:row>
      <xdr:rowOff>38099</xdr:rowOff>
    </xdr:from>
    <xdr:to>
      <xdr:col>1</xdr:col>
      <xdr:colOff>180975</xdr:colOff>
      <xdr:row>328</xdr:row>
      <xdr:rowOff>28575</xdr:rowOff>
    </xdr:to>
    <xdr:pic>
      <xdr:nvPicPr>
        <xdr:cNvPr id="8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63140590"/>
          <a:ext cx="647700" cy="75311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38099</xdr:rowOff>
    </xdr:from>
    <xdr:to>
      <xdr:col>1</xdr:col>
      <xdr:colOff>180975</xdr:colOff>
      <xdr:row>4</xdr:row>
      <xdr:rowOff>28575</xdr:rowOff>
    </xdr:to>
    <xdr:pic>
      <xdr:nvPicPr>
        <xdr:cNvPr id="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37465"/>
          <a:ext cx="6477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51</xdr:row>
      <xdr:rowOff>38099</xdr:rowOff>
    </xdr:from>
    <xdr:to>
      <xdr:col>1</xdr:col>
      <xdr:colOff>180975</xdr:colOff>
      <xdr:row>55</xdr:row>
      <xdr:rowOff>28575</xdr:rowOff>
    </xdr:to>
    <xdr:pic>
      <xdr:nvPicPr>
        <xdr:cNvPr id="3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10543540"/>
          <a:ext cx="647700" cy="8293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103</xdr:row>
      <xdr:rowOff>38099</xdr:rowOff>
    </xdr:from>
    <xdr:to>
      <xdr:col>1</xdr:col>
      <xdr:colOff>180975</xdr:colOff>
      <xdr:row>107</xdr:row>
      <xdr:rowOff>28575</xdr:rowOff>
    </xdr:to>
    <xdr:pic>
      <xdr:nvPicPr>
        <xdr:cNvPr id="4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20982940"/>
          <a:ext cx="647700" cy="8293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154</xdr:row>
      <xdr:rowOff>38099</xdr:rowOff>
    </xdr:from>
    <xdr:to>
      <xdr:col>1</xdr:col>
      <xdr:colOff>180975</xdr:colOff>
      <xdr:row>158</xdr:row>
      <xdr:rowOff>28575</xdr:rowOff>
    </xdr:to>
    <xdr:pic>
      <xdr:nvPicPr>
        <xdr:cNvPr id="5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31527115"/>
          <a:ext cx="6477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206</xdr:row>
      <xdr:rowOff>38099</xdr:rowOff>
    </xdr:from>
    <xdr:to>
      <xdr:col>1</xdr:col>
      <xdr:colOff>180975</xdr:colOff>
      <xdr:row>210</xdr:row>
      <xdr:rowOff>28575</xdr:rowOff>
    </xdr:to>
    <xdr:pic>
      <xdr:nvPicPr>
        <xdr:cNvPr id="6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42033190"/>
          <a:ext cx="6477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260</xdr:row>
      <xdr:rowOff>38099</xdr:rowOff>
    </xdr:from>
    <xdr:to>
      <xdr:col>1</xdr:col>
      <xdr:colOff>180975</xdr:colOff>
      <xdr:row>264</xdr:row>
      <xdr:rowOff>28575</xdr:rowOff>
    </xdr:to>
    <xdr:pic>
      <xdr:nvPicPr>
        <xdr:cNvPr id="8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2444015"/>
          <a:ext cx="647700" cy="75311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38099</xdr:rowOff>
    </xdr:from>
    <xdr:to>
      <xdr:col>1</xdr:col>
      <xdr:colOff>180975</xdr:colOff>
      <xdr:row>4</xdr:row>
      <xdr:rowOff>28575</xdr:rowOff>
    </xdr:to>
    <xdr:pic>
      <xdr:nvPicPr>
        <xdr:cNvPr id="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37465"/>
          <a:ext cx="6477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50</xdr:row>
      <xdr:rowOff>38099</xdr:rowOff>
    </xdr:from>
    <xdr:to>
      <xdr:col>1</xdr:col>
      <xdr:colOff>180975</xdr:colOff>
      <xdr:row>54</xdr:row>
      <xdr:rowOff>28575</xdr:rowOff>
    </xdr:to>
    <xdr:pic>
      <xdr:nvPicPr>
        <xdr:cNvPr id="3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10638790"/>
          <a:ext cx="6477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100</xdr:row>
      <xdr:rowOff>38099</xdr:rowOff>
    </xdr:from>
    <xdr:to>
      <xdr:col>1</xdr:col>
      <xdr:colOff>180975</xdr:colOff>
      <xdr:row>104</xdr:row>
      <xdr:rowOff>28575</xdr:rowOff>
    </xdr:to>
    <xdr:pic>
      <xdr:nvPicPr>
        <xdr:cNvPr id="4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21144865"/>
          <a:ext cx="6477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151</xdr:row>
      <xdr:rowOff>38099</xdr:rowOff>
    </xdr:from>
    <xdr:to>
      <xdr:col>1</xdr:col>
      <xdr:colOff>180975</xdr:colOff>
      <xdr:row>155</xdr:row>
      <xdr:rowOff>28575</xdr:rowOff>
    </xdr:to>
    <xdr:pic>
      <xdr:nvPicPr>
        <xdr:cNvPr id="5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31784290"/>
          <a:ext cx="6477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202</xdr:row>
      <xdr:rowOff>38099</xdr:rowOff>
    </xdr:from>
    <xdr:to>
      <xdr:col>1</xdr:col>
      <xdr:colOff>180975</xdr:colOff>
      <xdr:row>206</xdr:row>
      <xdr:rowOff>28575</xdr:rowOff>
    </xdr:to>
    <xdr:pic>
      <xdr:nvPicPr>
        <xdr:cNvPr id="6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42566590"/>
          <a:ext cx="6477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258</xdr:row>
      <xdr:rowOff>38099</xdr:rowOff>
    </xdr:from>
    <xdr:to>
      <xdr:col>1</xdr:col>
      <xdr:colOff>180975</xdr:colOff>
      <xdr:row>262</xdr:row>
      <xdr:rowOff>28575</xdr:rowOff>
    </xdr:to>
    <xdr:pic>
      <xdr:nvPicPr>
        <xdr:cNvPr id="7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3339365"/>
          <a:ext cx="647700" cy="75311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38099</xdr:rowOff>
    </xdr:from>
    <xdr:to>
      <xdr:col>0</xdr:col>
      <xdr:colOff>457200</xdr:colOff>
      <xdr:row>4</xdr:row>
      <xdr:rowOff>28575</xdr:rowOff>
    </xdr:to>
    <xdr:pic>
      <xdr:nvPicPr>
        <xdr:cNvPr id="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37465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51</xdr:row>
      <xdr:rowOff>38099</xdr:rowOff>
    </xdr:from>
    <xdr:to>
      <xdr:col>0</xdr:col>
      <xdr:colOff>457200</xdr:colOff>
      <xdr:row>55</xdr:row>
      <xdr:rowOff>28575</xdr:rowOff>
    </xdr:to>
    <xdr:pic>
      <xdr:nvPicPr>
        <xdr:cNvPr id="15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10629265"/>
          <a:ext cx="419100" cy="77216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103</xdr:row>
      <xdr:rowOff>38099</xdr:rowOff>
    </xdr:from>
    <xdr:to>
      <xdr:col>0</xdr:col>
      <xdr:colOff>457200</xdr:colOff>
      <xdr:row>107</xdr:row>
      <xdr:rowOff>28575</xdr:rowOff>
    </xdr:to>
    <xdr:pic>
      <xdr:nvPicPr>
        <xdr:cNvPr id="5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21163915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157</xdr:row>
      <xdr:rowOff>38099</xdr:rowOff>
    </xdr:from>
    <xdr:to>
      <xdr:col>0</xdr:col>
      <xdr:colOff>457200</xdr:colOff>
      <xdr:row>161</xdr:row>
      <xdr:rowOff>28575</xdr:rowOff>
    </xdr:to>
    <xdr:pic>
      <xdr:nvPicPr>
        <xdr:cNvPr id="6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31612840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211</xdr:row>
      <xdr:rowOff>38099</xdr:rowOff>
    </xdr:from>
    <xdr:to>
      <xdr:col>0</xdr:col>
      <xdr:colOff>457200</xdr:colOff>
      <xdr:row>215</xdr:row>
      <xdr:rowOff>28575</xdr:rowOff>
    </xdr:to>
    <xdr:pic>
      <xdr:nvPicPr>
        <xdr:cNvPr id="7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42061765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265</xdr:row>
      <xdr:rowOff>38099</xdr:rowOff>
    </xdr:from>
    <xdr:to>
      <xdr:col>0</xdr:col>
      <xdr:colOff>457200</xdr:colOff>
      <xdr:row>269</xdr:row>
      <xdr:rowOff>28575</xdr:rowOff>
    </xdr:to>
    <xdr:pic>
      <xdr:nvPicPr>
        <xdr:cNvPr id="8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2510690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319</xdr:row>
      <xdr:rowOff>38099</xdr:rowOff>
    </xdr:from>
    <xdr:to>
      <xdr:col>0</xdr:col>
      <xdr:colOff>457200</xdr:colOff>
      <xdr:row>323</xdr:row>
      <xdr:rowOff>28575</xdr:rowOff>
    </xdr:to>
    <xdr:pic>
      <xdr:nvPicPr>
        <xdr:cNvPr id="10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62940565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371</xdr:row>
      <xdr:rowOff>38099</xdr:rowOff>
    </xdr:from>
    <xdr:to>
      <xdr:col>0</xdr:col>
      <xdr:colOff>457200</xdr:colOff>
      <xdr:row>375</xdr:row>
      <xdr:rowOff>28575</xdr:rowOff>
    </xdr:to>
    <xdr:pic>
      <xdr:nvPicPr>
        <xdr:cNvPr id="11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73370440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424</xdr:row>
      <xdr:rowOff>38099</xdr:rowOff>
    </xdr:from>
    <xdr:to>
      <xdr:col>0</xdr:col>
      <xdr:colOff>457200</xdr:colOff>
      <xdr:row>428</xdr:row>
      <xdr:rowOff>28575</xdr:rowOff>
    </xdr:to>
    <xdr:pic>
      <xdr:nvPicPr>
        <xdr:cNvPr id="1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83609815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478</xdr:row>
      <xdr:rowOff>38099</xdr:rowOff>
    </xdr:from>
    <xdr:to>
      <xdr:col>0</xdr:col>
      <xdr:colOff>457200</xdr:colOff>
      <xdr:row>482</xdr:row>
      <xdr:rowOff>28575</xdr:rowOff>
    </xdr:to>
    <xdr:pic>
      <xdr:nvPicPr>
        <xdr:cNvPr id="13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94039690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532</xdr:row>
      <xdr:rowOff>38099</xdr:rowOff>
    </xdr:from>
    <xdr:to>
      <xdr:col>0</xdr:col>
      <xdr:colOff>457200</xdr:colOff>
      <xdr:row>536</xdr:row>
      <xdr:rowOff>28575</xdr:rowOff>
    </xdr:to>
    <xdr:pic>
      <xdr:nvPicPr>
        <xdr:cNvPr id="14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104469565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586</xdr:row>
      <xdr:rowOff>38099</xdr:rowOff>
    </xdr:from>
    <xdr:to>
      <xdr:col>0</xdr:col>
      <xdr:colOff>457200</xdr:colOff>
      <xdr:row>590</xdr:row>
      <xdr:rowOff>28575</xdr:rowOff>
    </xdr:to>
    <xdr:pic>
      <xdr:nvPicPr>
        <xdr:cNvPr id="16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114899440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640</xdr:row>
      <xdr:rowOff>38099</xdr:rowOff>
    </xdr:from>
    <xdr:to>
      <xdr:col>0</xdr:col>
      <xdr:colOff>457200</xdr:colOff>
      <xdr:row>644</xdr:row>
      <xdr:rowOff>28575</xdr:rowOff>
    </xdr:to>
    <xdr:pic>
      <xdr:nvPicPr>
        <xdr:cNvPr id="17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125329315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265</xdr:row>
      <xdr:rowOff>38099</xdr:rowOff>
    </xdr:from>
    <xdr:to>
      <xdr:col>0</xdr:col>
      <xdr:colOff>457200</xdr:colOff>
      <xdr:row>269</xdr:row>
      <xdr:rowOff>28575</xdr:rowOff>
    </xdr:to>
    <xdr:pic>
      <xdr:nvPicPr>
        <xdr:cNvPr id="18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52510690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319</xdr:row>
      <xdr:rowOff>38099</xdr:rowOff>
    </xdr:from>
    <xdr:to>
      <xdr:col>0</xdr:col>
      <xdr:colOff>457200</xdr:colOff>
      <xdr:row>323</xdr:row>
      <xdr:rowOff>28575</xdr:rowOff>
    </xdr:to>
    <xdr:pic>
      <xdr:nvPicPr>
        <xdr:cNvPr id="19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62940565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319</xdr:row>
      <xdr:rowOff>38099</xdr:rowOff>
    </xdr:from>
    <xdr:to>
      <xdr:col>0</xdr:col>
      <xdr:colOff>457200</xdr:colOff>
      <xdr:row>323</xdr:row>
      <xdr:rowOff>28575</xdr:rowOff>
    </xdr:to>
    <xdr:pic>
      <xdr:nvPicPr>
        <xdr:cNvPr id="20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62940565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694</xdr:row>
      <xdr:rowOff>38099</xdr:rowOff>
    </xdr:from>
    <xdr:to>
      <xdr:col>0</xdr:col>
      <xdr:colOff>457200</xdr:colOff>
      <xdr:row>698</xdr:row>
      <xdr:rowOff>28575</xdr:rowOff>
    </xdr:to>
    <xdr:pic>
      <xdr:nvPicPr>
        <xdr:cNvPr id="21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135759190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748</xdr:row>
      <xdr:rowOff>38099</xdr:rowOff>
    </xdr:from>
    <xdr:to>
      <xdr:col>0</xdr:col>
      <xdr:colOff>457200</xdr:colOff>
      <xdr:row>752</xdr:row>
      <xdr:rowOff>28575</xdr:rowOff>
    </xdr:to>
    <xdr:pic>
      <xdr:nvPicPr>
        <xdr:cNvPr id="2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146189065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38101</xdr:colOff>
      <xdr:row>802</xdr:row>
      <xdr:rowOff>38099</xdr:rowOff>
    </xdr:from>
    <xdr:to>
      <xdr:col>0</xdr:col>
      <xdr:colOff>457200</xdr:colOff>
      <xdr:row>806</xdr:row>
      <xdr:rowOff>28575</xdr:rowOff>
    </xdr:to>
    <xdr:pic>
      <xdr:nvPicPr>
        <xdr:cNvPr id="23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156618940"/>
          <a:ext cx="419100" cy="753110"/>
        </a:xfrm>
        <a:prstGeom prst="rect">
          <a:avLst/>
        </a:prstGeom>
        <a:noFill/>
      </xdr:spPr>
    </xdr:pic>
    <xdr:clientData/>
  </xdr:twoCellAnchor>
  <xdr:twoCellAnchor>
    <xdr:from>
      <xdr:col>6</xdr:col>
      <xdr:colOff>76202</xdr:colOff>
      <xdr:row>0</xdr:row>
      <xdr:rowOff>38099</xdr:rowOff>
    </xdr:from>
    <xdr:to>
      <xdr:col>7</xdr:col>
      <xdr:colOff>123825</xdr:colOff>
      <xdr:row>4</xdr:row>
      <xdr:rowOff>85725</xdr:rowOff>
    </xdr:to>
    <xdr:pic>
      <xdr:nvPicPr>
        <xdr:cNvPr id="24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687052" y="38099"/>
          <a:ext cx="685798" cy="809626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38099</xdr:rowOff>
    </xdr:from>
    <xdr:to>
      <xdr:col>1</xdr:col>
      <xdr:colOff>180975</xdr:colOff>
      <xdr:row>4</xdr:row>
      <xdr:rowOff>28575</xdr:rowOff>
    </xdr:to>
    <xdr:pic>
      <xdr:nvPicPr>
        <xdr:cNvPr id="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37465"/>
          <a:ext cx="523875" cy="75311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7"/>
  <sheetViews>
    <sheetView topLeftCell="A248" workbookViewId="0">
      <selection activeCell="C269" sqref="C269"/>
    </sheetView>
  </sheetViews>
  <sheetFormatPr defaultColWidth="9" defaultRowHeight="15"/>
  <cols>
    <col min="1" max="1" width="7.5703125" customWidth="1"/>
    <col min="2" max="2" width="10.42578125" customWidth="1"/>
    <col min="3" max="3" width="10.5703125" customWidth="1"/>
    <col min="4" max="4" width="30" customWidth="1"/>
    <col min="5" max="5" width="5.42578125" style="16" customWidth="1"/>
    <col min="6" max="6" width="26.5703125" style="16" customWidth="1"/>
    <col min="8" max="8" width="17.85546875" style="40" customWidth="1"/>
    <col min="9" max="9" width="13.42578125" style="34" customWidth="1"/>
    <col min="10" max="10" width="25.140625" style="34" customWidth="1"/>
    <col min="11" max="11" width="4.7109375" style="34" customWidth="1"/>
    <col min="12" max="12" width="23.5703125" style="34" customWidth="1"/>
    <col min="13" max="13" width="10.7109375" style="430" customWidth="1"/>
    <col min="14" max="14" width="13.28515625" style="34" customWidth="1"/>
    <col min="15" max="15" width="9" style="34"/>
    <col min="16" max="16" width="13.7109375" style="34" customWidth="1"/>
    <col min="17" max="27" width="9" style="34"/>
  </cols>
  <sheetData>
    <row r="1" spans="1:17">
      <c r="A1" s="1018" t="s">
        <v>0</v>
      </c>
      <c r="B1" s="1018"/>
      <c r="C1" s="1018"/>
      <c r="D1" s="1018"/>
      <c r="E1" s="1018"/>
      <c r="F1" s="1018"/>
      <c r="G1" s="31"/>
    </row>
    <row r="2" spans="1:17">
      <c r="A2" s="1018" t="s">
        <v>1</v>
      </c>
      <c r="B2" s="1018"/>
      <c r="C2" s="1018"/>
      <c r="D2" s="1018"/>
      <c r="E2" s="1018"/>
      <c r="F2" s="1018"/>
      <c r="G2" s="31"/>
    </row>
    <row r="3" spans="1:17">
      <c r="A3" s="1018" t="s">
        <v>4</v>
      </c>
      <c r="B3" s="1018"/>
      <c r="C3" s="1018"/>
      <c r="D3" s="1018"/>
      <c r="E3" s="1018"/>
      <c r="F3" s="1018"/>
      <c r="G3" s="31"/>
    </row>
    <row r="4" spans="1:17">
      <c r="A4" s="1019" t="s">
        <v>6</v>
      </c>
      <c r="B4" s="1019"/>
      <c r="C4" s="1019"/>
      <c r="D4" s="1019"/>
      <c r="E4" s="1019"/>
      <c r="F4" s="1019"/>
      <c r="G4" s="32"/>
    </row>
    <row r="5" spans="1:17" ht="15.75" thickBot="1">
      <c r="A5" s="1020" t="s">
        <v>7</v>
      </c>
      <c r="B5" s="1020"/>
      <c r="C5" s="1020"/>
      <c r="D5" s="1020"/>
      <c r="E5" s="1020"/>
      <c r="F5" s="1020"/>
      <c r="G5" s="33"/>
    </row>
    <row r="6" spans="1:17" ht="15.75" thickTop="1">
      <c r="A6" s="97"/>
      <c r="B6" s="97"/>
      <c r="C6" s="97"/>
      <c r="D6" s="97"/>
      <c r="E6" s="98"/>
      <c r="F6" s="98"/>
    </row>
    <row r="7" spans="1:17" ht="15.75">
      <c r="A7" s="1021" t="s">
        <v>1042</v>
      </c>
      <c r="B7" s="1021"/>
      <c r="C7" s="1021"/>
      <c r="D7" s="1021"/>
      <c r="E7" s="1021"/>
      <c r="F7" s="1021"/>
    </row>
    <row r="8" spans="1:17" ht="15.75">
      <c r="A8" s="1022" t="s">
        <v>1241</v>
      </c>
      <c r="B8" s="1022"/>
      <c r="C8" s="1022"/>
      <c r="D8" s="1022"/>
      <c r="E8" s="1022"/>
      <c r="F8" s="1022"/>
    </row>
    <row r="9" spans="1:17" ht="15.75" thickBot="1">
      <c r="A9" s="100"/>
      <c r="B9" s="100"/>
      <c r="C9" s="101"/>
      <c r="D9" s="173"/>
      <c r="E9" s="103"/>
      <c r="F9" s="103"/>
    </row>
    <row r="10" spans="1:17" ht="16.5" thickBot="1">
      <c r="A10" s="1023" t="s">
        <v>13</v>
      </c>
      <c r="B10" s="1024"/>
      <c r="C10" s="1025"/>
      <c r="D10" s="1028" t="s">
        <v>14</v>
      </c>
      <c r="E10" s="1026" t="s">
        <v>15</v>
      </c>
      <c r="F10" s="1028" t="s">
        <v>16</v>
      </c>
    </row>
    <row r="11" spans="1:17" ht="16.5" thickBot="1">
      <c r="A11" s="126" t="s">
        <v>18</v>
      </c>
      <c r="B11" s="126" t="s">
        <v>19</v>
      </c>
      <c r="C11" s="126" t="s">
        <v>20</v>
      </c>
      <c r="D11" s="1029"/>
      <c r="E11" s="1027"/>
      <c r="F11" s="1029"/>
    </row>
    <row r="12" spans="1:17">
      <c r="A12" s="1074">
        <v>1</v>
      </c>
      <c r="B12" s="1075" t="s">
        <v>1453</v>
      </c>
      <c r="C12" s="1076" t="s">
        <v>1644</v>
      </c>
      <c r="D12" s="962" t="s">
        <v>1276</v>
      </c>
      <c r="E12" s="947" t="s">
        <v>24</v>
      </c>
      <c r="F12" s="939" t="s">
        <v>1277</v>
      </c>
      <c r="H12" s="40" t="s">
        <v>1268</v>
      </c>
      <c r="I12" s="428" t="s">
        <v>24</v>
      </c>
      <c r="J12" s="447" t="s">
        <v>1269</v>
      </c>
      <c r="K12" s="40" t="s">
        <v>2</v>
      </c>
      <c r="L12" s="1048" t="s">
        <v>1276</v>
      </c>
      <c r="M12" s="1049" t="s">
        <v>1644</v>
      </c>
      <c r="N12" s="1050" t="s">
        <v>2</v>
      </c>
      <c r="O12" s="428"/>
      <c r="Q12" s="40"/>
    </row>
    <row r="13" spans="1:17">
      <c r="A13" s="872">
        <v>2</v>
      </c>
      <c r="B13" s="1069" t="s">
        <v>1810</v>
      </c>
      <c r="C13" s="1052" t="s">
        <v>1645</v>
      </c>
      <c r="D13" s="1070" t="s">
        <v>1314</v>
      </c>
      <c r="E13" s="432" t="s">
        <v>3</v>
      </c>
      <c r="F13" s="473" t="s">
        <v>1315</v>
      </c>
      <c r="H13" s="40" t="s">
        <v>1276</v>
      </c>
      <c r="I13" s="827" t="s">
        <v>24</v>
      </c>
      <c r="J13" s="828" t="s">
        <v>1277</v>
      </c>
      <c r="K13" s="436" t="s">
        <v>2</v>
      </c>
      <c r="L13" s="1051" t="s">
        <v>1314</v>
      </c>
      <c r="M13" s="1052" t="s">
        <v>1645</v>
      </c>
      <c r="N13" s="1053" t="s">
        <v>2</v>
      </c>
      <c r="O13" s="428"/>
      <c r="Q13" s="40"/>
    </row>
    <row r="14" spans="1:17">
      <c r="A14" s="872">
        <v>3</v>
      </c>
      <c r="B14" s="1069" t="s">
        <v>1454</v>
      </c>
      <c r="C14" s="1054" t="s">
        <v>1646</v>
      </c>
      <c r="D14" s="1070" t="s">
        <v>1298</v>
      </c>
      <c r="E14" s="432" t="s">
        <v>24</v>
      </c>
      <c r="F14" s="473" t="s">
        <v>1297</v>
      </c>
      <c r="H14" s="40" t="s">
        <v>1314</v>
      </c>
      <c r="I14" s="428" t="s">
        <v>3</v>
      </c>
      <c r="J14" s="34" t="s">
        <v>1315</v>
      </c>
      <c r="K14" s="40" t="s">
        <v>2</v>
      </c>
      <c r="L14" s="1051" t="s">
        <v>1298</v>
      </c>
      <c r="M14" s="1054" t="s">
        <v>1646</v>
      </c>
      <c r="N14" s="1050" t="s">
        <v>2</v>
      </c>
      <c r="O14" s="428"/>
      <c r="Q14" s="40"/>
    </row>
    <row r="15" spans="1:17">
      <c r="A15" s="872">
        <v>4</v>
      </c>
      <c r="B15" s="1069" t="s">
        <v>1455</v>
      </c>
      <c r="C15" s="1052" t="s">
        <v>1647</v>
      </c>
      <c r="D15" s="1070" t="s">
        <v>1359</v>
      </c>
      <c r="E15" s="432" t="s">
        <v>24</v>
      </c>
      <c r="F15" s="473" t="s">
        <v>1360</v>
      </c>
      <c r="H15" s="40" t="s">
        <v>1298</v>
      </c>
      <c r="I15" s="825" t="s">
        <v>24</v>
      </c>
      <c r="J15" s="826" t="s">
        <v>1297</v>
      </c>
      <c r="K15" s="438" t="s">
        <v>2</v>
      </c>
      <c r="L15" s="1051" t="s">
        <v>1359</v>
      </c>
      <c r="M15" s="1052" t="s">
        <v>1647</v>
      </c>
      <c r="N15" s="1050" t="s">
        <v>2</v>
      </c>
      <c r="O15" s="428"/>
      <c r="Q15" s="40"/>
    </row>
    <row r="16" spans="1:17">
      <c r="A16" s="872">
        <v>5</v>
      </c>
      <c r="B16" s="1069" t="s">
        <v>1456</v>
      </c>
      <c r="C16" s="1052" t="s">
        <v>1648</v>
      </c>
      <c r="D16" s="1070" t="s">
        <v>1421</v>
      </c>
      <c r="E16" s="433" t="s">
        <v>24</v>
      </c>
      <c r="F16" s="473" t="s">
        <v>1422</v>
      </c>
      <c r="H16" s="40" t="s">
        <v>1359</v>
      </c>
      <c r="I16" s="829" t="s">
        <v>24</v>
      </c>
      <c r="J16" s="830" t="s">
        <v>1360</v>
      </c>
      <c r="K16" s="437" t="s">
        <v>2</v>
      </c>
      <c r="L16" s="1051" t="s">
        <v>1421</v>
      </c>
      <c r="M16" s="1052" t="s">
        <v>1648</v>
      </c>
      <c r="N16" s="1050" t="s">
        <v>2</v>
      </c>
      <c r="O16" s="428"/>
      <c r="Q16" s="40"/>
    </row>
    <row r="17" spans="1:25">
      <c r="A17" s="872">
        <v>6</v>
      </c>
      <c r="B17" s="1069" t="s">
        <v>1457</v>
      </c>
      <c r="C17" s="1054" t="s">
        <v>1649</v>
      </c>
      <c r="D17" s="1070" t="s">
        <v>1299</v>
      </c>
      <c r="E17" s="432" t="s">
        <v>24</v>
      </c>
      <c r="F17" s="473" t="s">
        <v>1297</v>
      </c>
      <c r="H17" s="34" t="s">
        <v>1421</v>
      </c>
      <c r="I17" s="447" t="s">
        <v>24</v>
      </c>
      <c r="J17" s="447" t="s">
        <v>1422</v>
      </c>
      <c r="K17" s="430" t="s">
        <v>2</v>
      </c>
      <c r="L17" s="1051" t="s">
        <v>1299</v>
      </c>
      <c r="M17" s="1054" t="s">
        <v>1649</v>
      </c>
      <c r="N17" s="1053" t="s">
        <v>2</v>
      </c>
      <c r="O17" s="428"/>
      <c r="Q17" s="40"/>
    </row>
    <row r="18" spans="1:25">
      <c r="A18" s="872">
        <v>7</v>
      </c>
      <c r="B18" s="1069" t="s">
        <v>1458</v>
      </c>
      <c r="C18" s="1052" t="s">
        <v>1650</v>
      </c>
      <c r="D18" s="1070" t="s">
        <v>1377</v>
      </c>
      <c r="E18" s="432" t="s">
        <v>3</v>
      </c>
      <c r="F18" s="473" t="s">
        <v>1378</v>
      </c>
      <c r="H18" s="40" t="s">
        <v>1299</v>
      </c>
      <c r="I18" s="825" t="s">
        <v>24</v>
      </c>
      <c r="J18" s="826" t="s">
        <v>1297</v>
      </c>
      <c r="K18" s="438" t="s">
        <v>2</v>
      </c>
      <c r="L18" s="1051" t="s">
        <v>1377</v>
      </c>
      <c r="M18" s="1052" t="s">
        <v>1650</v>
      </c>
      <c r="N18" s="1053" t="s">
        <v>2</v>
      </c>
      <c r="O18" s="428"/>
      <c r="Q18" s="40"/>
    </row>
    <row r="19" spans="1:25">
      <c r="A19" s="872">
        <v>8</v>
      </c>
      <c r="B19" s="1069" t="s">
        <v>1459</v>
      </c>
      <c r="C19" s="1052" t="s">
        <v>1651</v>
      </c>
      <c r="D19" s="53" t="s">
        <v>1268</v>
      </c>
      <c r="E19" s="428" t="s">
        <v>24</v>
      </c>
      <c r="F19" s="1071" t="s">
        <v>1269</v>
      </c>
      <c r="H19" s="40" t="s">
        <v>1377</v>
      </c>
      <c r="I19" s="827" t="s">
        <v>3</v>
      </c>
      <c r="J19" s="828" t="s">
        <v>1378</v>
      </c>
      <c r="K19" s="436" t="s">
        <v>2</v>
      </c>
      <c r="L19" s="1051" t="s">
        <v>1268</v>
      </c>
      <c r="M19" s="1052" t="s">
        <v>1651</v>
      </c>
      <c r="N19" s="1055" t="s">
        <v>2</v>
      </c>
      <c r="O19" s="428"/>
      <c r="Q19" s="40"/>
    </row>
    <row r="20" spans="1:25">
      <c r="A20" s="872">
        <v>9</v>
      </c>
      <c r="B20" s="1069" t="s">
        <v>1460</v>
      </c>
      <c r="C20" s="1052" t="s">
        <v>1653</v>
      </c>
      <c r="D20" s="1070" t="s">
        <v>1436</v>
      </c>
      <c r="E20" s="432" t="s">
        <v>24</v>
      </c>
      <c r="F20" s="473" t="s">
        <v>1356</v>
      </c>
      <c r="H20" s="34" t="s">
        <v>1436</v>
      </c>
      <c r="I20" s="540" t="s">
        <v>24</v>
      </c>
      <c r="J20" s="447" t="s">
        <v>1356</v>
      </c>
      <c r="K20" s="430" t="s">
        <v>2</v>
      </c>
      <c r="L20" s="1051" t="s">
        <v>1652</v>
      </c>
      <c r="M20" s="1052" t="s">
        <v>1653</v>
      </c>
      <c r="N20" s="1055" t="s">
        <v>2</v>
      </c>
      <c r="O20" s="428"/>
      <c r="Q20" s="40"/>
    </row>
    <row r="21" spans="1:25">
      <c r="A21" s="872">
        <v>10</v>
      </c>
      <c r="B21" s="1069" t="s">
        <v>1461</v>
      </c>
      <c r="C21" s="1052" t="s">
        <v>1654</v>
      </c>
      <c r="D21" s="1070" t="s">
        <v>1350</v>
      </c>
      <c r="E21" s="432" t="s">
        <v>24</v>
      </c>
      <c r="F21" s="473" t="s">
        <v>1348</v>
      </c>
      <c r="H21" s="40" t="s">
        <v>1350</v>
      </c>
      <c r="I21" s="825" t="s">
        <v>24</v>
      </c>
      <c r="J21" s="826" t="s">
        <v>1348</v>
      </c>
      <c r="K21" s="438" t="s">
        <v>2</v>
      </c>
      <c r="L21" s="1051" t="s">
        <v>1350</v>
      </c>
      <c r="M21" s="1052" t="s">
        <v>1654</v>
      </c>
      <c r="N21" s="1050" t="s">
        <v>2</v>
      </c>
      <c r="O21" s="428"/>
      <c r="Q21" s="40"/>
      <c r="U21" s="829"/>
      <c r="V21" s="830"/>
      <c r="W21" s="437"/>
      <c r="X21" s="830"/>
      <c r="Y21" s="87"/>
    </row>
    <row r="22" spans="1:25">
      <c r="A22" s="872">
        <v>11</v>
      </c>
      <c r="B22" s="1069" t="s">
        <v>1462</v>
      </c>
      <c r="C22" s="1052" t="s">
        <v>1655</v>
      </c>
      <c r="D22" s="1070" t="s">
        <v>1320</v>
      </c>
      <c r="E22" s="432" t="s">
        <v>3</v>
      </c>
      <c r="F22" s="473" t="s">
        <v>1315</v>
      </c>
      <c r="H22" s="40" t="s">
        <v>1320</v>
      </c>
      <c r="I22" s="825" t="s">
        <v>3</v>
      </c>
      <c r="J22" s="826" t="s">
        <v>1315</v>
      </c>
      <c r="K22" s="438" t="s">
        <v>2</v>
      </c>
      <c r="L22" s="1051" t="s">
        <v>1320</v>
      </c>
      <c r="M22" s="1052" t="s">
        <v>1655</v>
      </c>
      <c r="N22" s="1055" t="s">
        <v>2</v>
      </c>
      <c r="O22" s="428"/>
      <c r="Q22" s="40"/>
      <c r="U22" s="51"/>
      <c r="V22" s="437"/>
      <c r="W22" s="830"/>
    </row>
    <row r="23" spans="1:25" ht="14.25" customHeight="1">
      <c r="A23" s="872">
        <v>12</v>
      </c>
      <c r="B23" s="1069" t="s">
        <v>1463</v>
      </c>
      <c r="C23" s="1057" t="s">
        <v>1656</v>
      </c>
      <c r="D23" s="1070" t="s">
        <v>1295</v>
      </c>
      <c r="E23" s="432" t="s">
        <v>3</v>
      </c>
      <c r="F23" s="473" t="s">
        <v>1294</v>
      </c>
      <c r="H23" s="40" t="s">
        <v>1295</v>
      </c>
      <c r="I23" s="428" t="s">
        <v>3</v>
      </c>
      <c r="J23" s="34" t="s">
        <v>1294</v>
      </c>
      <c r="K23" s="40" t="s">
        <v>2</v>
      </c>
      <c r="L23" s="1056" t="s">
        <v>1295</v>
      </c>
      <c r="M23" s="1057" t="s">
        <v>1656</v>
      </c>
      <c r="N23" s="1055" t="s">
        <v>2</v>
      </c>
      <c r="O23" s="428"/>
      <c r="Q23" s="40"/>
      <c r="U23" s="829"/>
      <c r="V23" s="831"/>
      <c r="W23" s="437"/>
      <c r="X23" s="830"/>
      <c r="Y23" s="437"/>
    </row>
    <row r="24" spans="1:25">
      <c r="A24" s="872">
        <v>13</v>
      </c>
      <c r="B24" s="1069" t="s">
        <v>1464</v>
      </c>
      <c r="C24" s="1052" t="s">
        <v>1657</v>
      </c>
      <c r="D24" s="1070" t="s">
        <v>1316</v>
      </c>
      <c r="E24" s="432" t="s">
        <v>3</v>
      </c>
      <c r="F24" s="473" t="s">
        <v>1315</v>
      </c>
      <c r="H24" s="40" t="s">
        <v>1316</v>
      </c>
      <c r="I24" s="428" t="s">
        <v>3</v>
      </c>
      <c r="J24" s="34" t="s">
        <v>1315</v>
      </c>
      <c r="K24" s="40" t="s">
        <v>2</v>
      </c>
      <c r="L24" s="1051" t="s">
        <v>1316</v>
      </c>
      <c r="M24" s="1052" t="s">
        <v>1657</v>
      </c>
      <c r="N24" s="1053" t="s">
        <v>2</v>
      </c>
      <c r="O24" s="428"/>
      <c r="Q24" s="40"/>
    </row>
    <row r="25" spans="1:25">
      <c r="A25" s="872">
        <v>14</v>
      </c>
      <c r="B25" s="1069" t="s">
        <v>1465</v>
      </c>
      <c r="C25" s="1052" t="s">
        <v>1658</v>
      </c>
      <c r="D25" s="1070" t="s">
        <v>1437</v>
      </c>
      <c r="E25" s="432" t="s">
        <v>24</v>
      </c>
      <c r="F25" s="473" t="s">
        <v>1356</v>
      </c>
      <c r="H25" s="34" t="s">
        <v>1437</v>
      </c>
      <c r="I25" s="539" t="s">
        <v>24</v>
      </c>
      <c r="J25" s="447" t="s">
        <v>1356</v>
      </c>
      <c r="K25" s="430" t="s">
        <v>2</v>
      </c>
      <c r="L25" s="1051" t="s">
        <v>1437</v>
      </c>
      <c r="M25" s="1052" t="s">
        <v>1658</v>
      </c>
      <c r="N25" s="1058" t="s">
        <v>2</v>
      </c>
      <c r="O25" s="428"/>
      <c r="Q25" s="40"/>
    </row>
    <row r="26" spans="1:25">
      <c r="A26" s="872">
        <v>15</v>
      </c>
      <c r="B26" s="1069" t="s">
        <v>1466</v>
      </c>
      <c r="C26" s="1052" t="s">
        <v>1659</v>
      </c>
      <c r="D26" s="1070" t="s">
        <v>1293</v>
      </c>
      <c r="E26" s="432" t="s">
        <v>3</v>
      </c>
      <c r="F26" s="473" t="s">
        <v>1294</v>
      </c>
      <c r="H26" s="40" t="s">
        <v>1293</v>
      </c>
      <c r="I26" s="428" t="s">
        <v>3</v>
      </c>
      <c r="J26" s="34" t="s">
        <v>1294</v>
      </c>
      <c r="K26" s="40" t="s">
        <v>2</v>
      </c>
      <c r="L26" s="1051" t="s">
        <v>1293</v>
      </c>
      <c r="M26" s="1052" t="s">
        <v>1659</v>
      </c>
      <c r="N26" s="1058" t="s">
        <v>2</v>
      </c>
      <c r="O26" s="428"/>
      <c r="Q26" s="40"/>
    </row>
    <row r="27" spans="1:25">
      <c r="A27" s="872">
        <v>16</v>
      </c>
      <c r="B27" s="1069" t="s">
        <v>1467</v>
      </c>
      <c r="C27" s="1052" t="s">
        <v>1660</v>
      </c>
      <c r="D27" s="1070" t="s">
        <v>1618</v>
      </c>
      <c r="E27" s="432" t="s">
        <v>24</v>
      </c>
      <c r="F27" s="473" t="s">
        <v>1348</v>
      </c>
      <c r="H27" s="40" t="s">
        <v>1347</v>
      </c>
      <c r="I27" s="428" t="s">
        <v>24</v>
      </c>
      <c r="J27" s="34" t="s">
        <v>1348</v>
      </c>
      <c r="K27" s="40" t="s">
        <v>2</v>
      </c>
      <c r="L27" s="1051" t="s">
        <v>1347</v>
      </c>
      <c r="M27" s="1052" t="s">
        <v>1660</v>
      </c>
      <c r="N27" s="1059" t="s">
        <v>2</v>
      </c>
      <c r="O27" s="428"/>
      <c r="Q27" s="40"/>
    </row>
    <row r="28" spans="1:25">
      <c r="A28" s="872">
        <v>17</v>
      </c>
      <c r="B28" s="1069" t="s">
        <v>1468</v>
      </c>
      <c r="C28" s="1052" t="s">
        <v>1661</v>
      </c>
      <c r="D28" s="1070" t="s">
        <v>1361</v>
      </c>
      <c r="E28" s="432" t="s">
        <v>24</v>
      </c>
      <c r="F28" s="473" t="s">
        <v>1360</v>
      </c>
      <c r="H28" s="40" t="s">
        <v>1361</v>
      </c>
      <c r="I28" s="829" t="s">
        <v>24</v>
      </c>
      <c r="J28" s="830" t="s">
        <v>1360</v>
      </c>
      <c r="K28" s="437" t="s">
        <v>2</v>
      </c>
      <c r="L28" s="1051" t="s">
        <v>1361</v>
      </c>
      <c r="M28" s="1052" t="s">
        <v>1661</v>
      </c>
      <c r="N28" s="1059" t="s">
        <v>2</v>
      </c>
      <c r="O28" s="428"/>
      <c r="Q28" s="40"/>
    </row>
    <row r="29" spans="1:25">
      <c r="A29" s="872">
        <v>18</v>
      </c>
      <c r="B29" s="1069" t="s">
        <v>1469</v>
      </c>
      <c r="C29" s="1052" t="s">
        <v>1662</v>
      </c>
      <c r="D29" s="1070" t="s">
        <v>1380</v>
      </c>
      <c r="E29" s="432" t="s">
        <v>3</v>
      </c>
      <c r="F29" s="1072" t="s">
        <v>1378</v>
      </c>
      <c r="H29" s="40" t="s">
        <v>1380</v>
      </c>
      <c r="I29" s="428" t="s">
        <v>3</v>
      </c>
      <c r="J29" s="833" t="s">
        <v>1378</v>
      </c>
      <c r="K29" s="40" t="s">
        <v>2</v>
      </c>
      <c r="L29" s="1051" t="s">
        <v>1380</v>
      </c>
      <c r="M29" s="1052" t="s">
        <v>1662</v>
      </c>
      <c r="N29" s="1053" t="s">
        <v>2</v>
      </c>
      <c r="O29" s="428"/>
      <c r="Q29" s="40"/>
    </row>
    <row r="30" spans="1:25">
      <c r="A30" s="872">
        <v>19</v>
      </c>
      <c r="B30" s="1069" t="s">
        <v>1470</v>
      </c>
      <c r="C30" s="1054" t="s">
        <v>1663</v>
      </c>
      <c r="D30" s="1070" t="s">
        <v>867</v>
      </c>
      <c r="E30" s="432" t="s">
        <v>24</v>
      </c>
      <c r="F30" s="473" t="s">
        <v>1297</v>
      </c>
      <c r="H30" s="40" t="s">
        <v>867</v>
      </c>
      <c r="I30" s="825" t="s">
        <v>24</v>
      </c>
      <c r="J30" s="826" t="s">
        <v>1297</v>
      </c>
      <c r="K30" s="438" t="s">
        <v>2</v>
      </c>
      <c r="L30" s="1051" t="s">
        <v>867</v>
      </c>
      <c r="M30" s="1054" t="s">
        <v>1663</v>
      </c>
      <c r="N30" s="1053" t="s">
        <v>2</v>
      </c>
      <c r="O30" s="428"/>
      <c r="Q30" s="40"/>
    </row>
    <row r="31" spans="1:25">
      <c r="A31" s="872">
        <v>20</v>
      </c>
      <c r="B31" s="1069" t="s">
        <v>1471</v>
      </c>
      <c r="C31" s="1052" t="s">
        <v>1664</v>
      </c>
      <c r="D31" s="1070" t="s">
        <v>1619</v>
      </c>
      <c r="E31" s="432" t="s">
        <v>24</v>
      </c>
      <c r="F31" s="473" t="s">
        <v>1422</v>
      </c>
      <c r="H31" s="34" t="s">
        <v>1423</v>
      </c>
      <c r="I31" s="540" t="s">
        <v>24</v>
      </c>
      <c r="J31" s="447" t="s">
        <v>1422</v>
      </c>
      <c r="K31" s="430" t="s">
        <v>2</v>
      </c>
      <c r="L31" s="1051" t="s">
        <v>1619</v>
      </c>
      <c r="M31" s="1052" t="s">
        <v>1664</v>
      </c>
      <c r="N31" s="1053" t="s">
        <v>2</v>
      </c>
      <c r="O31" s="428"/>
      <c r="Q31" s="40"/>
    </row>
    <row r="32" spans="1:25">
      <c r="A32" s="872">
        <v>21</v>
      </c>
      <c r="B32" s="1069" t="s">
        <v>1472</v>
      </c>
      <c r="C32" s="1054" t="s">
        <v>1665</v>
      </c>
      <c r="D32" s="1070" t="s">
        <v>1296</v>
      </c>
      <c r="E32" s="432" t="s">
        <v>24</v>
      </c>
      <c r="F32" s="473" t="s">
        <v>1297</v>
      </c>
      <c r="H32" s="40" t="s">
        <v>1296</v>
      </c>
      <c r="I32" s="825" t="s">
        <v>24</v>
      </c>
      <c r="J32" s="826" t="s">
        <v>1297</v>
      </c>
      <c r="K32" s="438" t="s">
        <v>2</v>
      </c>
      <c r="L32" s="1051" t="s">
        <v>1296</v>
      </c>
      <c r="M32" s="1054" t="s">
        <v>1665</v>
      </c>
      <c r="N32" s="1053" t="s">
        <v>2</v>
      </c>
      <c r="O32" s="428"/>
      <c r="Q32" s="40"/>
    </row>
    <row r="33" spans="1:26">
      <c r="A33" s="872">
        <v>22</v>
      </c>
      <c r="B33" s="1069" t="s">
        <v>1473</v>
      </c>
      <c r="C33" s="1052" t="s">
        <v>1666</v>
      </c>
      <c r="D33" s="1070" t="s">
        <v>1317</v>
      </c>
      <c r="E33" s="432" t="s">
        <v>3</v>
      </c>
      <c r="F33" s="473" t="s">
        <v>1315</v>
      </c>
      <c r="H33" s="40" t="s">
        <v>1317</v>
      </c>
      <c r="I33" s="428" t="s">
        <v>3</v>
      </c>
      <c r="J33" s="34" t="s">
        <v>1315</v>
      </c>
      <c r="K33" s="40" t="s">
        <v>2</v>
      </c>
      <c r="L33" s="1051" t="s">
        <v>1317</v>
      </c>
      <c r="M33" s="1052" t="s">
        <v>1666</v>
      </c>
      <c r="N33" s="1053" t="s">
        <v>2</v>
      </c>
      <c r="O33" s="428"/>
      <c r="Q33" s="40"/>
    </row>
    <row r="34" spans="1:26">
      <c r="A34" s="872">
        <v>23</v>
      </c>
      <c r="B34" s="1069" t="s">
        <v>1474</v>
      </c>
      <c r="C34" s="1052" t="s">
        <v>1667</v>
      </c>
      <c r="D34" s="1070" t="s">
        <v>1318</v>
      </c>
      <c r="E34" s="432" t="s">
        <v>3</v>
      </c>
      <c r="F34" s="473" t="s">
        <v>1315</v>
      </c>
      <c r="H34" s="40" t="s">
        <v>1318</v>
      </c>
      <c r="I34" s="428" t="s">
        <v>3</v>
      </c>
      <c r="J34" s="34" t="s">
        <v>1315</v>
      </c>
      <c r="K34" s="40" t="s">
        <v>2</v>
      </c>
      <c r="L34" s="1051" t="s">
        <v>1318</v>
      </c>
      <c r="M34" s="1052" t="s">
        <v>1667</v>
      </c>
      <c r="N34" s="1050" t="s">
        <v>2</v>
      </c>
      <c r="O34" s="428"/>
      <c r="Q34" s="40"/>
    </row>
    <row r="35" spans="1:26">
      <c r="A35" s="872">
        <v>24</v>
      </c>
      <c r="B35" s="1069" t="s">
        <v>1475</v>
      </c>
      <c r="C35" s="1052" t="s">
        <v>1668</v>
      </c>
      <c r="D35" s="1070" t="s">
        <v>1433</v>
      </c>
      <c r="E35" s="432" t="s">
        <v>24</v>
      </c>
      <c r="F35" s="473" t="s">
        <v>1341</v>
      </c>
      <c r="H35" s="34" t="s">
        <v>1433</v>
      </c>
      <c r="I35" s="539" t="s">
        <v>24</v>
      </c>
      <c r="J35" s="447" t="s">
        <v>1341</v>
      </c>
      <c r="K35" s="430" t="s">
        <v>2</v>
      </c>
      <c r="L35" s="1051" t="s">
        <v>1433</v>
      </c>
      <c r="M35" s="1052" t="s">
        <v>1668</v>
      </c>
      <c r="N35" s="1053" t="s">
        <v>2</v>
      </c>
      <c r="O35" s="428"/>
      <c r="Q35" s="40"/>
    </row>
    <row r="36" spans="1:26">
      <c r="A36" s="872">
        <v>25</v>
      </c>
      <c r="B36" s="1069" t="s">
        <v>1476</v>
      </c>
      <c r="C36" s="1052" t="s">
        <v>1669</v>
      </c>
      <c r="D36" s="1070" t="s">
        <v>1351</v>
      </c>
      <c r="E36" s="432" t="s">
        <v>24</v>
      </c>
      <c r="F36" s="473" t="s">
        <v>1348</v>
      </c>
      <c r="H36" s="40" t="s">
        <v>1351</v>
      </c>
      <c r="I36" s="825" t="s">
        <v>24</v>
      </c>
      <c r="J36" s="826" t="s">
        <v>1348</v>
      </c>
      <c r="K36" s="438" t="s">
        <v>2</v>
      </c>
      <c r="L36" s="1051" t="s">
        <v>1351</v>
      </c>
      <c r="M36" s="1052" t="s">
        <v>1669</v>
      </c>
      <c r="N36" s="1053" t="s">
        <v>2</v>
      </c>
      <c r="O36" s="428"/>
      <c r="Q36" s="40"/>
    </row>
    <row r="37" spans="1:26">
      <c r="A37" s="872">
        <v>26</v>
      </c>
      <c r="B37" s="1069" t="s">
        <v>1477</v>
      </c>
      <c r="C37" s="1052" t="s">
        <v>1670</v>
      </c>
      <c r="D37" s="1070" t="s">
        <v>1278</v>
      </c>
      <c r="E37" s="432" t="s">
        <v>24</v>
      </c>
      <c r="F37" s="473" t="s">
        <v>1277</v>
      </c>
      <c r="H37" s="40" t="s">
        <v>1278</v>
      </c>
      <c r="I37" s="827" t="s">
        <v>24</v>
      </c>
      <c r="J37" s="828" t="s">
        <v>1277</v>
      </c>
      <c r="K37" s="436" t="s">
        <v>2</v>
      </c>
      <c r="L37" s="1051" t="s">
        <v>1278</v>
      </c>
      <c r="M37" s="1052" t="s">
        <v>1670</v>
      </c>
      <c r="N37" s="1059" t="s">
        <v>2</v>
      </c>
      <c r="O37" s="428"/>
      <c r="P37" s="51"/>
      <c r="Q37" s="40"/>
    </row>
    <row r="38" spans="1:26">
      <c r="A38" s="872">
        <v>27</v>
      </c>
      <c r="B38" s="1069" t="s">
        <v>1478</v>
      </c>
      <c r="C38" s="1052" t="s">
        <v>1671</v>
      </c>
      <c r="D38" s="1070" t="s">
        <v>1349</v>
      </c>
      <c r="E38" s="432" t="s">
        <v>24</v>
      </c>
      <c r="F38" s="473" t="s">
        <v>1348</v>
      </c>
      <c r="H38" s="40" t="s">
        <v>1349</v>
      </c>
      <c r="I38" s="825" t="s">
        <v>24</v>
      </c>
      <c r="J38" s="826" t="s">
        <v>1348</v>
      </c>
      <c r="K38" s="438" t="s">
        <v>2</v>
      </c>
      <c r="L38" s="1051" t="s">
        <v>1349</v>
      </c>
      <c r="M38" s="1052" t="s">
        <v>1671</v>
      </c>
      <c r="N38" s="1059" t="s">
        <v>2</v>
      </c>
      <c r="O38" s="428"/>
      <c r="Q38" s="40"/>
    </row>
    <row r="39" spans="1:26">
      <c r="A39" s="872">
        <v>28</v>
      </c>
      <c r="B39" s="1069" t="s">
        <v>1479</v>
      </c>
      <c r="C39" s="1052" t="s">
        <v>1672</v>
      </c>
      <c r="D39" s="1070" t="s">
        <v>1321</v>
      </c>
      <c r="E39" s="432" t="s">
        <v>3</v>
      </c>
      <c r="F39" s="473" t="s">
        <v>1315</v>
      </c>
      <c r="G39" s="271"/>
      <c r="H39" s="40" t="s">
        <v>1321</v>
      </c>
      <c r="I39" s="825" t="s">
        <v>3</v>
      </c>
      <c r="J39" s="826" t="s">
        <v>1315</v>
      </c>
      <c r="K39" s="438" t="s">
        <v>2</v>
      </c>
      <c r="L39" s="1051" t="s">
        <v>1321</v>
      </c>
      <c r="M39" s="1052" t="s">
        <v>1672</v>
      </c>
      <c r="N39" s="1059" t="s">
        <v>2</v>
      </c>
      <c r="O39" s="428"/>
      <c r="Q39" s="40"/>
    </row>
    <row r="40" spans="1:26">
      <c r="A40" s="872">
        <v>29</v>
      </c>
      <c r="B40" s="1069" t="s">
        <v>1480</v>
      </c>
      <c r="C40" s="1052" t="s">
        <v>1673</v>
      </c>
      <c r="D40" s="1070" t="s">
        <v>1379</v>
      </c>
      <c r="E40" s="432" t="s">
        <v>3</v>
      </c>
      <c r="F40" s="473" t="s">
        <v>1378</v>
      </c>
      <c r="H40" s="40" t="s">
        <v>1379</v>
      </c>
      <c r="I40" s="827" t="s">
        <v>3</v>
      </c>
      <c r="J40" s="828" t="s">
        <v>1378</v>
      </c>
      <c r="K40" s="436" t="s">
        <v>2</v>
      </c>
      <c r="L40" s="1051" t="s">
        <v>1379</v>
      </c>
      <c r="M40" s="1052" t="s">
        <v>1673</v>
      </c>
      <c r="N40" s="1059" t="s">
        <v>2</v>
      </c>
      <c r="O40" s="428"/>
      <c r="Q40" s="40"/>
    </row>
    <row r="41" spans="1:26">
      <c r="A41" s="1067">
        <v>30</v>
      </c>
      <c r="B41" s="1069" t="s">
        <v>1481</v>
      </c>
      <c r="C41" s="1052" t="s">
        <v>1674</v>
      </c>
      <c r="D41" s="1070" t="s">
        <v>1319</v>
      </c>
      <c r="E41" s="432" t="s">
        <v>3</v>
      </c>
      <c r="F41" s="473" t="s">
        <v>1315</v>
      </c>
      <c r="H41" s="40" t="s">
        <v>1319</v>
      </c>
      <c r="I41" s="825" t="s">
        <v>3</v>
      </c>
      <c r="J41" s="826" t="s">
        <v>1315</v>
      </c>
      <c r="K41" s="438" t="s">
        <v>2</v>
      </c>
      <c r="L41" s="1051" t="s">
        <v>1319</v>
      </c>
      <c r="M41" s="1052" t="s">
        <v>1674</v>
      </c>
      <c r="N41" s="1050" t="s">
        <v>2</v>
      </c>
      <c r="O41" s="428"/>
      <c r="Q41" s="40"/>
    </row>
    <row r="42" spans="1:26">
      <c r="A42" s="872">
        <v>31</v>
      </c>
      <c r="B42" s="1069" t="s">
        <v>1482</v>
      </c>
      <c r="C42" s="1052" t="s">
        <v>1675</v>
      </c>
      <c r="D42" s="1070" t="s">
        <v>1274</v>
      </c>
      <c r="E42" s="432" t="s">
        <v>24</v>
      </c>
      <c r="F42" s="473" t="s">
        <v>1275</v>
      </c>
      <c r="H42" s="40" t="s">
        <v>1274</v>
      </c>
      <c r="I42" s="825" t="s">
        <v>24</v>
      </c>
      <c r="J42" s="826" t="s">
        <v>1275</v>
      </c>
      <c r="K42" s="438" t="s">
        <v>2</v>
      </c>
      <c r="L42" s="1051" t="s">
        <v>1274</v>
      </c>
      <c r="M42" s="1052" t="s">
        <v>1675</v>
      </c>
      <c r="N42" s="1050" t="s">
        <v>2</v>
      </c>
      <c r="O42" s="428"/>
      <c r="Q42" s="40"/>
    </row>
    <row r="43" spans="1:26">
      <c r="A43" s="872">
        <v>32</v>
      </c>
      <c r="B43" s="1069" t="s">
        <v>1483</v>
      </c>
      <c r="C43" s="1052" t="s">
        <v>1676</v>
      </c>
      <c r="D43" s="1070" t="s">
        <v>1424</v>
      </c>
      <c r="E43" s="432" t="s">
        <v>24</v>
      </c>
      <c r="F43" s="473" t="s">
        <v>1422</v>
      </c>
      <c r="H43" s="34" t="s">
        <v>1424</v>
      </c>
      <c r="I43" s="539" t="s">
        <v>24</v>
      </c>
      <c r="J43" s="447" t="s">
        <v>1422</v>
      </c>
      <c r="K43" s="430" t="s">
        <v>2</v>
      </c>
      <c r="L43" s="1051" t="s">
        <v>1424</v>
      </c>
      <c r="M43" s="1052" t="s">
        <v>1676</v>
      </c>
      <c r="N43" s="1050" t="s">
        <v>2</v>
      </c>
      <c r="O43" s="428"/>
      <c r="Q43" s="40"/>
    </row>
    <row r="44" spans="1:26" ht="15.75" thickBot="1">
      <c r="A44" s="1068"/>
      <c r="B44" s="1073"/>
      <c r="C44" s="630"/>
      <c r="D44" s="631"/>
      <c r="E44" s="632"/>
      <c r="F44" s="633"/>
      <c r="I44" s="825"/>
      <c r="J44" s="826"/>
      <c r="K44" s="438"/>
      <c r="L44" s="1051"/>
      <c r="M44" s="1052"/>
      <c r="N44" s="1058"/>
      <c r="Q44" s="40"/>
    </row>
    <row r="45" spans="1:26" ht="16.5">
      <c r="A45" s="109" t="s">
        <v>24</v>
      </c>
      <c r="B45" s="262">
        <v>20</v>
      </c>
      <c r="C45" s="665"/>
      <c r="D45" s="665"/>
      <c r="E45" s="666"/>
      <c r="F45" s="131"/>
      <c r="I45" s="829"/>
      <c r="J45" s="830"/>
      <c r="K45" s="437"/>
      <c r="L45" s="1051"/>
      <c r="M45" s="1052"/>
      <c r="N45" s="1053"/>
      <c r="O45" s="428"/>
      <c r="Q45" s="40"/>
      <c r="V45" s="832"/>
      <c r="W45" s="51"/>
      <c r="X45" s="41"/>
      <c r="Y45" s="51"/>
      <c r="Z45" s="41"/>
    </row>
    <row r="46" spans="1:26" ht="17.25" thickBot="1">
      <c r="A46" s="186" t="s">
        <v>3</v>
      </c>
      <c r="B46" s="206">
        <v>12</v>
      </c>
      <c r="C46" s="205"/>
      <c r="D46" s="205"/>
      <c r="E46" s="207"/>
      <c r="F46" s="208"/>
      <c r="I46" s="428"/>
      <c r="K46" s="40"/>
      <c r="L46" s="1051"/>
      <c r="M46" s="1052"/>
      <c r="N46" s="1058"/>
      <c r="O46" s="428"/>
      <c r="Q46" s="40"/>
    </row>
    <row r="47" spans="1:26">
      <c r="A47" s="103"/>
      <c r="B47" s="209"/>
      <c r="C47" s="117"/>
      <c r="D47" s="182"/>
      <c r="E47" s="810" t="s">
        <v>1242</v>
      </c>
      <c r="F47" s="103"/>
      <c r="I47" s="829"/>
      <c r="J47" s="830"/>
      <c r="K47" s="437"/>
      <c r="L47" s="1051"/>
      <c r="M47" s="1052"/>
      <c r="N47" s="1058"/>
      <c r="O47" s="428"/>
      <c r="Q47" s="40"/>
    </row>
    <row r="48" spans="1:26">
      <c r="A48" s="103"/>
      <c r="B48" s="117"/>
      <c r="C48" s="115"/>
      <c r="D48" s="115"/>
      <c r="E48" s="115" t="s">
        <v>84</v>
      </c>
      <c r="F48" s="115"/>
      <c r="I48" s="825"/>
      <c r="J48" s="826"/>
      <c r="K48" s="438"/>
      <c r="L48" s="1051"/>
      <c r="M48" s="1052"/>
      <c r="N48" s="1055"/>
      <c r="O48" s="428"/>
      <c r="Q48" s="40"/>
    </row>
    <row r="49" spans="1:17" ht="28.5" customHeight="1">
      <c r="A49" s="103"/>
      <c r="B49" s="117"/>
      <c r="I49" s="827"/>
      <c r="J49" s="828"/>
      <c r="K49" s="436"/>
      <c r="L49" s="1051"/>
      <c r="M49" s="1052"/>
      <c r="N49" s="1050"/>
      <c r="O49" s="428"/>
      <c r="Q49" s="40"/>
    </row>
    <row r="50" spans="1:17">
      <c r="A50" s="103"/>
      <c r="B50" s="117"/>
      <c r="C50" s="115"/>
      <c r="D50" s="183"/>
      <c r="E50" s="121" t="str">
        <f>WLKLS!B1</f>
        <v>IKA KARTIKA, S.Pd</v>
      </c>
      <c r="F50" s="122"/>
      <c r="I50" s="428"/>
      <c r="K50" s="40"/>
      <c r="L50" s="1051"/>
      <c r="M50" s="1052"/>
      <c r="N50" s="1053"/>
      <c r="O50" s="428"/>
      <c r="Q50" s="40"/>
    </row>
    <row r="51" spans="1:17">
      <c r="A51" s="103"/>
      <c r="B51" s="117"/>
      <c r="C51" s="115"/>
      <c r="D51" s="183"/>
      <c r="E51" s="246" t="str">
        <f>WLKLS!C1</f>
        <v>NIP. 199104112023212000</v>
      </c>
      <c r="F51" s="115"/>
      <c r="J51" s="512"/>
      <c r="L51" s="1051"/>
      <c r="M51" s="1052"/>
      <c r="N51" s="1053"/>
      <c r="O51" s="428"/>
      <c r="Q51" s="40"/>
    </row>
    <row r="52" spans="1:17">
      <c r="A52" s="103"/>
      <c r="B52" s="398"/>
      <c r="C52" s="832"/>
      <c r="D52" s="51"/>
      <c r="E52" s="41"/>
      <c r="F52" s="51"/>
      <c r="I52" s="825"/>
      <c r="J52" s="826"/>
      <c r="K52" s="438"/>
      <c r="L52" s="1051"/>
      <c r="M52" s="1052"/>
      <c r="N52" s="1050"/>
      <c r="O52" s="428"/>
      <c r="Q52" s="40"/>
    </row>
    <row r="53" spans="1:17">
      <c r="A53" s="103"/>
      <c r="B53" s="398"/>
      <c r="C53" s="832"/>
      <c r="D53" s="51"/>
      <c r="E53" s="41"/>
      <c r="F53" s="51"/>
      <c r="I53" s="825"/>
      <c r="J53" s="826"/>
      <c r="K53" s="438"/>
      <c r="L53" s="1051"/>
      <c r="M53" s="1052"/>
      <c r="N53" s="1050"/>
      <c r="O53" s="428"/>
      <c r="Q53" s="40"/>
    </row>
    <row r="54" spans="1:17" ht="5.25" customHeight="1">
      <c r="A54" s="103"/>
      <c r="B54" s="117"/>
      <c r="C54" s="115"/>
      <c r="D54" s="183"/>
      <c r="E54" s="246"/>
      <c r="F54" s="115"/>
      <c r="I54" s="829"/>
      <c r="J54" s="830"/>
      <c r="K54" s="437"/>
      <c r="L54" s="1051"/>
      <c r="M54" s="1052"/>
      <c r="N54" s="1059"/>
      <c r="O54" s="428"/>
      <c r="Q54" s="40"/>
    </row>
    <row r="55" spans="1:17">
      <c r="A55" s="1018" t="s">
        <v>0</v>
      </c>
      <c r="B55" s="1018"/>
      <c r="C55" s="1018"/>
      <c r="D55" s="1018"/>
      <c r="E55" s="1018"/>
      <c r="F55" s="1018"/>
      <c r="I55" s="827"/>
      <c r="J55" s="828"/>
      <c r="K55" s="436"/>
      <c r="L55" s="1051"/>
      <c r="M55" s="1052"/>
      <c r="N55" s="1059"/>
      <c r="O55" s="428"/>
      <c r="Q55" s="40"/>
    </row>
    <row r="56" spans="1:17">
      <c r="A56" s="1018" t="s">
        <v>1</v>
      </c>
      <c r="B56" s="1018"/>
      <c r="C56" s="1018"/>
      <c r="D56" s="1018"/>
      <c r="E56" s="1018"/>
      <c r="F56" s="1018"/>
      <c r="I56" s="827"/>
      <c r="J56" s="828"/>
      <c r="K56" s="436"/>
      <c r="L56" s="1051"/>
      <c r="M56" s="1052"/>
      <c r="N56" s="1050"/>
      <c r="O56" s="428"/>
      <c r="Q56" s="40"/>
    </row>
    <row r="57" spans="1:17">
      <c r="A57" s="1018" t="s">
        <v>4</v>
      </c>
      <c r="B57" s="1018"/>
      <c r="C57" s="1018"/>
      <c r="D57" s="1018"/>
      <c r="E57" s="1018"/>
      <c r="F57" s="1018"/>
      <c r="J57" s="512"/>
      <c r="L57" s="1051"/>
      <c r="M57" s="1052"/>
      <c r="N57" s="1053"/>
      <c r="O57" s="428"/>
      <c r="Q57" s="40"/>
    </row>
    <row r="58" spans="1:17">
      <c r="A58" s="1019" t="s">
        <v>6</v>
      </c>
      <c r="B58" s="1019"/>
      <c r="C58" s="1019"/>
      <c r="D58" s="1019"/>
      <c r="E58" s="1019"/>
      <c r="F58" s="1019"/>
      <c r="I58" s="829"/>
      <c r="J58" s="830"/>
      <c r="K58" s="437"/>
      <c r="L58" s="1051"/>
      <c r="M58" s="1052"/>
      <c r="N58" s="1053"/>
      <c r="O58" s="428"/>
      <c r="Q58" s="40"/>
    </row>
    <row r="59" spans="1:17" ht="15.75" thickBot="1">
      <c r="A59" s="1020" t="s">
        <v>7</v>
      </c>
      <c r="B59" s="1020"/>
      <c r="C59" s="1020"/>
      <c r="D59" s="1020"/>
      <c r="E59" s="1020"/>
      <c r="F59" s="1020"/>
      <c r="I59" s="428"/>
      <c r="K59" s="40"/>
      <c r="L59" s="1056"/>
      <c r="M59" s="1052"/>
      <c r="N59" s="1058"/>
      <c r="O59" s="428"/>
      <c r="Q59" s="40"/>
    </row>
    <row r="60" spans="1:17" ht="15.75" thickTop="1">
      <c r="A60" s="97"/>
      <c r="B60" s="97"/>
      <c r="C60" s="97"/>
      <c r="D60" s="97"/>
      <c r="E60" s="98"/>
      <c r="F60" s="98"/>
      <c r="I60" s="428"/>
      <c r="K60" s="40"/>
      <c r="L60" s="1051"/>
      <c r="M60" s="1052"/>
      <c r="N60" s="1055"/>
      <c r="O60" s="428"/>
      <c r="Q60" s="40"/>
    </row>
    <row r="61" spans="1:17" ht="15.75">
      <c r="A61" s="1021" t="s">
        <v>1043</v>
      </c>
      <c r="B61" s="1021"/>
      <c r="C61" s="1021"/>
      <c r="D61" s="1021"/>
      <c r="E61" s="1021"/>
      <c r="F61" s="1021"/>
      <c r="I61" s="825"/>
      <c r="J61" s="826"/>
      <c r="K61" s="438"/>
      <c r="L61" s="1051"/>
      <c r="M61" s="1052"/>
      <c r="N61" s="1058"/>
      <c r="O61" s="428"/>
      <c r="Q61" s="40"/>
    </row>
    <row r="62" spans="1:17" ht="15.75">
      <c r="A62" s="1022" t="s">
        <v>1241</v>
      </c>
      <c r="B62" s="1022"/>
      <c r="C62" s="1022"/>
      <c r="D62" s="1022"/>
      <c r="E62" s="1022"/>
      <c r="F62" s="1022"/>
      <c r="I62" s="825"/>
      <c r="J62" s="826"/>
      <c r="K62" s="438"/>
      <c r="L62" s="1051"/>
      <c r="M62" s="1052"/>
      <c r="N62" s="1050"/>
      <c r="O62" s="428"/>
      <c r="Q62" s="40"/>
    </row>
    <row r="63" spans="1:17" ht="15.75" thickBot="1">
      <c r="A63" s="100"/>
      <c r="B63" s="100"/>
      <c r="C63" s="101"/>
      <c r="D63" s="212"/>
      <c r="E63" s="213"/>
      <c r="F63" s="212"/>
      <c r="H63" s="34"/>
      <c r="I63" s="539"/>
      <c r="J63" s="447"/>
      <c r="K63" s="430"/>
      <c r="L63" s="1051"/>
      <c r="M63" s="1052"/>
      <c r="N63" s="1050"/>
      <c r="O63" s="428"/>
      <c r="Q63" s="40"/>
    </row>
    <row r="64" spans="1:17" ht="16.5" thickBot="1">
      <c r="A64" s="1023" t="s">
        <v>13</v>
      </c>
      <c r="B64" s="1024"/>
      <c r="C64" s="1025"/>
      <c r="D64" s="1029" t="s">
        <v>14</v>
      </c>
      <c r="E64" s="1027" t="s">
        <v>15</v>
      </c>
      <c r="F64" s="1029" t="s">
        <v>16</v>
      </c>
      <c r="I64" s="825"/>
      <c r="J64" s="826"/>
      <c r="K64" s="438"/>
      <c r="L64" s="1051"/>
      <c r="M64" s="1054"/>
      <c r="N64" s="1053"/>
      <c r="O64" s="428"/>
      <c r="Q64" s="40"/>
    </row>
    <row r="65" spans="1:18" ht="16.5" thickBot="1">
      <c r="A65" s="126" t="s">
        <v>18</v>
      </c>
      <c r="B65" s="126" t="s">
        <v>19</v>
      </c>
      <c r="C65" s="126" t="s">
        <v>20</v>
      </c>
      <c r="D65" s="1029"/>
      <c r="E65" s="1027"/>
      <c r="F65" s="1029"/>
      <c r="I65" s="428"/>
      <c r="K65" s="40"/>
      <c r="L65" s="1051"/>
      <c r="M65" s="1052"/>
      <c r="N65" s="1053"/>
      <c r="O65" s="428"/>
      <c r="Q65" s="40"/>
    </row>
    <row r="66" spans="1:18">
      <c r="A66" s="1077">
        <v>1</v>
      </c>
      <c r="B66" s="1078" t="s">
        <v>1484</v>
      </c>
      <c r="C66" s="1076" t="s">
        <v>1677</v>
      </c>
      <c r="D66" s="948" t="s">
        <v>1620</v>
      </c>
      <c r="E66" s="947" t="s">
        <v>3</v>
      </c>
      <c r="F66" s="939" t="s">
        <v>1360</v>
      </c>
      <c r="G66" s="83"/>
      <c r="H66" s="40" t="s">
        <v>1364</v>
      </c>
      <c r="I66" s="825" t="s">
        <v>3</v>
      </c>
      <c r="J66" s="826" t="s">
        <v>1360</v>
      </c>
      <c r="K66" s="438" t="s">
        <v>62</v>
      </c>
      <c r="L66" s="1051" t="s">
        <v>1364</v>
      </c>
      <c r="M66" s="1052" t="s">
        <v>1677</v>
      </c>
      <c r="N66" s="1058" t="s">
        <v>62</v>
      </c>
      <c r="O66" s="428"/>
      <c r="Q66" s="40"/>
    </row>
    <row r="67" spans="1:18">
      <c r="A67" s="358">
        <v>2</v>
      </c>
      <c r="B67" s="356" t="s">
        <v>1485</v>
      </c>
      <c r="C67" s="1052" t="s">
        <v>1678</v>
      </c>
      <c r="D67" s="945" t="s">
        <v>1385</v>
      </c>
      <c r="E67" s="789" t="s">
        <v>24</v>
      </c>
      <c r="F67" s="950" t="s">
        <v>1386</v>
      </c>
      <c r="G67" s="83"/>
      <c r="H67" s="40" t="s">
        <v>1385</v>
      </c>
      <c r="I67" s="829" t="s">
        <v>24</v>
      </c>
      <c r="J67" s="830" t="s">
        <v>1386</v>
      </c>
      <c r="K67" s="437" t="s">
        <v>62</v>
      </c>
      <c r="L67" s="1051" t="s">
        <v>1385</v>
      </c>
      <c r="M67" s="1052" t="s">
        <v>1678</v>
      </c>
      <c r="N67" s="1053" t="s">
        <v>62</v>
      </c>
      <c r="O67" s="428"/>
      <c r="Q67" s="40"/>
    </row>
    <row r="68" spans="1:18">
      <c r="A68" s="358">
        <v>3</v>
      </c>
      <c r="B68" s="949" t="s">
        <v>1486</v>
      </c>
      <c r="C68" s="1052" t="s">
        <v>1679</v>
      </c>
      <c r="D68" s="945" t="s">
        <v>1291</v>
      </c>
      <c r="E68" s="789" t="s">
        <v>24</v>
      </c>
      <c r="F68" s="950" t="s">
        <v>1292</v>
      </c>
      <c r="G68" s="83"/>
      <c r="H68" s="40" t="s">
        <v>1291</v>
      </c>
      <c r="I68" s="428" t="s">
        <v>24</v>
      </c>
      <c r="J68" s="34" t="s">
        <v>1292</v>
      </c>
      <c r="K68" s="40" t="s">
        <v>62</v>
      </c>
      <c r="L68" s="1051" t="s">
        <v>1291</v>
      </c>
      <c r="M68" s="1052" t="s">
        <v>1679</v>
      </c>
      <c r="N68" s="1058" t="s">
        <v>62</v>
      </c>
      <c r="O68" s="428"/>
      <c r="Q68" s="40"/>
    </row>
    <row r="69" spans="1:18">
      <c r="A69" s="358">
        <v>4</v>
      </c>
      <c r="B69" s="356" t="s">
        <v>1487</v>
      </c>
      <c r="C69" s="1052" t="s">
        <v>1680</v>
      </c>
      <c r="D69" s="945" t="s">
        <v>1325</v>
      </c>
      <c r="E69" s="789" t="s">
        <v>24</v>
      </c>
      <c r="F69" s="950" t="s">
        <v>1315</v>
      </c>
      <c r="G69" s="83"/>
      <c r="H69" s="40" t="s">
        <v>1325</v>
      </c>
      <c r="I69" s="829" t="s">
        <v>24</v>
      </c>
      <c r="J69" s="830" t="s">
        <v>1315</v>
      </c>
      <c r="K69" s="437" t="s">
        <v>62</v>
      </c>
      <c r="L69" s="1051" t="s">
        <v>1325</v>
      </c>
      <c r="M69" s="1052" t="s">
        <v>1680</v>
      </c>
      <c r="N69" s="1058" t="s">
        <v>62</v>
      </c>
      <c r="O69" s="428"/>
      <c r="Q69" s="40"/>
    </row>
    <row r="70" spans="1:18">
      <c r="A70" s="358">
        <v>5</v>
      </c>
      <c r="B70" s="949" t="s">
        <v>1488</v>
      </c>
      <c r="C70" s="1052" t="s">
        <v>1681</v>
      </c>
      <c r="D70" s="945" t="s">
        <v>1281</v>
      </c>
      <c r="E70" s="789" t="s">
        <v>3</v>
      </c>
      <c r="F70" s="950" t="s">
        <v>1277</v>
      </c>
      <c r="G70" s="83"/>
      <c r="H70" s="40" t="s">
        <v>1281</v>
      </c>
      <c r="I70" s="825" t="s">
        <v>3</v>
      </c>
      <c r="J70" s="826" t="s">
        <v>1277</v>
      </c>
      <c r="K70" s="438" t="s">
        <v>62</v>
      </c>
      <c r="L70" s="1051" t="s">
        <v>1281</v>
      </c>
      <c r="M70" s="1052" t="s">
        <v>1681</v>
      </c>
      <c r="N70" s="1055" t="s">
        <v>62</v>
      </c>
      <c r="O70" s="428"/>
      <c r="Q70" s="40"/>
    </row>
    <row r="71" spans="1:18">
      <c r="A71" s="358">
        <v>6</v>
      </c>
      <c r="B71" s="356" t="s">
        <v>1489</v>
      </c>
      <c r="C71" s="1052" t="s">
        <v>1683</v>
      </c>
      <c r="D71" s="945" t="s">
        <v>1387</v>
      </c>
      <c r="E71" s="789" t="s">
        <v>24</v>
      </c>
      <c r="F71" s="950" t="s">
        <v>1386</v>
      </c>
      <c r="G71" s="83"/>
      <c r="H71" s="40" t="s">
        <v>1387</v>
      </c>
      <c r="I71" s="827" t="s">
        <v>24</v>
      </c>
      <c r="J71" s="828" t="s">
        <v>1386</v>
      </c>
      <c r="K71" s="436" t="s">
        <v>62</v>
      </c>
      <c r="L71" s="1051" t="s">
        <v>1682</v>
      </c>
      <c r="M71" s="1052" t="s">
        <v>1683</v>
      </c>
      <c r="N71" s="1050" t="s">
        <v>62</v>
      </c>
      <c r="O71" s="428"/>
      <c r="Q71" s="40"/>
    </row>
    <row r="72" spans="1:18">
      <c r="A72" s="358">
        <v>7</v>
      </c>
      <c r="B72" s="949" t="s">
        <v>1490</v>
      </c>
      <c r="C72" s="1052" t="s">
        <v>1684</v>
      </c>
      <c r="D72" s="945" t="s">
        <v>1280</v>
      </c>
      <c r="E72" s="789" t="s">
        <v>3</v>
      </c>
      <c r="F72" s="950" t="s">
        <v>1277</v>
      </c>
      <c r="G72" s="83"/>
      <c r="H72" s="40" t="s">
        <v>1280</v>
      </c>
      <c r="I72" s="428" t="s">
        <v>3</v>
      </c>
      <c r="J72" s="34" t="s">
        <v>1277</v>
      </c>
      <c r="K72" s="40" t="s">
        <v>62</v>
      </c>
      <c r="L72" s="1051" t="s">
        <v>1280</v>
      </c>
      <c r="M72" s="1052" t="s">
        <v>1684</v>
      </c>
      <c r="N72" s="1053" t="s">
        <v>62</v>
      </c>
      <c r="O72" s="428"/>
      <c r="Q72" s="40"/>
    </row>
    <row r="73" spans="1:18">
      <c r="A73" s="358">
        <v>8</v>
      </c>
      <c r="B73" s="356" t="s">
        <v>1491</v>
      </c>
      <c r="C73" s="1052" t="s">
        <v>1685</v>
      </c>
      <c r="D73" s="945" t="s">
        <v>1410</v>
      </c>
      <c r="E73" s="946" t="s">
        <v>24</v>
      </c>
      <c r="F73" s="950" t="s">
        <v>1411</v>
      </c>
      <c r="G73" s="83"/>
      <c r="H73" s="40" t="s">
        <v>1410</v>
      </c>
      <c r="I73" s="34" t="s">
        <v>24</v>
      </c>
      <c r="J73" s="512" t="s">
        <v>1411</v>
      </c>
      <c r="K73" s="34" t="s">
        <v>62</v>
      </c>
      <c r="L73" s="1051" t="s">
        <v>1410</v>
      </c>
      <c r="M73" s="1052" t="s">
        <v>1685</v>
      </c>
      <c r="N73" s="1053" t="s">
        <v>62</v>
      </c>
      <c r="O73" s="428"/>
      <c r="Q73" s="40"/>
    </row>
    <row r="74" spans="1:18">
      <c r="A74" s="358">
        <v>9</v>
      </c>
      <c r="B74" s="949" t="s">
        <v>1492</v>
      </c>
      <c r="C74" s="1052" t="s">
        <v>1686</v>
      </c>
      <c r="D74" s="945" t="s">
        <v>1282</v>
      </c>
      <c r="E74" s="789" t="s">
        <v>3</v>
      </c>
      <c r="F74" s="950" t="s">
        <v>1277</v>
      </c>
      <c r="G74" s="83"/>
      <c r="H74" s="40" t="s">
        <v>1282</v>
      </c>
      <c r="I74" s="825" t="s">
        <v>3</v>
      </c>
      <c r="J74" s="826" t="s">
        <v>1277</v>
      </c>
      <c r="K74" s="438" t="s">
        <v>62</v>
      </c>
      <c r="L74" s="1051" t="s">
        <v>1282</v>
      </c>
      <c r="M74" s="1052" t="s">
        <v>1686</v>
      </c>
      <c r="N74" s="1050" t="s">
        <v>62</v>
      </c>
      <c r="O74" s="428"/>
      <c r="Q74" s="40"/>
    </row>
    <row r="75" spans="1:18">
      <c r="A75" s="358">
        <v>10</v>
      </c>
      <c r="B75" s="356" t="s">
        <v>1493</v>
      </c>
      <c r="C75" s="1052" t="s">
        <v>1687</v>
      </c>
      <c r="D75" s="945" t="s">
        <v>1322</v>
      </c>
      <c r="E75" s="789" t="s">
        <v>3</v>
      </c>
      <c r="F75" s="950" t="s">
        <v>1315</v>
      </c>
      <c r="G75" s="83"/>
      <c r="H75" s="40" t="s">
        <v>1322</v>
      </c>
      <c r="I75" s="825" t="s">
        <v>3</v>
      </c>
      <c r="J75" s="826" t="s">
        <v>1315</v>
      </c>
      <c r="K75" s="438" t="s">
        <v>62</v>
      </c>
      <c r="L75" s="1051" t="s">
        <v>1322</v>
      </c>
      <c r="M75" s="1052" t="s">
        <v>1687</v>
      </c>
      <c r="N75" s="1050" t="s">
        <v>62</v>
      </c>
      <c r="O75" s="428"/>
      <c r="Q75" s="40"/>
    </row>
    <row r="76" spans="1:18">
      <c r="A76" s="358">
        <v>11</v>
      </c>
      <c r="B76" s="949" t="s">
        <v>1494</v>
      </c>
      <c r="C76" s="1052" t="s">
        <v>1688</v>
      </c>
      <c r="D76" s="945" t="s">
        <v>1283</v>
      </c>
      <c r="E76" s="789" t="s">
        <v>3</v>
      </c>
      <c r="F76" s="950" t="s">
        <v>1277</v>
      </c>
      <c r="G76" s="83"/>
      <c r="H76" s="40" t="s">
        <v>1283</v>
      </c>
      <c r="I76" s="829" t="s">
        <v>3</v>
      </c>
      <c r="J76" s="830" t="s">
        <v>1277</v>
      </c>
      <c r="K76" s="437" t="s">
        <v>62</v>
      </c>
      <c r="L76" s="1051" t="s">
        <v>1283</v>
      </c>
      <c r="M76" s="1052" t="s">
        <v>1688</v>
      </c>
      <c r="N76" s="1059" t="s">
        <v>62</v>
      </c>
      <c r="O76" s="428"/>
      <c r="Q76" s="40"/>
    </row>
    <row r="77" spans="1:18">
      <c r="A77" s="358">
        <v>12</v>
      </c>
      <c r="B77" s="356" t="s">
        <v>1495</v>
      </c>
      <c r="C77" s="1052" t="s">
        <v>1689</v>
      </c>
      <c r="D77" s="945" t="s">
        <v>1279</v>
      </c>
      <c r="E77" s="789" t="s">
        <v>3</v>
      </c>
      <c r="F77" s="950" t="s">
        <v>1277</v>
      </c>
      <c r="G77" s="83"/>
      <c r="H77" s="40" t="s">
        <v>1279</v>
      </c>
      <c r="I77" s="827" t="s">
        <v>3</v>
      </c>
      <c r="J77" s="828" t="s">
        <v>1277</v>
      </c>
      <c r="K77" s="436" t="s">
        <v>62</v>
      </c>
      <c r="L77" s="1051" t="s">
        <v>1279</v>
      </c>
      <c r="M77" s="1052" t="s">
        <v>1689</v>
      </c>
      <c r="N77" s="1059" t="s">
        <v>62</v>
      </c>
      <c r="O77" s="428"/>
      <c r="Q77" s="40"/>
    </row>
    <row r="78" spans="1:18">
      <c r="A78" s="358">
        <v>13</v>
      </c>
      <c r="B78" s="949" t="s">
        <v>1496</v>
      </c>
      <c r="C78" s="1052" t="s">
        <v>1690</v>
      </c>
      <c r="D78" s="945" t="s">
        <v>1388</v>
      </c>
      <c r="E78" s="789" t="s">
        <v>24</v>
      </c>
      <c r="F78" s="950" t="s">
        <v>1386</v>
      </c>
      <c r="G78" s="83"/>
      <c r="H78" s="40" t="s">
        <v>1388</v>
      </c>
      <c r="I78" s="827" t="s">
        <v>24</v>
      </c>
      <c r="J78" s="828" t="s">
        <v>1386</v>
      </c>
      <c r="K78" s="436" t="s">
        <v>62</v>
      </c>
      <c r="L78" s="1051" t="s">
        <v>1388</v>
      </c>
      <c r="M78" s="1052" t="s">
        <v>1690</v>
      </c>
      <c r="N78" s="1050" t="s">
        <v>62</v>
      </c>
      <c r="O78" s="428"/>
      <c r="Q78" s="40"/>
    </row>
    <row r="79" spans="1:18">
      <c r="A79" s="358">
        <v>14</v>
      </c>
      <c r="B79" s="356" t="s">
        <v>1497</v>
      </c>
      <c r="C79" s="1052" t="s">
        <v>1691</v>
      </c>
      <c r="D79" s="945" t="s">
        <v>1412</v>
      </c>
      <c r="E79" s="946" t="s">
        <v>24</v>
      </c>
      <c r="F79" s="950" t="s">
        <v>1411</v>
      </c>
      <c r="G79" s="83"/>
      <c r="H79" s="40" t="s">
        <v>1412</v>
      </c>
      <c r="I79" s="34" t="s">
        <v>24</v>
      </c>
      <c r="J79" s="512" t="s">
        <v>1411</v>
      </c>
      <c r="K79" s="34" t="s">
        <v>62</v>
      </c>
      <c r="L79" s="1051" t="s">
        <v>1412</v>
      </c>
      <c r="M79" s="1052" t="s">
        <v>1691</v>
      </c>
      <c r="N79" s="1053" t="s">
        <v>62</v>
      </c>
      <c r="O79" s="832"/>
      <c r="P79" s="51"/>
      <c r="Q79" s="41"/>
      <c r="R79" s="51"/>
    </row>
    <row r="80" spans="1:18">
      <c r="A80" s="358">
        <v>15</v>
      </c>
      <c r="B80" s="949" t="s">
        <v>1498</v>
      </c>
      <c r="C80" s="1052" t="s">
        <v>1692</v>
      </c>
      <c r="D80" s="945" t="s">
        <v>1323</v>
      </c>
      <c r="E80" s="789" t="s">
        <v>3</v>
      </c>
      <c r="F80" s="950" t="s">
        <v>1315</v>
      </c>
      <c r="G80" s="83"/>
      <c r="H80" s="40" t="s">
        <v>1323</v>
      </c>
      <c r="I80" s="829" t="s">
        <v>3</v>
      </c>
      <c r="J80" s="830" t="s">
        <v>1315</v>
      </c>
      <c r="K80" s="437" t="s">
        <v>62</v>
      </c>
      <c r="L80" s="1051" t="s">
        <v>1323</v>
      </c>
      <c r="M80" s="1052" t="s">
        <v>1692</v>
      </c>
      <c r="N80" s="1053" t="s">
        <v>62</v>
      </c>
      <c r="O80" s="428"/>
      <c r="Q80" s="40"/>
    </row>
    <row r="81" spans="1:17">
      <c r="A81" s="358">
        <v>16</v>
      </c>
      <c r="B81" s="356" t="s">
        <v>1499</v>
      </c>
      <c r="C81" s="1052" t="s">
        <v>1693</v>
      </c>
      <c r="D81" s="945" t="s">
        <v>1262</v>
      </c>
      <c r="E81" s="789" t="s">
        <v>24</v>
      </c>
      <c r="F81" s="950" t="s">
        <v>1263</v>
      </c>
      <c r="G81" s="83"/>
      <c r="H81" s="40" t="s">
        <v>1262</v>
      </c>
      <c r="I81" s="428" t="s">
        <v>24</v>
      </c>
      <c r="J81" s="34" t="s">
        <v>1263</v>
      </c>
      <c r="K81" s="40" t="s">
        <v>62</v>
      </c>
      <c r="L81" s="1056" t="s">
        <v>1262</v>
      </c>
      <c r="M81" s="1052" t="s">
        <v>1693</v>
      </c>
      <c r="N81" s="1058" t="s">
        <v>62</v>
      </c>
      <c r="O81" s="428"/>
      <c r="Q81" s="40"/>
    </row>
    <row r="82" spans="1:17">
      <c r="A82" s="358">
        <v>17</v>
      </c>
      <c r="B82" s="949" t="s">
        <v>1500</v>
      </c>
      <c r="C82" s="1052" t="s">
        <v>1695</v>
      </c>
      <c r="D82" s="945" t="s">
        <v>1621</v>
      </c>
      <c r="E82" s="789" t="s">
        <v>3</v>
      </c>
      <c r="F82" s="950" t="s">
        <v>1360</v>
      </c>
      <c r="G82" s="83"/>
      <c r="H82" s="40" t="s">
        <v>1362</v>
      </c>
      <c r="I82" s="428" t="s">
        <v>3</v>
      </c>
      <c r="J82" s="34" t="s">
        <v>1360</v>
      </c>
      <c r="K82" s="40" t="s">
        <v>62</v>
      </c>
      <c r="L82" s="1051" t="s">
        <v>1694</v>
      </c>
      <c r="M82" s="1052" t="s">
        <v>1695</v>
      </c>
      <c r="N82" s="1055" t="s">
        <v>62</v>
      </c>
      <c r="O82" s="428"/>
      <c r="Q82" s="40"/>
    </row>
    <row r="83" spans="1:17">
      <c r="A83" s="358">
        <v>18</v>
      </c>
      <c r="B83" s="356" t="s">
        <v>1501</v>
      </c>
      <c r="C83" s="1052" t="s">
        <v>1696</v>
      </c>
      <c r="D83" s="945" t="s">
        <v>1382</v>
      </c>
      <c r="E83" s="789" t="s">
        <v>24</v>
      </c>
      <c r="F83" s="950" t="s">
        <v>1378</v>
      </c>
      <c r="G83" s="83"/>
      <c r="H83" s="40" t="s">
        <v>1382</v>
      </c>
      <c r="I83" s="825" t="s">
        <v>24</v>
      </c>
      <c r="J83" s="826" t="s">
        <v>1378</v>
      </c>
      <c r="K83" s="438" t="s">
        <v>62</v>
      </c>
      <c r="L83" s="1051" t="s">
        <v>1382</v>
      </c>
      <c r="M83" s="1052" t="s">
        <v>1696</v>
      </c>
      <c r="N83" s="1058" t="s">
        <v>62</v>
      </c>
      <c r="O83" s="428"/>
      <c r="Q83" s="40"/>
    </row>
    <row r="84" spans="1:17">
      <c r="A84" s="358">
        <v>19</v>
      </c>
      <c r="B84" s="949" t="s">
        <v>1502</v>
      </c>
      <c r="C84" s="1052" t="s">
        <v>1697</v>
      </c>
      <c r="D84" s="945" t="s">
        <v>1383</v>
      </c>
      <c r="E84" s="789" t="s">
        <v>24</v>
      </c>
      <c r="F84" s="950" t="s">
        <v>1378</v>
      </c>
      <c r="G84" s="83"/>
      <c r="H84" s="40" t="s">
        <v>1383</v>
      </c>
      <c r="I84" s="825" t="s">
        <v>24</v>
      </c>
      <c r="J84" s="826" t="s">
        <v>1378</v>
      </c>
      <c r="K84" s="438" t="s">
        <v>62</v>
      </c>
      <c r="L84" s="1051" t="s">
        <v>1383</v>
      </c>
      <c r="M84" s="1052" t="s">
        <v>1697</v>
      </c>
      <c r="N84" s="1050" t="s">
        <v>62</v>
      </c>
      <c r="O84" s="428"/>
      <c r="Q84" s="40"/>
    </row>
    <row r="85" spans="1:17">
      <c r="A85" s="358">
        <v>20</v>
      </c>
      <c r="B85" s="356" t="s">
        <v>1503</v>
      </c>
      <c r="C85" s="1052" t="s">
        <v>1698</v>
      </c>
      <c r="D85" s="945" t="s">
        <v>1413</v>
      </c>
      <c r="E85" s="789" t="s">
        <v>24</v>
      </c>
      <c r="F85" s="950" t="s">
        <v>1411</v>
      </c>
      <c r="G85" s="83"/>
      <c r="H85" s="34" t="s">
        <v>1413</v>
      </c>
      <c r="I85" s="539" t="s">
        <v>24</v>
      </c>
      <c r="J85" s="447" t="s">
        <v>1411</v>
      </c>
      <c r="K85" s="430" t="s">
        <v>62</v>
      </c>
      <c r="L85" s="1051" t="s">
        <v>1413</v>
      </c>
      <c r="M85" s="1052" t="s">
        <v>1698</v>
      </c>
      <c r="N85" s="1050" t="s">
        <v>62</v>
      </c>
      <c r="O85" s="428"/>
      <c r="Q85" s="40"/>
    </row>
    <row r="86" spans="1:17">
      <c r="A86" s="358">
        <v>21</v>
      </c>
      <c r="B86" s="949" t="s">
        <v>1504</v>
      </c>
      <c r="C86" s="1054" t="s">
        <v>1699</v>
      </c>
      <c r="D86" s="945" t="s">
        <v>1300</v>
      </c>
      <c r="E86" s="789" t="s">
        <v>24</v>
      </c>
      <c r="F86" s="950" t="s">
        <v>1297</v>
      </c>
      <c r="G86" s="83"/>
      <c r="H86" s="40" t="s">
        <v>1300</v>
      </c>
      <c r="I86" s="825" t="s">
        <v>24</v>
      </c>
      <c r="J86" s="826" t="s">
        <v>1297</v>
      </c>
      <c r="K86" s="438" t="s">
        <v>62</v>
      </c>
      <c r="L86" s="1051" t="s">
        <v>1300</v>
      </c>
      <c r="M86" s="1054" t="s">
        <v>1699</v>
      </c>
      <c r="N86" s="1053" t="s">
        <v>62</v>
      </c>
      <c r="O86" s="428"/>
      <c r="Q86" s="40"/>
    </row>
    <row r="87" spans="1:17">
      <c r="A87" s="358">
        <v>22</v>
      </c>
      <c r="B87" s="356" t="s">
        <v>1505</v>
      </c>
      <c r="C87" s="1052" t="s">
        <v>1700</v>
      </c>
      <c r="D87" s="945" t="s">
        <v>1363</v>
      </c>
      <c r="E87" s="789" t="s">
        <v>3</v>
      </c>
      <c r="F87" s="950" t="s">
        <v>1360</v>
      </c>
      <c r="G87" s="83"/>
      <c r="H87" s="40" t="s">
        <v>1363</v>
      </c>
      <c r="I87" s="428" t="s">
        <v>3</v>
      </c>
      <c r="J87" s="34" t="s">
        <v>1360</v>
      </c>
      <c r="K87" s="40" t="s">
        <v>62</v>
      </c>
      <c r="L87" s="1051" t="s">
        <v>1363</v>
      </c>
      <c r="M87" s="1052" t="s">
        <v>1700</v>
      </c>
      <c r="N87" s="1053" t="s">
        <v>62</v>
      </c>
      <c r="O87" s="428"/>
      <c r="Q87" s="428"/>
    </row>
    <row r="88" spans="1:17">
      <c r="A88" s="358">
        <v>23</v>
      </c>
      <c r="B88" s="949" t="s">
        <v>1506</v>
      </c>
      <c r="C88" s="1060" t="s">
        <v>1701</v>
      </c>
      <c r="D88" s="945" t="s">
        <v>1301</v>
      </c>
      <c r="E88" s="789" t="s">
        <v>24</v>
      </c>
      <c r="F88" s="950" t="s">
        <v>1297</v>
      </c>
      <c r="G88" s="83"/>
      <c r="H88" s="40" t="s">
        <v>1301</v>
      </c>
      <c r="I88" s="829" t="s">
        <v>24</v>
      </c>
      <c r="J88" s="830" t="s">
        <v>1297</v>
      </c>
      <c r="K88" s="437" t="s">
        <v>62</v>
      </c>
      <c r="L88" s="1051" t="s">
        <v>1301</v>
      </c>
      <c r="M88" s="1060" t="s">
        <v>1701</v>
      </c>
      <c r="N88" s="1058" t="s">
        <v>62</v>
      </c>
      <c r="O88" s="428"/>
      <c r="Q88" s="40"/>
    </row>
    <row r="89" spans="1:17">
      <c r="A89" s="358">
        <v>24</v>
      </c>
      <c r="B89" s="356" t="s">
        <v>1507</v>
      </c>
      <c r="C89" s="1052" t="s">
        <v>1702</v>
      </c>
      <c r="D89" s="967" t="s">
        <v>1451</v>
      </c>
      <c r="E89" s="789" t="s">
        <v>24</v>
      </c>
      <c r="F89" s="950" t="s">
        <v>1378</v>
      </c>
      <c r="G89" s="83"/>
      <c r="H89" s="40" t="s">
        <v>1381</v>
      </c>
      <c r="I89" s="428" t="s">
        <v>24</v>
      </c>
      <c r="J89" s="34" t="s">
        <v>1378</v>
      </c>
      <c r="K89" s="40" t="s">
        <v>62</v>
      </c>
      <c r="L89" s="1051" t="s">
        <v>1381</v>
      </c>
      <c r="M89" s="1052" t="s">
        <v>1702</v>
      </c>
      <c r="N89" s="1058" t="s">
        <v>62</v>
      </c>
      <c r="O89" s="428"/>
      <c r="Q89" s="40"/>
    </row>
    <row r="90" spans="1:17">
      <c r="A90" s="358">
        <v>25</v>
      </c>
      <c r="B90" s="949" t="s">
        <v>1508</v>
      </c>
      <c r="C90" s="1052" t="s">
        <v>1703</v>
      </c>
      <c r="D90" s="945" t="s">
        <v>1284</v>
      </c>
      <c r="E90" s="789" t="s">
        <v>3</v>
      </c>
      <c r="F90" s="950" t="s">
        <v>1277</v>
      </c>
      <c r="G90" s="83"/>
      <c r="H90" s="40" t="s">
        <v>1284</v>
      </c>
      <c r="I90" s="829" t="s">
        <v>3</v>
      </c>
      <c r="J90" s="830" t="s">
        <v>1277</v>
      </c>
      <c r="K90" s="437" t="s">
        <v>62</v>
      </c>
      <c r="L90" s="1051" t="s">
        <v>1284</v>
      </c>
      <c r="M90" s="1052" t="s">
        <v>1703</v>
      </c>
      <c r="N90" s="1055" t="s">
        <v>62</v>
      </c>
      <c r="O90" s="428"/>
      <c r="Q90" s="40"/>
    </row>
    <row r="91" spans="1:17">
      <c r="A91" s="358">
        <v>26</v>
      </c>
      <c r="B91" s="356" t="s">
        <v>1509</v>
      </c>
      <c r="C91" s="1054" t="s">
        <v>1704</v>
      </c>
      <c r="D91" s="945" t="s">
        <v>1302</v>
      </c>
      <c r="E91" s="789" t="s">
        <v>24</v>
      </c>
      <c r="F91" s="950" t="s">
        <v>1297</v>
      </c>
      <c r="G91" s="83"/>
      <c r="H91" s="40" t="s">
        <v>1302</v>
      </c>
      <c r="I91" s="829" t="s">
        <v>24</v>
      </c>
      <c r="J91" s="830" t="s">
        <v>1297</v>
      </c>
      <c r="K91" s="437" t="s">
        <v>62</v>
      </c>
      <c r="L91" s="1051" t="s">
        <v>1302</v>
      </c>
      <c r="M91" s="1054" t="s">
        <v>1704</v>
      </c>
      <c r="N91" s="1058" t="s">
        <v>62</v>
      </c>
      <c r="O91" s="428"/>
      <c r="Q91" s="40"/>
    </row>
    <row r="92" spans="1:17">
      <c r="A92" s="358">
        <v>27</v>
      </c>
      <c r="B92" s="949" t="s">
        <v>1510</v>
      </c>
      <c r="C92" s="1052" t="s">
        <v>1705</v>
      </c>
      <c r="D92" s="945" t="s">
        <v>1389</v>
      </c>
      <c r="E92" s="789" t="s">
        <v>24</v>
      </c>
      <c r="F92" s="950" t="s">
        <v>1386</v>
      </c>
      <c r="G92" s="83"/>
      <c r="H92" s="40" t="s">
        <v>1389</v>
      </c>
      <c r="I92" s="827" t="s">
        <v>24</v>
      </c>
      <c r="J92" s="828" t="s">
        <v>1386</v>
      </c>
      <c r="K92" s="436" t="s">
        <v>62</v>
      </c>
      <c r="L92" s="1051" t="s">
        <v>1389</v>
      </c>
      <c r="M92" s="1052" t="s">
        <v>1705</v>
      </c>
      <c r="N92" s="1055" t="s">
        <v>62</v>
      </c>
      <c r="O92" s="428"/>
      <c r="Q92" s="40"/>
    </row>
    <row r="93" spans="1:17">
      <c r="A93" s="358">
        <v>28</v>
      </c>
      <c r="B93" s="356" t="s">
        <v>1511</v>
      </c>
      <c r="C93" s="1052" t="s">
        <v>1706</v>
      </c>
      <c r="D93" s="945" t="s">
        <v>1324</v>
      </c>
      <c r="E93" s="789" t="s">
        <v>3</v>
      </c>
      <c r="F93" s="950" t="s">
        <v>1315</v>
      </c>
      <c r="G93" s="83"/>
      <c r="H93" s="40" t="s">
        <v>1324</v>
      </c>
      <c r="I93" s="829" t="s">
        <v>3</v>
      </c>
      <c r="J93" s="830" t="s">
        <v>1315</v>
      </c>
      <c r="K93" s="437" t="s">
        <v>62</v>
      </c>
      <c r="L93" s="1051" t="s">
        <v>1324</v>
      </c>
      <c r="M93" s="1052" t="s">
        <v>1706</v>
      </c>
      <c r="N93" s="1055" t="s">
        <v>62</v>
      </c>
      <c r="O93" s="428"/>
      <c r="Q93" s="40"/>
    </row>
    <row r="94" spans="1:17">
      <c r="A94" s="358">
        <v>29</v>
      </c>
      <c r="B94" s="949" t="s">
        <v>1512</v>
      </c>
      <c r="C94" s="1052" t="s">
        <v>1707</v>
      </c>
      <c r="D94" s="945" t="s">
        <v>1431</v>
      </c>
      <c r="E94" s="789" t="s">
        <v>24</v>
      </c>
      <c r="F94" s="950" t="s">
        <v>1432</v>
      </c>
      <c r="G94" s="83"/>
      <c r="H94" s="34" t="s">
        <v>1431</v>
      </c>
      <c r="I94" s="540" t="s">
        <v>24</v>
      </c>
      <c r="J94" s="447" t="s">
        <v>1432</v>
      </c>
      <c r="K94" s="430" t="s">
        <v>62</v>
      </c>
      <c r="L94" s="1051" t="s">
        <v>1431</v>
      </c>
      <c r="M94" s="1052" t="s">
        <v>1707</v>
      </c>
      <c r="N94" s="1055" t="s">
        <v>62</v>
      </c>
      <c r="O94" s="428"/>
      <c r="Q94" s="40"/>
    </row>
    <row r="95" spans="1:17">
      <c r="A95" s="358">
        <v>30</v>
      </c>
      <c r="B95" s="356" t="s">
        <v>1513</v>
      </c>
      <c r="C95" s="1052" t="s">
        <v>1708</v>
      </c>
      <c r="D95" s="945" t="s">
        <v>1326</v>
      </c>
      <c r="E95" s="789" t="s">
        <v>24</v>
      </c>
      <c r="F95" s="950" t="s">
        <v>1315</v>
      </c>
      <c r="G95" s="83"/>
      <c r="H95" s="40" t="s">
        <v>1326</v>
      </c>
      <c r="I95" s="827" t="s">
        <v>24</v>
      </c>
      <c r="J95" s="828" t="s">
        <v>1315</v>
      </c>
      <c r="K95" s="436" t="s">
        <v>62</v>
      </c>
      <c r="L95" s="1051" t="s">
        <v>1326</v>
      </c>
      <c r="M95" s="1052" t="s">
        <v>1708</v>
      </c>
      <c r="N95" s="1059" t="s">
        <v>62</v>
      </c>
      <c r="O95" s="428"/>
      <c r="Q95" s="40"/>
    </row>
    <row r="96" spans="1:17">
      <c r="A96" s="358">
        <v>31</v>
      </c>
      <c r="B96" s="949" t="s">
        <v>1514</v>
      </c>
      <c r="C96" s="1052" t="s">
        <v>1709</v>
      </c>
      <c r="D96" s="945" t="s">
        <v>1414</v>
      </c>
      <c r="E96" s="789" t="s">
        <v>24</v>
      </c>
      <c r="F96" s="950" t="s">
        <v>1411</v>
      </c>
      <c r="G96" s="83"/>
      <c r="H96" s="34" t="s">
        <v>1414</v>
      </c>
      <c r="I96" s="540" t="s">
        <v>24</v>
      </c>
      <c r="J96" s="447" t="s">
        <v>1411</v>
      </c>
      <c r="K96" s="430" t="s">
        <v>62</v>
      </c>
      <c r="L96" s="1051" t="s">
        <v>1414</v>
      </c>
      <c r="M96" s="1052" t="s">
        <v>1709</v>
      </c>
      <c r="N96" s="1050" t="s">
        <v>62</v>
      </c>
      <c r="O96" s="428"/>
      <c r="Q96" s="40"/>
    </row>
    <row r="97" spans="1:17">
      <c r="A97" s="358">
        <v>32</v>
      </c>
      <c r="B97" s="356" t="s">
        <v>1515</v>
      </c>
      <c r="C97" s="1060" t="s">
        <v>1710</v>
      </c>
      <c r="D97" s="945" t="s">
        <v>1303</v>
      </c>
      <c r="E97" s="789" t="s">
        <v>24</v>
      </c>
      <c r="F97" s="950" t="s">
        <v>1297</v>
      </c>
      <c r="G97" s="83"/>
      <c r="H97" s="40" t="s">
        <v>1303</v>
      </c>
      <c r="I97" s="827" t="s">
        <v>24</v>
      </c>
      <c r="J97" s="828" t="s">
        <v>1297</v>
      </c>
      <c r="K97" s="436" t="s">
        <v>62</v>
      </c>
      <c r="L97" s="1051" t="s">
        <v>1303</v>
      </c>
      <c r="M97" s="1060" t="s">
        <v>1710</v>
      </c>
      <c r="N97" s="1050" t="s">
        <v>62</v>
      </c>
      <c r="O97" s="428"/>
      <c r="Q97" s="40"/>
    </row>
    <row r="98" spans="1:17" ht="15.75" thickBot="1">
      <c r="A98" s="263"/>
      <c r="B98" s="876"/>
      <c r="C98" s="778"/>
      <c r="D98" s="778"/>
      <c r="E98" s="884"/>
      <c r="F98" s="965"/>
      <c r="G98" s="34"/>
      <c r="O98" s="428"/>
      <c r="Q98" s="40"/>
    </row>
    <row r="99" spans="1:17">
      <c r="A99" s="404" t="s">
        <v>24</v>
      </c>
      <c r="B99" s="394">
        <v>20</v>
      </c>
      <c r="C99" s="395"/>
      <c r="D99" s="395"/>
      <c r="E99" s="394"/>
      <c r="F99" s="533"/>
      <c r="G99" s="214"/>
      <c r="O99" s="428"/>
      <c r="Q99" s="40"/>
    </row>
    <row r="100" spans="1:17" ht="15.75" thickBot="1">
      <c r="A100" s="110" t="s">
        <v>3</v>
      </c>
      <c r="B100" s="187">
        <v>12</v>
      </c>
      <c r="C100" s="205"/>
      <c r="D100" s="205"/>
      <c r="E100" s="207"/>
      <c r="F100" s="208"/>
      <c r="G100" s="214"/>
      <c r="O100" s="428"/>
      <c r="P100" s="833"/>
      <c r="Q100" s="40"/>
    </row>
    <row r="101" spans="1:17">
      <c r="A101" s="103"/>
      <c r="B101" s="209"/>
      <c r="C101" s="117"/>
      <c r="D101" s="182"/>
      <c r="E101" s="810" t="s">
        <v>1242</v>
      </c>
      <c r="F101" s="103"/>
      <c r="O101" s="428"/>
      <c r="Q101" s="40"/>
    </row>
    <row r="102" spans="1:17">
      <c r="A102" s="210"/>
      <c r="B102" s="56"/>
      <c r="C102" s="210"/>
      <c r="D102" s="115"/>
      <c r="E102" s="115" t="s">
        <v>84</v>
      </c>
      <c r="F102" s="115"/>
      <c r="O102" s="428"/>
      <c r="Q102" s="40"/>
    </row>
    <row r="103" spans="1:17" ht="20.25" customHeight="1">
      <c r="A103" s="210"/>
      <c r="B103" s="56"/>
      <c r="O103" s="428"/>
      <c r="Q103" s="40"/>
    </row>
    <row r="104" spans="1:17">
      <c r="E104" s="121" t="str">
        <f>WLKLS!B2</f>
        <v>FATURROHMAN, S.Pd</v>
      </c>
      <c r="O104" s="428"/>
      <c r="Q104" s="40"/>
    </row>
    <row r="105" spans="1:17">
      <c r="E105" s="246" t="str">
        <f>WLKLS!C2</f>
        <v>NIP. -</v>
      </c>
      <c r="O105" s="428"/>
      <c r="Q105" s="40"/>
    </row>
    <row r="106" spans="1:17">
      <c r="E106" s="246"/>
      <c r="O106" s="428"/>
      <c r="Q106" s="40"/>
    </row>
    <row r="107" spans="1:17">
      <c r="E107" s="246"/>
      <c r="O107" s="428"/>
      <c r="Q107" s="40"/>
    </row>
    <row r="108" spans="1:17" ht="22.5" customHeight="1">
      <c r="E108" s="246"/>
      <c r="O108" s="428"/>
      <c r="Q108" s="40"/>
    </row>
    <row r="109" spans="1:17">
      <c r="A109" s="1018" t="s">
        <v>0</v>
      </c>
      <c r="B109" s="1018"/>
      <c r="C109" s="1018"/>
      <c r="D109" s="1018"/>
      <c r="E109" s="1018"/>
      <c r="F109" s="1018"/>
      <c r="O109" s="428"/>
      <c r="Q109" s="40"/>
    </row>
    <row r="110" spans="1:17">
      <c r="A110" s="1018" t="s">
        <v>1</v>
      </c>
      <c r="B110" s="1018"/>
      <c r="C110" s="1018"/>
      <c r="D110" s="1018"/>
      <c r="E110" s="1018"/>
      <c r="F110" s="1018"/>
      <c r="O110" s="428"/>
      <c r="Q110" s="40"/>
    </row>
    <row r="111" spans="1:17">
      <c r="A111" s="1018" t="s">
        <v>4</v>
      </c>
      <c r="B111" s="1018"/>
      <c r="C111" s="1018"/>
      <c r="D111" s="1018"/>
      <c r="E111" s="1018"/>
      <c r="F111" s="1018"/>
      <c r="O111" s="428"/>
      <c r="Q111" s="40"/>
    </row>
    <row r="112" spans="1:17">
      <c r="A112" s="1019" t="s">
        <v>6</v>
      </c>
      <c r="B112" s="1019"/>
      <c r="C112" s="1019"/>
      <c r="D112" s="1019"/>
      <c r="E112" s="1019"/>
      <c r="F112" s="1019"/>
      <c r="O112" s="428"/>
      <c r="Q112" s="40"/>
    </row>
    <row r="113" spans="1:17" ht="15.75" thickBot="1">
      <c r="A113" s="1020" t="s">
        <v>7</v>
      </c>
      <c r="B113" s="1020"/>
      <c r="C113" s="1020"/>
      <c r="D113" s="1020"/>
      <c r="E113" s="1020"/>
      <c r="F113" s="1020"/>
      <c r="O113" s="428"/>
      <c r="Q113" s="40"/>
    </row>
    <row r="114" spans="1:17" ht="15.75" thickTop="1">
      <c r="A114" s="97"/>
      <c r="B114" s="97"/>
      <c r="C114" s="97"/>
      <c r="D114" s="97"/>
      <c r="E114" s="98"/>
      <c r="F114" s="98"/>
      <c r="O114" s="428"/>
      <c r="Q114" s="40"/>
    </row>
    <row r="115" spans="1:17" ht="15.75">
      <c r="A115" s="1021" t="s">
        <v>1044</v>
      </c>
      <c r="B115" s="1021"/>
      <c r="C115" s="1021"/>
      <c r="D115" s="1021"/>
      <c r="E115" s="1021"/>
      <c r="F115" s="1021"/>
      <c r="O115" s="428"/>
      <c r="Q115" s="40"/>
    </row>
    <row r="116" spans="1:17" ht="15.75">
      <c r="A116" s="1022" t="s">
        <v>1241</v>
      </c>
      <c r="B116" s="1022"/>
      <c r="C116" s="1022"/>
      <c r="D116" s="1022"/>
      <c r="E116" s="1022"/>
      <c r="F116" s="1022"/>
      <c r="O116" s="428"/>
      <c r="Q116" s="40"/>
    </row>
    <row r="117" spans="1:17" ht="15.75" thickBot="1">
      <c r="A117" s="100"/>
      <c r="B117" s="100"/>
      <c r="C117" s="101"/>
      <c r="D117" s="173"/>
      <c r="E117" s="103"/>
      <c r="F117" s="103"/>
      <c r="O117" s="428"/>
      <c r="Q117" s="40"/>
    </row>
    <row r="118" spans="1:17" ht="16.5" thickBot="1">
      <c r="A118" s="1023" t="s">
        <v>13</v>
      </c>
      <c r="B118" s="1024"/>
      <c r="C118" s="1025"/>
      <c r="D118" s="1028" t="s">
        <v>14</v>
      </c>
      <c r="E118" s="1026" t="s">
        <v>15</v>
      </c>
      <c r="F118" s="1028" t="s">
        <v>16</v>
      </c>
      <c r="O118" s="428"/>
      <c r="Q118" s="40"/>
    </row>
    <row r="119" spans="1:17" ht="16.5" thickBot="1">
      <c r="A119" s="126" t="s">
        <v>18</v>
      </c>
      <c r="B119" s="126" t="s">
        <v>19</v>
      </c>
      <c r="C119" s="126" t="s">
        <v>20</v>
      </c>
      <c r="D119" s="1029"/>
      <c r="E119" s="1027"/>
      <c r="F119" s="1029"/>
      <c r="O119" s="428"/>
      <c r="Q119" s="40"/>
    </row>
    <row r="120" spans="1:17">
      <c r="A120" s="1079">
        <v>1</v>
      </c>
      <c r="B120" s="1080" t="s">
        <v>1516</v>
      </c>
      <c r="C120" s="1081" t="s">
        <v>1711</v>
      </c>
      <c r="D120" s="962" t="s">
        <v>1264</v>
      </c>
      <c r="E120" s="947" t="s">
        <v>3</v>
      </c>
      <c r="F120" s="939" t="s">
        <v>1265</v>
      </c>
      <c r="G120" s="83"/>
      <c r="H120" s="40" t="s">
        <v>1264</v>
      </c>
      <c r="I120" s="825" t="s">
        <v>3</v>
      </c>
      <c r="J120" s="826" t="s">
        <v>1265</v>
      </c>
      <c r="K120" s="438" t="s">
        <v>104</v>
      </c>
      <c r="L120" s="1051" t="s">
        <v>1264</v>
      </c>
      <c r="M120" s="1061" t="s">
        <v>1711</v>
      </c>
      <c r="N120" s="1055" t="s">
        <v>104</v>
      </c>
      <c r="O120" s="428"/>
      <c r="Q120" s="40"/>
    </row>
    <row r="121" spans="1:17">
      <c r="A121" s="354">
        <v>2</v>
      </c>
      <c r="B121" s="384" t="s">
        <v>1517</v>
      </c>
      <c r="C121" s="1052" t="s">
        <v>1712</v>
      </c>
      <c r="D121" s="960" t="s">
        <v>1344</v>
      </c>
      <c r="E121" s="789" t="s">
        <v>24</v>
      </c>
      <c r="F121" s="950" t="s">
        <v>1341</v>
      </c>
      <c r="G121" s="83"/>
      <c r="H121" s="40" t="s">
        <v>1344</v>
      </c>
      <c r="I121" s="428" t="s">
        <v>24</v>
      </c>
      <c r="J121" s="34" t="s">
        <v>1341</v>
      </c>
      <c r="K121" s="40" t="s">
        <v>104</v>
      </c>
      <c r="L121" s="1051" t="s">
        <v>1344</v>
      </c>
      <c r="M121" s="1052" t="s">
        <v>1712</v>
      </c>
      <c r="N121" s="1050" t="s">
        <v>104</v>
      </c>
      <c r="O121" s="428"/>
      <c r="Q121" s="40"/>
    </row>
    <row r="122" spans="1:17">
      <c r="A122" s="354">
        <v>3</v>
      </c>
      <c r="B122" s="384" t="s">
        <v>1518</v>
      </c>
      <c r="C122" s="1052" t="s">
        <v>1714</v>
      </c>
      <c r="D122" s="960" t="s">
        <v>1266</v>
      </c>
      <c r="E122" s="789" t="s">
        <v>24</v>
      </c>
      <c r="F122" s="950" t="s">
        <v>1267</v>
      </c>
      <c r="G122" s="83"/>
      <c r="H122" s="40" t="s">
        <v>1266</v>
      </c>
      <c r="I122" s="428" t="s">
        <v>24</v>
      </c>
      <c r="J122" s="34" t="s">
        <v>1267</v>
      </c>
      <c r="K122" s="40" t="s">
        <v>104</v>
      </c>
      <c r="L122" s="1056" t="s">
        <v>1713</v>
      </c>
      <c r="M122" s="1052" t="s">
        <v>1714</v>
      </c>
      <c r="N122" s="1050" t="s">
        <v>104</v>
      </c>
      <c r="O122" s="428"/>
      <c r="Q122" s="40"/>
    </row>
    <row r="123" spans="1:17">
      <c r="A123" s="354">
        <v>4</v>
      </c>
      <c r="B123" s="384" t="s">
        <v>1519</v>
      </c>
      <c r="C123" s="1052" t="s">
        <v>1715</v>
      </c>
      <c r="D123" s="960" t="s">
        <v>1365</v>
      </c>
      <c r="E123" s="789" t="s">
        <v>24</v>
      </c>
      <c r="F123" s="950" t="s">
        <v>1360</v>
      </c>
      <c r="G123" s="83"/>
      <c r="H123" s="40" t="s">
        <v>1365</v>
      </c>
      <c r="I123" s="825" t="s">
        <v>24</v>
      </c>
      <c r="J123" s="826" t="s">
        <v>1360</v>
      </c>
      <c r="K123" s="438" t="s">
        <v>104</v>
      </c>
      <c r="L123" s="1051" t="s">
        <v>1365</v>
      </c>
      <c r="M123" s="1052" t="s">
        <v>1715</v>
      </c>
      <c r="N123" s="1053" t="s">
        <v>104</v>
      </c>
      <c r="O123" s="428"/>
      <c r="Q123" s="40"/>
    </row>
    <row r="124" spans="1:17">
      <c r="A124" s="354">
        <v>5</v>
      </c>
      <c r="B124" s="384" t="s">
        <v>1520</v>
      </c>
      <c r="C124" s="1052" t="s">
        <v>1716</v>
      </c>
      <c r="D124" s="960" t="s">
        <v>1369</v>
      </c>
      <c r="E124" s="789" t="s">
        <v>24</v>
      </c>
      <c r="F124" s="950" t="s">
        <v>1360</v>
      </c>
      <c r="G124" s="83"/>
      <c r="H124" s="40" t="s">
        <v>1369</v>
      </c>
      <c r="I124" s="829" t="s">
        <v>24</v>
      </c>
      <c r="J124" s="830" t="s">
        <v>1360</v>
      </c>
      <c r="K124" s="437" t="s">
        <v>104</v>
      </c>
      <c r="L124" s="1051" t="s">
        <v>1369</v>
      </c>
      <c r="M124" s="1052" t="s">
        <v>1716</v>
      </c>
      <c r="N124" s="1058" t="s">
        <v>104</v>
      </c>
      <c r="O124" s="428"/>
      <c r="Q124" s="40"/>
    </row>
    <row r="125" spans="1:17">
      <c r="A125" s="354">
        <v>6</v>
      </c>
      <c r="B125" s="384" t="s">
        <v>1521</v>
      </c>
      <c r="C125" s="1054" t="s">
        <v>1717</v>
      </c>
      <c r="D125" s="960" t="s">
        <v>1304</v>
      </c>
      <c r="E125" s="789" t="s">
        <v>3</v>
      </c>
      <c r="F125" s="950" t="s">
        <v>1297</v>
      </c>
      <c r="G125" s="83"/>
      <c r="H125" s="40" t="s">
        <v>1304</v>
      </c>
      <c r="I125" s="827" t="s">
        <v>3</v>
      </c>
      <c r="J125" s="828" t="s">
        <v>1297</v>
      </c>
      <c r="K125" s="436" t="s">
        <v>104</v>
      </c>
      <c r="L125" s="1051" t="s">
        <v>1304</v>
      </c>
      <c r="M125" s="1054" t="s">
        <v>1717</v>
      </c>
      <c r="N125" s="1050" t="s">
        <v>104</v>
      </c>
      <c r="O125" s="428"/>
      <c r="Q125" s="40"/>
    </row>
    <row r="126" spans="1:17">
      <c r="A126" s="354">
        <v>7</v>
      </c>
      <c r="B126" s="384" t="s">
        <v>1522</v>
      </c>
      <c r="C126" s="1052" t="s">
        <v>1718</v>
      </c>
      <c r="D126" s="960" t="s">
        <v>1340</v>
      </c>
      <c r="E126" s="789" t="s">
        <v>24</v>
      </c>
      <c r="F126" s="950" t="s">
        <v>1341</v>
      </c>
      <c r="G126" s="83"/>
      <c r="H126" s="40" t="s">
        <v>1340</v>
      </c>
      <c r="I126" s="827" t="s">
        <v>24</v>
      </c>
      <c r="J126" s="828" t="s">
        <v>1341</v>
      </c>
      <c r="K126" s="436" t="s">
        <v>104</v>
      </c>
      <c r="L126" s="1051" t="s">
        <v>1340</v>
      </c>
      <c r="M126" s="1052" t="s">
        <v>1718</v>
      </c>
      <c r="N126" s="1053" t="s">
        <v>104</v>
      </c>
      <c r="O126" s="428"/>
      <c r="Q126" s="40"/>
    </row>
    <row r="127" spans="1:17">
      <c r="A127" s="354">
        <v>8</v>
      </c>
      <c r="B127" s="384" t="s">
        <v>1523</v>
      </c>
      <c r="C127" s="1052" t="s">
        <v>1719</v>
      </c>
      <c r="D127" s="960" t="s">
        <v>1342</v>
      </c>
      <c r="E127" s="789" t="s">
        <v>24</v>
      </c>
      <c r="F127" s="950" t="s">
        <v>1341</v>
      </c>
      <c r="G127" s="83"/>
      <c r="H127" s="40" t="s">
        <v>1342</v>
      </c>
      <c r="I127" s="827" t="s">
        <v>24</v>
      </c>
      <c r="J127" s="828" t="s">
        <v>1341</v>
      </c>
      <c r="K127" s="436" t="s">
        <v>104</v>
      </c>
      <c r="L127" s="1051" t="s">
        <v>1342</v>
      </c>
      <c r="M127" s="1052" t="s">
        <v>1719</v>
      </c>
      <c r="N127" s="1053" t="s">
        <v>104</v>
      </c>
      <c r="O127" s="428"/>
      <c r="Q127" s="40"/>
    </row>
    <row r="128" spans="1:17">
      <c r="A128" s="354">
        <v>9</v>
      </c>
      <c r="B128" s="384" t="s">
        <v>1524</v>
      </c>
      <c r="C128" s="1052" t="s">
        <v>1720</v>
      </c>
      <c r="D128" s="960" t="s">
        <v>1327</v>
      </c>
      <c r="E128" s="789" t="s">
        <v>24</v>
      </c>
      <c r="F128" s="950" t="s">
        <v>1315</v>
      </c>
      <c r="G128" s="83"/>
      <c r="H128" s="40" t="s">
        <v>1327</v>
      </c>
      <c r="I128" s="827" t="s">
        <v>24</v>
      </c>
      <c r="J128" s="828" t="s">
        <v>1315</v>
      </c>
      <c r="K128" s="436" t="s">
        <v>104</v>
      </c>
      <c r="L128" s="1051" t="s">
        <v>1327</v>
      </c>
      <c r="M128" s="1052" t="s">
        <v>1720</v>
      </c>
      <c r="N128" s="1053" t="s">
        <v>104</v>
      </c>
      <c r="O128" s="428"/>
      <c r="Q128" s="40"/>
    </row>
    <row r="129" spans="1:24">
      <c r="A129" s="354">
        <v>10</v>
      </c>
      <c r="B129" s="384" t="s">
        <v>1525</v>
      </c>
      <c r="C129" s="1052" t="s">
        <v>1721</v>
      </c>
      <c r="D129" s="960" t="s">
        <v>1343</v>
      </c>
      <c r="E129" s="789" t="s">
        <v>24</v>
      </c>
      <c r="F129" s="950" t="s">
        <v>1341</v>
      </c>
      <c r="G129" s="83"/>
      <c r="H129" s="40" t="s">
        <v>1343</v>
      </c>
      <c r="I129" s="428" t="s">
        <v>24</v>
      </c>
      <c r="J129" s="34" t="s">
        <v>1341</v>
      </c>
      <c r="K129" s="40" t="s">
        <v>104</v>
      </c>
      <c r="L129" s="1051" t="s">
        <v>1343</v>
      </c>
      <c r="M129" s="1052" t="s">
        <v>1721</v>
      </c>
      <c r="N129" s="1058" t="s">
        <v>104</v>
      </c>
      <c r="O129" s="428"/>
      <c r="Q129" s="40"/>
    </row>
    <row r="130" spans="1:24">
      <c r="A130" s="354">
        <v>11</v>
      </c>
      <c r="B130" s="384" t="s">
        <v>1526</v>
      </c>
      <c r="C130" s="1052" t="s">
        <v>1722</v>
      </c>
      <c r="D130" s="960" t="s">
        <v>1368</v>
      </c>
      <c r="E130" s="789" t="s">
        <v>24</v>
      </c>
      <c r="F130" s="950" t="s">
        <v>1360</v>
      </c>
      <c r="G130" s="83"/>
      <c r="H130" s="40" t="s">
        <v>1368</v>
      </c>
      <c r="I130" s="829" t="s">
        <v>24</v>
      </c>
      <c r="J130" s="830" t="s">
        <v>1360</v>
      </c>
      <c r="K130" s="437" t="s">
        <v>104</v>
      </c>
      <c r="L130" s="1051" t="s">
        <v>1368</v>
      </c>
      <c r="M130" s="1052" t="s">
        <v>1722</v>
      </c>
      <c r="N130" s="1058" t="s">
        <v>104</v>
      </c>
      <c r="O130" s="428"/>
      <c r="Q130" s="40"/>
    </row>
    <row r="131" spans="1:24">
      <c r="A131" s="354">
        <v>12</v>
      </c>
      <c r="B131" s="384" t="s">
        <v>1527</v>
      </c>
      <c r="C131" s="1052" t="s">
        <v>1723</v>
      </c>
      <c r="D131" s="960" t="s">
        <v>1328</v>
      </c>
      <c r="E131" s="789" t="s">
        <v>24</v>
      </c>
      <c r="F131" s="950" t="s">
        <v>1315</v>
      </c>
      <c r="G131" s="83"/>
      <c r="H131" s="40" t="s">
        <v>1328</v>
      </c>
      <c r="I131" s="428" t="s">
        <v>24</v>
      </c>
      <c r="J131" s="34" t="s">
        <v>1315</v>
      </c>
      <c r="K131" s="40" t="s">
        <v>104</v>
      </c>
      <c r="L131" s="1051" t="s">
        <v>1328</v>
      </c>
      <c r="M131" s="1052" t="s">
        <v>1723</v>
      </c>
      <c r="N131" s="1058" t="s">
        <v>104</v>
      </c>
      <c r="O131" s="428"/>
      <c r="Q131" s="40"/>
    </row>
    <row r="132" spans="1:24">
      <c r="A132" s="354">
        <v>13</v>
      </c>
      <c r="B132" s="384" t="s">
        <v>1528</v>
      </c>
      <c r="C132" s="1052" t="s">
        <v>1724</v>
      </c>
      <c r="D132" s="960" t="s">
        <v>1393</v>
      </c>
      <c r="E132" s="789" t="s">
        <v>24</v>
      </c>
      <c r="F132" s="950" t="s">
        <v>1386</v>
      </c>
      <c r="G132" s="83"/>
      <c r="H132" s="40" t="s">
        <v>1393</v>
      </c>
      <c r="I132" s="428" t="s">
        <v>24</v>
      </c>
      <c r="J132" s="34" t="s">
        <v>1386</v>
      </c>
      <c r="K132" s="40" t="s">
        <v>104</v>
      </c>
      <c r="L132" s="1051" t="s">
        <v>1393</v>
      </c>
      <c r="M132" s="1052" t="s">
        <v>1724</v>
      </c>
      <c r="N132" s="1059" t="s">
        <v>104</v>
      </c>
      <c r="O132" s="428"/>
      <c r="Q132" s="40"/>
    </row>
    <row r="133" spans="1:24">
      <c r="A133" s="354">
        <v>14</v>
      </c>
      <c r="B133" s="384" t="s">
        <v>1529</v>
      </c>
      <c r="C133" s="1052" t="s">
        <v>1725</v>
      </c>
      <c r="D133" s="960" t="s">
        <v>1272</v>
      </c>
      <c r="E133" s="789" t="s">
        <v>3</v>
      </c>
      <c r="F133" s="950" t="s">
        <v>1273</v>
      </c>
      <c r="G133" s="83"/>
      <c r="H133" s="40" t="s">
        <v>1272</v>
      </c>
      <c r="I133" s="825" t="s">
        <v>3</v>
      </c>
      <c r="J133" s="826" t="s">
        <v>1273</v>
      </c>
      <c r="K133" s="438" t="s">
        <v>104</v>
      </c>
      <c r="L133" s="1051" t="s">
        <v>1272</v>
      </c>
      <c r="M133" s="1052" t="s">
        <v>1725</v>
      </c>
      <c r="N133" s="1059" t="s">
        <v>104</v>
      </c>
      <c r="O133" s="428"/>
      <c r="Q133" s="40"/>
    </row>
    <row r="134" spans="1:24">
      <c r="A134" s="354">
        <v>15</v>
      </c>
      <c r="B134" s="384" t="s">
        <v>1530</v>
      </c>
      <c r="C134" s="1052" t="s">
        <v>1726</v>
      </c>
      <c r="D134" s="960" t="s">
        <v>1390</v>
      </c>
      <c r="E134" s="789" t="s">
        <v>3</v>
      </c>
      <c r="F134" s="950" t="s">
        <v>1386</v>
      </c>
      <c r="G134" s="83"/>
      <c r="H134" s="40" t="s">
        <v>1390</v>
      </c>
      <c r="I134" s="428" t="s">
        <v>3</v>
      </c>
      <c r="J134" s="34" t="s">
        <v>1386</v>
      </c>
      <c r="K134" s="40" t="s">
        <v>104</v>
      </c>
      <c r="L134" s="1051" t="s">
        <v>1390</v>
      </c>
      <c r="M134" s="1052" t="s">
        <v>1726</v>
      </c>
      <c r="N134" s="1055" t="s">
        <v>104</v>
      </c>
      <c r="O134" s="428"/>
      <c r="Q134" s="40"/>
    </row>
    <row r="135" spans="1:24">
      <c r="A135" s="354">
        <v>16</v>
      </c>
      <c r="B135" s="384" t="s">
        <v>1531</v>
      </c>
      <c r="C135" s="1052" t="s">
        <v>1727</v>
      </c>
      <c r="D135" s="960" t="s">
        <v>1622</v>
      </c>
      <c r="E135" s="789" t="s">
        <v>24</v>
      </c>
      <c r="F135" s="950" t="s">
        <v>1386</v>
      </c>
      <c r="G135" s="83"/>
      <c r="H135" s="40" t="s">
        <v>1394</v>
      </c>
      <c r="I135" s="825" t="s">
        <v>24</v>
      </c>
      <c r="J135" s="826" t="s">
        <v>1386</v>
      </c>
      <c r="K135" s="438" t="s">
        <v>104</v>
      </c>
      <c r="L135" s="1051" t="s">
        <v>1394</v>
      </c>
      <c r="M135" s="1052" t="s">
        <v>1727</v>
      </c>
      <c r="N135" s="1050" t="s">
        <v>104</v>
      </c>
      <c r="O135" s="428"/>
      <c r="Q135" s="40"/>
    </row>
    <row r="136" spans="1:24">
      <c r="A136" s="354">
        <v>17</v>
      </c>
      <c r="B136" s="384" t="s">
        <v>1532</v>
      </c>
      <c r="C136" s="1054" t="s">
        <v>1728</v>
      </c>
      <c r="D136" s="960" t="s">
        <v>1623</v>
      </c>
      <c r="E136" s="789" t="s">
        <v>3</v>
      </c>
      <c r="F136" s="950" t="s">
        <v>1297</v>
      </c>
      <c r="G136" s="83"/>
      <c r="H136" s="40" t="s">
        <v>1305</v>
      </c>
      <c r="I136" s="428" t="s">
        <v>3</v>
      </c>
      <c r="J136" s="34" t="s">
        <v>1297</v>
      </c>
      <c r="K136" s="40" t="s">
        <v>104</v>
      </c>
      <c r="L136" s="1051" t="s">
        <v>1305</v>
      </c>
      <c r="M136" s="1054" t="s">
        <v>1728</v>
      </c>
      <c r="N136" s="1058" t="s">
        <v>104</v>
      </c>
      <c r="O136" s="428"/>
      <c r="P136" s="447"/>
      <c r="Q136" s="40"/>
    </row>
    <row r="137" spans="1:24">
      <c r="A137" s="354">
        <v>18</v>
      </c>
      <c r="B137" s="384" t="s">
        <v>1533</v>
      </c>
      <c r="C137" s="1052" t="s">
        <v>1729</v>
      </c>
      <c r="D137" s="960" t="s">
        <v>1391</v>
      </c>
      <c r="E137" s="789" t="s">
        <v>3</v>
      </c>
      <c r="F137" s="950" t="s">
        <v>1386</v>
      </c>
      <c r="H137" s="40" t="s">
        <v>1391</v>
      </c>
      <c r="I137" s="428" t="s">
        <v>3</v>
      </c>
      <c r="J137" s="34" t="s">
        <v>1386</v>
      </c>
      <c r="K137" s="40" t="s">
        <v>104</v>
      </c>
      <c r="L137" s="1051" t="s">
        <v>1391</v>
      </c>
      <c r="M137" s="1052" t="s">
        <v>1729</v>
      </c>
      <c r="N137" s="1050" t="s">
        <v>104</v>
      </c>
      <c r="O137" s="428"/>
      <c r="Q137" s="40"/>
      <c r="V137" s="428"/>
      <c r="X137" s="40"/>
    </row>
    <row r="138" spans="1:24">
      <c r="A138" s="354">
        <v>19</v>
      </c>
      <c r="B138" s="384" t="s">
        <v>1534</v>
      </c>
      <c r="C138" s="1052" t="s">
        <v>1730</v>
      </c>
      <c r="D138" s="960" t="s">
        <v>1384</v>
      </c>
      <c r="E138" s="789" t="s">
        <v>3</v>
      </c>
      <c r="F138" s="950" t="s">
        <v>1348</v>
      </c>
      <c r="G138" s="83"/>
      <c r="H138" s="40" t="s">
        <v>1384</v>
      </c>
      <c r="I138" s="829" t="s">
        <v>3</v>
      </c>
      <c r="J138" s="830" t="s">
        <v>1348</v>
      </c>
      <c r="K138" s="437" t="s">
        <v>104</v>
      </c>
      <c r="L138" s="1051" t="s">
        <v>1345</v>
      </c>
      <c r="M138" s="1052" t="s">
        <v>1730</v>
      </c>
      <c r="N138" s="1050" t="s">
        <v>104</v>
      </c>
      <c r="P138" s="506"/>
      <c r="Q138" s="824"/>
      <c r="R138" s="507"/>
      <c r="V138" s="428"/>
      <c r="W138" s="835"/>
      <c r="X138" s="40"/>
    </row>
    <row r="139" spans="1:24">
      <c r="A139" s="354">
        <v>20</v>
      </c>
      <c r="B139" s="384" t="s">
        <v>1535</v>
      </c>
      <c r="C139" s="1052" t="s">
        <v>1732</v>
      </c>
      <c r="D139" s="960" t="s">
        <v>1345</v>
      </c>
      <c r="E139" s="789" t="s">
        <v>3</v>
      </c>
      <c r="F139" s="950" t="s">
        <v>1346</v>
      </c>
      <c r="G139" s="83"/>
      <c r="H139" s="40" t="s">
        <v>1345</v>
      </c>
      <c r="I139" s="428" t="s">
        <v>3</v>
      </c>
      <c r="J139" s="34" t="s">
        <v>1346</v>
      </c>
      <c r="K139" s="40" t="s">
        <v>104</v>
      </c>
      <c r="L139" s="1051" t="s">
        <v>1731</v>
      </c>
      <c r="M139" s="1052" t="s">
        <v>1732</v>
      </c>
      <c r="N139" s="1053" t="s">
        <v>104</v>
      </c>
      <c r="P139" s="834"/>
      <c r="Q139" s="824"/>
      <c r="R139" s="824"/>
    </row>
    <row r="140" spans="1:24">
      <c r="A140" s="354">
        <v>21</v>
      </c>
      <c r="B140" s="384" t="s">
        <v>1536</v>
      </c>
      <c r="C140" s="1052" t="s">
        <v>1733</v>
      </c>
      <c r="D140" s="960" t="s">
        <v>1434</v>
      </c>
      <c r="E140" s="946" t="s">
        <v>3</v>
      </c>
      <c r="F140" s="950" t="s">
        <v>1435</v>
      </c>
      <c r="H140" s="34" t="s">
        <v>1434</v>
      </c>
      <c r="I140" s="447" t="s">
        <v>3</v>
      </c>
      <c r="J140" s="447" t="s">
        <v>1435</v>
      </c>
      <c r="K140" s="430" t="s">
        <v>104</v>
      </c>
      <c r="L140" s="1056" t="s">
        <v>1434</v>
      </c>
      <c r="M140" s="1052" t="s">
        <v>1733</v>
      </c>
      <c r="N140" s="1050" t="s">
        <v>104</v>
      </c>
      <c r="O140" s="505"/>
      <c r="P140" s="538"/>
      <c r="Q140" s="538"/>
    </row>
    <row r="141" spans="1:24">
      <c r="A141" s="354">
        <v>22</v>
      </c>
      <c r="B141" s="384" t="s">
        <v>1537</v>
      </c>
      <c r="C141" s="1052" t="s">
        <v>1734</v>
      </c>
      <c r="D141" s="960" t="s">
        <v>1329</v>
      </c>
      <c r="E141" s="789" t="s">
        <v>24</v>
      </c>
      <c r="F141" s="950" t="s">
        <v>1315</v>
      </c>
      <c r="G141" s="83"/>
      <c r="H141" s="40" t="s">
        <v>1329</v>
      </c>
      <c r="I141" s="428" t="s">
        <v>24</v>
      </c>
      <c r="J141" s="34" t="s">
        <v>1315</v>
      </c>
      <c r="K141" s="40" t="s">
        <v>104</v>
      </c>
      <c r="L141" s="1051" t="s">
        <v>1329</v>
      </c>
      <c r="M141" s="1052" t="s">
        <v>1734</v>
      </c>
      <c r="N141" s="1050" t="s">
        <v>104</v>
      </c>
      <c r="O141" s="505"/>
      <c r="Q141" s="136"/>
      <c r="R141" s="137"/>
    </row>
    <row r="142" spans="1:24">
      <c r="A142" s="354">
        <v>23</v>
      </c>
      <c r="B142" s="384" t="s">
        <v>1538</v>
      </c>
      <c r="C142" s="1054" t="s">
        <v>1735</v>
      </c>
      <c r="D142" s="960" t="s">
        <v>1438</v>
      </c>
      <c r="E142" s="789" t="s">
        <v>3</v>
      </c>
      <c r="F142" s="950" t="s">
        <v>1356</v>
      </c>
      <c r="G142" s="83"/>
      <c r="H142" s="34" t="s">
        <v>1438</v>
      </c>
      <c r="I142" s="539" t="s">
        <v>3</v>
      </c>
      <c r="J142" s="447" t="s">
        <v>1356</v>
      </c>
      <c r="K142" s="430" t="s">
        <v>104</v>
      </c>
      <c r="L142" s="1051" t="s">
        <v>1438</v>
      </c>
      <c r="M142" s="1054" t="s">
        <v>1735</v>
      </c>
      <c r="N142" s="1053" t="s">
        <v>104</v>
      </c>
      <c r="O142" s="505"/>
      <c r="P142" s="834"/>
      <c r="Q142" s="824"/>
      <c r="R142" s="824"/>
      <c r="T142" s="538"/>
    </row>
    <row r="143" spans="1:24">
      <c r="A143" s="354">
        <v>24</v>
      </c>
      <c r="B143" s="384" t="s">
        <v>1539</v>
      </c>
      <c r="C143" s="1052" t="s">
        <v>1736</v>
      </c>
      <c r="D143" s="960" t="s">
        <v>1366</v>
      </c>
      <c r="E143" s="789" t="s">
        <v>24</v>
      </c>
      <c r="F143" s="950" t="s">
        <v>1360</v>
      </c>
      <c r="G143" s="83"/>
      <c r="H143" s="40" t="s">
        <v>1366</v>
      </c>
      <c r="I143" s="825" t="s">
        <v>24</v>
      </c>
      <c r="J143" s="826" t="s">
        <v>1360</v>
      </c>
      <c r="K143" s="438" t="s">
        <v>104</v>
      </c>
      <c r="L143" s="1051" t="s">
        <v>1366</v>
      </c>
      <c r="M143" s="1052" t="s">
        <v>1736</v>
      </c>
      <c r="N143" s="1055" t="s">
        <v>104</v>
      </c>
      <c r="O143" s="505"/>
    </row>
    <row r="144" spans="1:24">
      <c r="A144" s="354">
        <v>25</v>
      </c>
      <c r="B144" s="384" t="s">
        <v>1540</v>
      </c>
      <c r="C144" s="1052" t="s">
        <v>1737</v>
      </c>
      <c r="D144" s="960" t="s">
        <v>1392</v>
      </c>
      <c r="E144" s="789" t="s">
        <v>3</v>
      </c>
      <c r="F144" s="950" t="s">
        <v>1386</v>
      </c>
      <c r="G144" s="83"/>
      <c r="H144" s="40" t="s">
        <v>1392</v>
      </c>
      <c r="I144" s="428" t="s">
        <v>3</v>
      </c>
      <c r="J144" s="34" t="s">
        <v>1386</v>
      </c>
      <c r="K144" s="40" t="s">
        <v>104</v>
      </c>
      <c r="L144" s="1051" t="s">
        <v>1392</v>
      </c>
      <c r="M144" s="1052" t="s">
        <v>1737</v>
      </c>
      <c r="N144" s="1055" t="s">
        <v>104</v>
      </c>
      <c r="O144" s="505"/>
    </row>
    <row r="145" spans="1:20">
      <c r="A145" s="354">
        <v>26</v>
      </c>
      <c r="B145" s="384" t="s">
        <v>1541</v>
      </c>
      <c r="C145" s="1052" t="s">
        <v>1738</v>
      </c>
      <c r="D145" s="960" t="s">
        <v>1367</v>
      </c>
      <c r="E145" s="789" t="s">
        <v>24</v>
      </c>
      <c r="F145" s="950" t="s">
        <v>1360</v>
      </c>
      <c r="G145" s="83"/>
      <c r="H145" s="40" t="s">
        <v>1367</v>
      </c>
      <c r="I145" s="825" t="s">
        <v>24</v>
      </c>
      <c r="J145" s="826" t="s">
        <v>1360</v>
      </c>
      <c r="K145" s="438" t="s">
        <v>104</v>
      </c>
      <c r="L145" s="1051" t="s">
        <v>1367</v>
      </c>
      <c r="M145" s="1052" t="s">
        <v>1738</v>
      </c>
      <c r="N145" s="1050" t="s">
        <v>104</v>
      </c>
      <c r="O145" s="505"/>
    </row>
    <row r="146" spans="1:20">
      <c r="A146" s="354">
        <v>27</v>
      </c>
      <c r="B146" s="384" t="s">
        <v>1542</v>
      </c>
      <c r="C146" s="1052" t="s">
        <v>1739</v>
      </c>
      <c r="D146" s="960" t="s">
        <v>1395</v>
      </c>
      <c r="E146" s="789" t="s">
        <v>24</v>
      </c>
      <c r="F146" s="950" t="s">
        <v>1386</v>
      </c>
      <c r="G146" s="83"/>
      <c r="H146" s="40" t="s">
        <v>1395</v>
      </c>
      <c r="I146" s="825" t="s">
        <v>24</v>
      </c>
      <c r="J146" s="826" t="s">
        <v>1386</v>
      </c>
      <c r="K146" s="438" t="s">
        <v>104</v>
      </c>
      <c r="L146" s="1051" t="s">
        <v>1395</v>
      </c>
      <c r="M146" s="1052" t="s">
        <v>1739</v>
      </c>
      <c r="N146" s="1050" t="s">
        <v>104</v>
      </c>
      <c r="O146" s="505"/>
      <c r="P146" s="824"/>
      <c r="Q146" s="824"/>
      <c r="R146" s="824"/>
      <c r="T146" s="447"/>
    </row>
    <row r="147" spans="1:20">
      <c r="A147" s="354">
        <v>28</v>
      </c>
      <c r="B147" s="384" t="s">
        <v>1543</v>
      </c>
      <c r="C147" s="1054" t="s">
        <v>1740</v>
      </c>
      <c r="D147" s="960" t="s">
        <v>1439</v>
      </c>
      <c r="E147" s="789" t="s">
        <v>3</v>
      </c>
      <c r="F147" s="950" t="s">
        <v>1356</v>
      </c>
      <c r="G147" s="83"/>
      <c r="H147" s="34" t="s">
        <v>1439</v>
      </c>
      <c r="I147" s="540" t="s">
        <v>3</v>
      </c>
      <c r="J147" s="447" t="s">
        <v>1356</v>
      </c>
      <c r="K147" s="430" t="s">
        <v>104</v>
      </c>
      <c r="L147" s="1051" t="s">
        <v>1439</v>
      </c>
      <c r="M147" s="1054" t="s">
        <v>1740</v>
      </c>
      <c r="N147" s="1053" t="s">
        <v>104</v>
      </c>
      <c r="O147" s="505"/>
      <c r="P147" s="824"/>
      <c r="Q147" s="824"/>
      <c r="R147" s="824"/>
      <c r="T147" s="447"/>
    </row>
    <row r="148" spans="1:20">
      <c r="A148" s="354">
        <v>29</v>
      </c>
      <c r="B148" s="384" t="s">
        <v>1544</v>
      </c>
      <c r="C148" s="1052" t="s">
        <v>1741</v>
      </c>
      <c r="D148" s="960" t="s">
        <v>1370</v>
      </c>
      <c r="E148" s="789" t="s">
        <v>24</v>
      </c>
      <c r="F148" s="950" t="s">
        <v>1360</v>
      </c>
      <c r="G148" s="85"/>
      <c r="H148" s="40" t="s">
        <v>1370</v>
      </c>
      <c r="I148" s="829" t="s">
        <v>24</v>
      </c>
      <c r="J148" s="830" t="s">
        <v>1360</v>
      </c>
      <c r="K148" s="437" t="s">
        <v>104</v>
      </c>
      <c r="L148" s="1051" t="s">
        <v>1370</v>
      </c>
      <c r="M148" s="1052" t="s">
        <v>1741</v>
      </c>
      <c r="N148" s="1050" t="s">
        <v>104</v>
      </c>
      <c r="O148" s="505"/>
      <c r="P148" s="824"/>
      <c r="Q148" s="824"/>
      <c r="R148" s="824"/>
      <c r="T148" s="447"/>
    </row>
    <row r="149" spans="1:20">
      <c r="A149" s="354">
        <v>30</v>
      </c>
      <c r="B149" s="384" t="s">
        <v>1545</v>
      </c>
      <c r="C149" s="1052" t="s">
        <v>1742</v>
      </c>
      <c r="D149" s="960" t="s">
        <v>1330</v>
      </c>
      <c r="E149" s="789" t="s">
        <v>24</v>
      </c>
      <c r="F149" s="950" t="s">
        <v>1315</v>
      </c>
      <c r="G149" s="83"/>
      <c r="H149" s="40" t="s">
        <v>1330</v>
      </c>
      <c r="I149" s="825" t="s">
        <v>24</v>
      </c>
      <c r="J149" s="826" t="s">
        <v>1315</v>
      </c>
      <c r="K149" s="438" t="s">
        <v>104</v>
      </c>
      <c r="L149" s="1051" t="s">
        <v>1330</v>
      </c>
      <c r="M149" s="1052" t="s">
        <v>1742</v>
      </c>
      <c r="N149" s="1059" t="s">
        <v>104</v>
      </c>
      <c r="O149" s="505"/>
      <c r="P149" s="824"/>
      <c r="Q149" s="824"/>
      <c r="R149" s="824"/>
      <c r="T149" s="447"/>
    </row>
    <row r="150" spans="1:20">
      <c r="A150" s="354">
        <v>31</v>
      </c>
      <c r="B150" s="384" t="s">
        <v>1546</v>
      </c>
      <c r="C150" s="1052" t="s">
        <v>1743</v>
      </c>
      <c r="D150" s="960" t="s">
        <v>1285</v>
      </c>
      <c r="E150" s="789" t="s">
        <v>24</v>
      </c>
      <c r="F150" s="950" t="s">
        <v>1277</v>
      </c>
      <c r="G150" s="83"/>
      <c r="H150" s="40" t="s">
        <v>1285</v>
      </c>
      <c r="I150" s="829" t="s">
        <v>24</v>
      </c>
      <c r="J150" s="830" t="s">
        <v>1277</v>
      </c>
      <c r="K150" s="437" t="s">
        <v>104</v>
      </c>
      <c r="L150" s="1051" t="s">
        <v>1285</v>
      </c>
      <c r="M150" s="1052" t="s">
        <v>1743</v>
      </c>
      <c r="N150" s="1053" t="s">
        <v>104</v>
      </c>
      <c r="O150" s="505"/>
      <c r="P150" s="824"/>
      <c r="Q150" s="824"/>
      <c r="R150" s="824"/>
      <c r="T150" s="447"/>
    </row>
    <row r="151" spans="1:20">
      <c r="A151" s="354">
        <v>32</v>
      </c>
      <c r="B151" s="384" t="s">
        <v>1547</v>
      </c>
      <c r="C151" s="1052" t="s">
        <v>1744</v>
      </c>
      <c r="D151" s="960" t="s">
        <v>1286</v>
      </c>
      <c r="E151" s="789" t="s">
        <v>24</v>
      </c>
      <c r="F151" s="950" t="s">
        <v>1277</v>
      </c>
      <c r="G151" s="83"/>
      <c r="H151" s="40" t="s">
        <v>1286</v>
      </c>
      <c r="I151" s="428" t="s">
        <v>24</v>
      </c>
      <c r="J151" s="34" t="s">
        <v>1277</v>
      </c>
      <c r="K151" s="40" t="s">
        <v>104</v>
      </c>
      <c r="L151" s="1051" t="s">
        <v>1286</v>
      </c>
      <c r="M151" s="1052" t="s">
        <v>1744</v>
      </c>
      <c r="N151" s="1050" t="s">
        <v>104</v>
      </c>
      <c r="O151" s="505"/>
      <c r="P151" s="538"/>
      <c r="Q151" s="538"/>
      <c r="T151" s="447"/>
    </row>
    <row r="152" spans="1:20" ht="15.75" thickBot="1">
      <c r="A152" s="961"/>
      <c r="B152" s="963"/>
      <c r="C152" s="869"/>
      <c r="D152" s="869"/>
      <c r="E152" s="870"/>
      <c r="F152" s="944"/>
      <c r="O152" s="505"/>
      <c r="P152" s="506"/>
      <c r="Q152" s="824"/>
      <c r="R152" s="507"/>
      <c r="T152" s="447"/>
    </row>
    <row r="153" spans="1:20">
      <c r="A153" s="109" t="s">
        <v>24</v>
      </c>
      <c r="B153" s="128">
        <v>20</v>
      </c>
      <c r="C153" s="129"/>
      <c r="D153" s="202"/>
      <c r="E153" s="203"/>
      <c r="F153" s="204"/>
      <c r="O153" s="505"/>
      <c r="P153" s="824"/>
      <c r="Q153" s="824"/>
      <c r="R153" s="824"/>
      <c r="T153" s="447"/>
    </row>
    <row r="154" spans="1:20" ht="15.75" thickBot="1">
      <c r="A154" s="110" t="s">
        <v>3</v>
      </c>
      <c r="B154" s="111">
        <v>12</v>
      </c>
      <c r="C154" s="205"/>
      <c r="D154" s="205"/>
      <c r="E154" s="207"/>
      <c r="F154" s="208"/>
      <c r="O154" s="505"/>
      <c r="P154" s="824"/>
      <c r="Q154" s="824"/>
      <c r="R154" s="824"/>
      <c r="T154" s="447"/>
    </row>
    <row r="155" spans="1:20">
      <c r="A155" s="103"/>
      <c r="B155" s="209"/>
      <c r="C155" s="117"/>
      <c r="D155" s="182"/>
      <c r="E155" s="810" t="s">
        <v>1242</v>
      </c>
      <c r="F155" s="103"/>
      <c r="O155" s="505"/>
      <c r="P155" s="824"/>
      <c r="Q155" s="824"/>
      <c r="R155" s="824"/>
      <c r="T155" s="447"/>
    </row>
    <row r="156" spans="1:20">
      <c r="A156" s="103"/>
      <c r="B156" s="117"/>
      <c r="C156" s="115"/>
      <c r="D156" s="115"/>
      <c r="E156" s="115" t="s">
        <v>84</v>
      </c>
      <c r="F156" s="115"/>
      <c r="O156" s="505"/>
      <c r="P156" s="538"/>
      <c r="Q156" s="538"/>
      <c r="T156" s="447"/>
    </row>
    <row r="157" spans="1:20">
      <c r="A157" s="103"/>
      <c r="O157" s="505"/>
      <c r="P157" s="538"/>
      <c r="Q157" s="538"/>
      <c r="T157" s="447"/>
    </row>
    <row r="158" spans="1:20">
      <c r="E158" s="121" t="str">
        <f>WLKLS!B3</f>
        <v>MARLIYANI, S.Pd</v>
      </c>
      <c r="O158" s="505"/>
      <c r="P158" s="824"/>
      <c r="Q158" s="824"/>
      <c r="R158" s="824"/>
      <c r="T158" s="447"/>
    </row>
    <row r="159" spans="1:20">
      <c r="E159" s="185" t="str">
        <f>WLKLS!C3</f>
        <v>NIP. 199608192023212020</v>
      </c>
      <c r="O159" s="505"/>
      <c r="P159" s="506"/>
      <c r="Q159" s="824"/>
      <c r="R159" s="507"/>
      <c r="T159" s="447"/>
    </row>
    <row r="160" spans="1:20">
      <c r="O160" s="505"/>
      <c r="P160" s="538"/>
      <c r="Q160" s="538"/>
      <c r="T160" s="447"/>
    </row>
    <row r="161" spans="1:20">
      <c r="O161" s="505"/>
      <c r="P161" s="538"/>
      <c r="Q161" s="538"/>
      <c r="T161" s="447"/>
    </row>
    <row r="162" spans="1:20" ht="21.75" customHeight="1">
      <c r="O162" s="505"/>
      <c r="P162" s="506"/>
      <c r="Q162" s="824"/>
      <c r="R162" s="507"/>
      <c r="T162" s="447"/>
    </row>
    <row r="163" spans="1:20">
      <c r="A163" s="1018" t="s">
        <v>0</v>
      </c>
      <c r="B163" s="1018"/>
      <c r="C163" s="1018"/>
      <c r="D163" s="1018"/>
      <c r="E163" s="1018"/>
      <c r="F163" s="1018"/>
      <c r="O163" s="505"/>
      <c r="P163" s="824"/>
      <c r="Q163" s="824"/>
      <c r="R163" s="824"/>
      <c r="T163" s="447"/>
    </row>
    <row r="164" spans="1:20">
      <c r="A164" s="1018" t="s">
        <v>1</v>
      </c>
      <c r="B164" s="1018"/>
      <c r="C164" s="1018"/>
      <c r="D164" s="1018"/>
      <c r="E164" s="1018"/>
      <c r="F164" s="1018"/>
      <c r="O164" s="505"/>
      <c r="P164" s="506"/>
      <c r="Q164" s="824"/>
      <c r="R164" s="507"/>
      <c r="T164" s="447"/>
    </row>
    <row r="165" spans="1:20">
      <c r="A165" s="1018" t="s">
        <v>4</v>
      </c>
      <c r="B165" s="1018"/>
      <c r="C165" s="1018"/>
      <c r="D165" s="1018"/>
      <c r="E165" s="1018"/>
      <c r="F165" s="1018"/>
      <c r="O165" s="505"/>
      <c r="P165" s="506"/>
      <c r="Q165" s="824"/>
      <c r="R165" s="507"/>
      <c r="T165" s="447"/>
    </row>
    <row r="166" spans="1:20">
      <c r="A166" s="1019" t="s">
        <v>6</v>
      </c>
      <c r="B166" s="1019"/>
      <c r="C166" s="1019"/>
      <c r="D166" s="1019"/>
      <c r="E166" s="1019"/>
      <c r="F166" s="1019"/>
      <c r="O166" s="505"/>
      <c r="P166" s="538"/>
      <c r="Q166" s="538"/>
      <c r="T166" s="447"/>
    </row>
    <row r="167" spans="1:20" ht="15.75" thickBot="1">
      <c r="A167" s="1020" t="s">
        <v>7</v>
      </c>
      <c r="B167" s="1020"/>
      <c r="C167" s="1020"/>
      <c r="D167" s="1020"/>
      <c r="E167" s="1020"/>
      <c r="F167" s="1020"/>
      <c r="O167" s="505"/>
      <c r="P167" s="538"/>
      <c r="Q167" s="538"/>
      <c r="T167" s="447"/>
    </row>
    <row r="168" spans="1:20" ht="15.75" thickTop="1">
      <c r="A168" s="97"/>
      <c r="B168" s="97"/>
      <c r="C168" s="97"/>
      <c r="D168" s="97"/>
      <c r="E168" s="98"/>
      <c r="F168" s="98"/>
      <c r="O168" s="505"/>
      <c r="P168" s="538"/>
      <c r="Q168" s="538"/>
      <c r="T168" s="447"/>
    </row>
    <row r="169" spans="1:20" ht="15.75">
      <c r="A169" s="1021" t="s">
        <v>1045</v>
      </c>
      <c r="B169" s="1021"/>
      <c r="C169" s="1021"/>
      <c r="D169" s="1021"/>
      <c r="E169" s="1021"/>
      <c r="F169" s="1021"/>
      <c r="O169" s="505"/>
      <c r="P169" s="824"/>
      <c r="Q169" s="824"/>
      <c r="R169" s="538"/>
      <c r="T169" s="447"/>
    </row>
    <row r="170" spans="1:20" ht="15.75">
      <c r="A170" s="1022" t="s">
        <v>1241</v>
      </c>
      <c r="B170" s="1022"/>
      <c r="C170" s="1022"/>
      <c r="D170" s="1022"/>
      <c r="E170" s="1022"/>
      <c r="F170" s="1022"/>
      <c r="O170" s="505"/>
      <c r="P170" s="824"/>
      <c r="Q170" s="824"/>
      <c r="R170" s="538"/>
      <c r="T170" s="447"/>
    </row>
    <row r="171" spans="1:20" ht="15.75" thickBot="1">
      <c r="A171" s="100"/>
      <c r="B171" s="100"/>
      <c r="C171" s="101"/>
      <c r="D171" s="173"/>
      <c r="E171" s="103"/>
      <c r="F171" s="103"/>
      <c r="O171" s="505"/>
      <c r="P171" s="824"/>
      <c r="Q171" s="824"/>
      <c r="R171" s="538"/>
      <c r="T171" s="447"/>
    </row>
    <row r="172" spans="1:20" ht="16.5" thickBot="1">
      <c r="A172" s="1023" t="s">
        <v>13</v>
      </c>
      <c r="B172" s="1024"/>
      <c r="C172" s="1025"/>
      <c r="D172" s="1028" t="s">
        <v>14</v>
      </c>
      <c r="E172" s="1026" t="s">
        <v>15</v>
      </c>
      <c r="F172" s="1028" t="s">
        <v>16</v>
      </c>
      <c r="O172" s="505"/>
      <c r="P172" s="538"/>
      <c r="Q172" s="538"/>
      <c r="T172" s="447"/>
    </row>
    <row r="173" spans="1:20" ht="16.5" thickBot="1">
      <c r="A173" s="126" t="s">
        <v>18</v>
      </c>
      <c r="B173" s="126" t="s">
        <v>19</v>
      </c>
      <c r="C173" s="126" t="s">
        <v>20</v>
      </c>
      <c r="D173" s="1029"/>
      <c r="E173" s="1027"/>
      <c r="F173" s="1029"/>
      <c r="O173" s="505"/>
      <c r="P173" s="506"/>
      <c r="Q173" s="824"/>
      <c r="R173" s="507"/>
      <c r="T173" s="447"/>
    </row>
    <row r="174" spans="1:20">
      <c r="A174" s="1077">
        <v>1</v>
      </c>
      <c r="B174" s="1078" t="s">
        <v>1548</v>
      </c>
      <c r="C174" s="1076" t="s">
        <v>1745</v>
      </c>
      <c r="D174" s="948" t="s">
        <v>1624</v>
      </c>
      <c r="E174" s="947" t="s">
        <v>3</v>
      </c>
      <c r="F174" s="939" t="s">
        <v>1386</v>
      </c>
      <c r="G174" s="436"/>
      <c r="H174" s="40" t="s">
        <v>1400</v>
      </c>
      <c r="I174" s="827" t="s">
        <v>3</v>
      </c>
      <c r="J174" s="828" t="s">
        <v>1386</v>
      </c>
      <c r="K174" s="436" t="s">
        <v>163</v>
      </c>
      <c r="L174" s="1051" t="s">
        <v>1400</v>
      </c>
      <c r="M174" s="1052" t="s">
        <v>1745</v>
      </c>
      <c r="N174" s="1053" t="s">
        <v>163</v>
      </c>
      <c r="O174" s="505"/>
      <c r="P174" s="824"/>
      <c r="Q174" s="824"/>
      <c r="R174" s="538"/>
      <c r="T174" s="447"/>
    </row>
    <row r="175" spans="1:20">
      <c r="A175" s="358">
        <v>2</v>
      </c>
      <c r="B175" s="949" t="s">
        <v>1549</v>
      </c>
      <c r="C175" s="1052" t="s">
        <v>1746</v>
      </c>
      <c r="D175" s="945" t="s">
        <v>1307</v>
      </c>
      <c r="E175" s="789" t="s">
        <v>24</v>
      </c>
      <c r="F175" s="950" t="s">
        <v>1297</v>
      </c>
      <c r="G175" s="438"/>
      <c r="H175" s="40" t="s">
        <v>1307</v>
      </c>
      <c r="I175" s="825" t="s">
        <v>24</v>
      </c>
      <c r="J175" s="826" t="s">
        <v>1297</v>
      </c>
      <c r="K175" s="438" t="s">
        <v>163</v>
      </c>
      <c r="L175" s="1051" t="s">
        <v>1307</v>
      </c>
      <c r="M175" s="1052" t="s">
        <v>1746</v>
      </c>
      <c r="N175" s="1058" t="s">
        <v>163</v>
      </c>
      <c r="O175" s="505"/>
      <c r="P175" s="824"/>
      <c r="Q175" s="824"/>
      <c r="R175" s="538"/>
      <c r="T175" s="447"/>
    </row>
    <row r="176" spans="1:20">
      <c r="A176" s="358">
        <v>3</v>
      </c>
      <c r="B176" s="949" t="s">
        <v>1550</v>
      </c>
      <c r="C176" s="1052" t="s">
        <v>1747</v>
      </c>
      <c r="D176" s="945" t="s">
        <v>1376</v>
      </c>
      <c r="E176" s="789" t="s">
        <v>3</v>
      </c>
      <c r="F176" s="950" t="s">
        <v>1374</v>
      </c>
      <c r="G176" s="436"/>
      <c r="H176" s="40" t="s">
        <v>1376</v>
      </c>
      <c r="I176" s="827" t="s">
        <v>3</v>
      </c>
      <c r="J176" s="828" t="s">
        <v>1374</v>
      </c>
      <c r="K176" s="436" t="s">
        <v>163</v>
      </c>
      <c r="L176" s="1051" t="s">
        <v>1376</v>
      </c>
      <c r="M176" s="1052" t="s">
        <v>1747</v>
      </c>
      <c r="N176" s="1055" t="s">
        <v>163</v>
      </c>
      <c r="O176" s="505"/>
      <c r="P176" s="824"/>
      <c r="Q176" s="824"/>
      <c r="R176" s="538"/>
      <c r="T176" s="447"/>
    </row>
    <row r="177" spans="1:20">
      <c r="A177" s="358">
        <v>4</v>
      </c>
      <c r="B177" s="949" t="s">
        <v>1551</v>
      </c>
      <c r="C177" s="1054" t="s">
        <v>1748</v>
      </c>
      <c r="D177" s="945" t="s">
        <v>1441</v>
      </c>
      <c r="E177" s="789" t="s">
        <v>24</v>
      </c>
      <c r="F177" s="950" t="s">
        <v>1356</v>
      </c>
      <c r="G177" s="430"/>
      <c r="H177" s="34" t="s">
        <v>1441</v>
      </c>
      <c r="I177" s="540" t="s">
        <v>24</v>
      </c>
      <c r="J177" s="447" t="s">
        <v>1356</v>
      </c>
      <c r="K177" s="430" t="s">
        <v>163</v>
      </c>
      <c r="L177" s="1051" t="s">
        <v>1441</v>
      </c>
      <c r="M177" s="1054" t="s">
        <v>1748</v>
      </c>
      <c r="N177" s="1055" t="s">
        <v>163</v>
      </c>
      <c r="O177" s="505"/>
      <c r="P177" s="506"/>
      <c r="Q177" s="824"/>
      <c r="R177" s="511"/>
      <c r="T177" s="447"/>
    </row>
    <row r="178" spans="1:20">
      <c r="A178" s="358">
        <v>5</v>
      </c>
      <c r="B178" s="949" t="s">
        <v>1552</v>
      </c>
      <c r="C178" s="1052" t="s">
        <v>1749</v>
      </c>
      <c r="D178" s="945" t="s">
        <v>1287</v>
      </c>
      <c r="E178" s="789" t="s">
        <v>24</v>
      </c>
      <c r="F178" s="950" t="s">
        <v>1277</v>
      </c>
      <c r="G178" s="40"/>
      <c r="H178" s="40" t="s">
        <v>1287</v>
      </c>
      <c r="I178" s="428" t="s">
        <v>24</v>
      </c>
      <c r="J178" s="34" t="s">
        <v>1277</v>
      </c>
      <c r="K178" s="40" t="s">
        <v>163</v>
      </c>
      <c r="L178" s="1051" t="s">
        <v>1287</v>
      </c>
      <c r="M178" s="1052" t="s">
        <v>1749</v>
      </c>
      <c r="N178" s="1058" t="s">
        <v>163</v>
      </c>
      <c r="O178" s="505"/>
      <c r="P178" s="538"/>
      <c r="Q178" s="538"/>
      <c r="T178" s="447"/>
    </row>
    <row r="179" spans="1:20">
      <c r="A179" s="358">
        <v>6</v>
      </c>
      <c r="B179" s="949" t="s">
        <v>1553</v>
      </c>
      <c r="C179" s="1052" t="s">
        <v>1750</v>
      </c>
      <c r="D179" s="945" t="s">
        <v>1425</v>
      </c>
      <c r="E179" s="789" t="s">
        <v>24</v>
      </c>
      <c r="F179" s="950" t="s">
        <v>1422</v>
      </c>
      <c r="G179" s="430"/>
      <c r="H179" s="34" t="s">
        <v>1425</v>
      </c>
      <c r="I179" s="540" t="s">
        <v>24</v>
      </c>
      <c r="J179" s="447" t="s">
        <v>1422</v>
      </c>
      <c r="K179" s="430" t="s">
        <v>163</v>
      </c>
      <c r="L179" s="1051" t="s">
        <v>1425</v>
      </c>
      <c r="M179" s="1052" t="s">
        <v>1750</v>
      </c>
      <c r="N179" s="1059" t="s">
        <v>163</v>
      </c>
      <c r="O179" s="505"/>
      <c r="P179" s="538"/>
      <c r="Q179" s="538"/>
      <c r="T179" s="447"/>
    </row>
    <row r="180" spans="1:20">
      <c r="A180" s="358">
        <v>7</v>
      </c>
      <c r="B180" s="949" t="s">
        <v>1554</v>
      </c>
      <c r="C180" s="1052" t="s">
        <v>1751</v>
      </c>
      <c r="D180" s="945" t="s">
        <v>1417</v>
      </c>
      <c r="E180" s="789" t="s">
        <v>3</v>
      </c>
      <c r="F180" s="950" t="s">
        <v>1411</v>
      </c>
      <c r="G180" s="430"/>
      <c r="H180" s="34" t="s">
        <v>1417</v>
      </c>
      <c r="I180" s="540" t="s">
        <v>3</v>
      </c>
      <c r="J180" s="447" t="s">
        <v>1411</v>
      </c>
      <c r="K180" s="430" t="s">
        <v>163</v>
      </c>
      <c r="L180" s="1051" t="s">
        <v>1417</v>
      </c>
      <c r="M180" s="1052" t="s">
        <v>1751</v>
      </c>
      <c r="N180" s="1059" t="s">
        <v>163</v>
      </c>
      <c r="O180" s="505"/>
      <c r="P180" s="538"/>
      <c r="Q180" s="538"/>
      <c r="T180" s="51"/>
    </row>
    <row r="181" spans="1:20">
      <c r="A181" s="358">
        <v>8</v>
      </c>
      <c r="B181" s="949" t="s">
        <v>1555</v>
      </c>
      <c r="C181" s="1052" t="s">
        <v>1752</v>
      </c>
      <c r="D181" s="945" t="s">
        <v>1331</v>
      </c>
      <c r="E181" s="789" t="s">
        <v>24</v>
      </c>
      <c r="F181" s="950" t="s">
        <v>1315</v>
      </c>
      <c r="G181" s="438"/>
      <c r="H181" s="40" t="s">
        <v>1331</v>
      </c>
      <c r="I181" s="825" t="s">
        <v>24</v>
      </c>
      <c r="J181" s="826" t="s">
        <v>1315</v>
      </c>
      <c r="K181" s="438" t="s">
        <v>163</v>
      </c>
      <c r="L181" s="1051" t="s">
        <v>1331</v>
      </c>
      <c r="M181" s="1052" t="s">
        <v>1752</v>
      </c>
      <c r="N181" s="1059" t="s">
        <v>163</v>
      </c>
      <c r="O181" s="505"/>
      <c r="P181" s="824"/>
      <c r="Q181" s="824"/>
      <c r="R181" s="824"/>
      <c r="T181" s="447"/>
    </row>
    <row r="182" spans="1:20">
      <c r="A182" s="358">
        <v>9</v>
      </c>
      <c r="B182" s="949" t="s">
        <v>1556</v>
      </c>
      <c r="C182" s="1052" t="s">
        <v>1753</v>
      </c>
      <c r="D182" s="945" t="s">
        <v>1289</v>
      </c>
      <c r="E182" s="789" t="s">
        <v>24</v>
      </c>
      <c r="F182" s="950" t="s">
        <v>1277</v>
      </c>
      <c r="G182" s="436"/>
      <c r="H182" s="40" t="s">
        <v>1289</v>
      </c>
      <c r="I182" s="827" t="s">
        <v>24</v>
      </c>
      <c r="J182" s="828" t="s">
        <v>1277</v>
      </c>
      <c r="K182" s="436" t="s">
        <v>163</v>
      </c>
      <c r="L182" s="1051" t="s">
        <v>1289</v>
      </c>
      <c r="M182" s="1052" t="s">
        <v>1753</v>
      </c>
      <c r="N182" s="1050" t="s">
        <v>163</v>
      </c>
      <c r="O182" s="505"/>
      <c r="P182" s="824"/>
      <c r="Q182" s="824"/>
      <c r="R182" s="824"/>
      <c r="T182" s="447"/>
    </row>
    <row r="183" spans="1:20">
      <c r="A183" s="358">
        <v>10</v>
      </c>
      <c r="B183" s="949" t="s">
        <v>1557</v>
      </c>
      <c r="C183" s="1052" t="s">
        <v>1754</v>
      </c>
      <c r="D183" s="945" t="s">
        <v>1416</v>
      </c>
      <c r="E183" s="789" t="s">
        <v>3</v>
      </c>
      <c r="F183" s="950" t="s">
        <v>1411</v>
      </c>
      <c r="G183" s="430"/>
      <c r="H183" s="34" t="s">
        <v>1416</v>
      </c>
      <c r="I183" s="540" t="s">
        <v>3</v>
      </c>
      <c r="J183" s="447" t="s">
        <v>1411</v>
      </c>
      <c r="K183" s="430" t="s">
        <v>163</v>
      </c>
      <c r="L183" s="1051" t="s">
        <v>1416</v>
      </c>
      <c r="M183" s="1052" t="s">
        <v>1754</v>
      </c>
      <c r="N183" s="1050" t="s">
        <v>163</v>
      </c>
      <c r="O183" s="505"/>
      <c r="P183" s="824"/>
      <c r="Q183" s="824"/>
      <c r="R183" s="824"/>
      <c r="T183" s="447"/>
    </row>
    <row r="184" spans="1:20">
      <c r="A184" s="358">
        <v>11</v>
      </c>
      <c r="B184" s="949" t="s">
        <v>1558</v>
      </c>
      <c r="C184" s="1052" t="s">
        <v>1755</v>
      </c>
      <c r="D184" s="945" t="s">
        <v>1375</v>
      </c>
      <c r="E184" s="789" t="s">
        <v>3</v>
      </c>
      <c r="F184" s="950" t="s">
        <v>1374</v>
      </c>
      <c r="G184" s="436"/>
      <c r="H184" s="40" t="s">
        <v>1375</v>
      </c>
      <c r="I184" s="827" t="s">
        <v>3</v>
      </c>
      <c r="J184" s="828" t="s">
        <v>1374</v>
      </c>
      <c r="K184" s="436" t="s">
        <v>163</v>
      </c>
      <c r="L184" s="1051" t="s">
        <v>1375</v>
      </c>
      <c r="M184" s="1052" t="s">
        <v>1755</v>
      </c>
      <c r="N184" s="1055" t="s">
        <v>163</v>
      </c>
      <c r="O184" s="505"/>
      <c r="P184" s="824"/>
      <c r="Q184" s="824"/>
      <c r="R184" s="824"/>
      <c r="T184" s="447"/>
    </row>
    <row r="185" spans="1:20">
      <c r="A185" s="358">
        <v>12</v>
      </c>
      <c r="B185" s="949" t="s">
        <v>1559</v>
      </c>
      <c r="C185" s="1052" t="s">
        <v>1756</v>
      </c>
      <c r="D185" s="945" t="s">
        <v>1308</v>
      </c>
      <c r="E185" s="789" t="s">
        <v>24</v>
      </c>
      <c r="F185" s="950" t="s">
        <v>1297</v>
      </c>
      <c r="G185" s="438"/>
      <c r="H185" s="40" t="s">
        <v>1308</v>
      </c>
      <c r="I185" s="825" t="s">
        <v>24</v>
      </c>
      <c r="J185" s="826" t="s">
        <v>1297</v>
      </c>
      <c r="K185" s="438" t="s">
        <v>163</v>
      </c>
      <c r="L185" s="1051" t="s">
        <v>1308</v>
      </c>
      <c r="M185" s="1052" t="s">
        <v>1756</v>
      </c>
      <c r="N185" s="1058" t="s">
        <v>163</v>
      </c>
      <c r="O185" s="505"/>
      <c r="P185" s="538"/>
      <c r="Q185" s="538"/>
      <c r="R185" s="538"/>
      <c r="T185" s="447"/>
    </row>
    <row r="186" spans="1:20">
      <c r="A186" s="358">
        <v>13</v>
      </c>
      <c r="B186" s="949" t="s">
        <v>1560</v>
      </c>
      <c r="C186" s="1052" t="s">
        <v>1757</v>
      </c>
      <c r="D186" s="945" t="s">
        <v>1332</v>
      </c>
      <c r="E186" s="789" t="s">
        <v>24</v>
      </c>
      <c r="F186" s="950" t="s">
        <v>1315</v>
      </c>
      <c r="G186" s="437"/>
      <c r="H186" s="40" t="s">
        <v>1332</v>
      </c>
      <c r="I186" s="829" t="s">
        <v>24</v>
      </c>
      <c r="J186" s="830" t="s">
        <v>1315</v>
      </c>
      <c r="K186" s="437" t="s">
        <v>163</v>
      </c>
      <c r="L186" s="1051" t="s">
        <v>1332</v>
      </c>
      <c r="M186" s="1052" t="s">
        <v>1757</v>
      </c>
      <c r="N186" s="1058" t="s">
        <v>163</v>
      </c>
      <c r="O186" s="505"/>
      <c r="P186" s="538"/>
      <c r="Q186" s="538"/>
      <c r="R186" s="538"/>
      <c r="T186" s="447"/>
    </row>
    <row r="187" spans="1:20">
      <c r="A187" s="358">
        <v>14</v>
      </c>
      <c r="B187" s="949" t="s">
        <v>1561</v>
      </c>
      <c r="C187" s="1052" t="s">
        <v>1758</v>
      </c>
      <c r="D187" s="945" t="s">
        <v>1404</v>
      </c>
      <c r="E187" s="946" t="s">
        <v>3</v>
      </c>
      <c r="F187" s="950" t="s">
        <v>1405</v>
      </c>
      <c r="G187" s="824"/>
      <c r="H187" s="40" t="s">
        <v>1404</v>
      </c>
      <c r="I187" s="34" t="s">
        <v>3</v>
      </c>
      <c r="J187" s="834" t="s">
        <v>1405</v>
      </c>
      <c r="K187" s="824" t="s">
        <v>163</v>
      </c>
      <c r="L187" s="1051" t="s">
        <v>1404</v>
      </c>
      <c r="M187" s="1052" t="s">
        <v>1758</v>
      </c>
      <c r="N187" s="1059" t="s">
        <v>163</v>
      </c>
      <c r="O187" s="505"/>
      <c r="P187" s="538"/>
      <c r="Q187" s="538"/>
      <c r="R187" s="538"/>
      <c r="T187" s="447"/>
    </row>
    <row r="188" spans="1:20">
      <c r="A188" s="358">
        <v>15</v>
      </c>
      <c r="B188" s="949" t="s">
        <v>1562</v>
      </c>
      <c r="C188" s="1052" t="s">
        <v>1759</v>
      </c>
      <c r="D188" s="945" t="s">
        <v>1399</v>
      </c>
      <c r="E188" s="789" t="s">
        <v>3</v>
      </c>
      <c r="F188" s="950" t="s">
        <v>1386</v>
      </c>
      <c r="G188" s="437"/>
      <c r="H188" s="40" t="s">
        <v>1399</v>
      </c>
      <c r="I188" s="829" t="s">
        <v>3</v>
      </c>
      <c r="J188" s="830" t="s">
        <v>1386</v>
      </c>
      <c r="K188" s="437" t="s">
        <v>163</v>
      </c>
      <c r="L188" s="1051" t="s">
        <v>1399</v>
      </c>
      <c r="M188" s="1052" t="s">
        <v>1759</v>
      </c>
      <c r="N188" s="1059" t="s">
        <v>163</v>
      </c>
      <c r="O188" s="505"/>
    </row>
    <row r="189" spans="1:20">
      <c r="A189" s="358">
        <v>16</v>
      </c>
      <c r="B189" s="949" t="s">
        <v>1563</v>
      </c>
      <c r="C189" s="1052" t="s">
        <v>1760</v>
      </c>
      <c r="D189" s="945" t="s">
        <v>1398</v>
      </c>
      <c r="E189" s="789" t="s">
        <v>3</v>
      </c>
      <c r="F189" s="950" t="s">
        <v>1386</v>
      </c>
      <c r="G189" s="437"/>
      <c r="H189" s="40" t="s">
        <v>1398</v>
      </c>
      <c r="I189" s="829" t="s">
        <v>3</v>
      </c>
      <c r="J189" s="830" t="s">
        <v>1386</v>
      </c>
      <c r="K189" s="437" t="s">
        <v>163</v>
      </c>
      <c r="L189" s="1051" t="s">
        <v>1398</v>
      </c>
      <c r="M189" s="1052" t="s">
        <v>1760</v>
      </c>
      <c r="N189" s="1062" t="s">
        <v>163</v>
      </c>
      <c r="O189" s="505"/>
    </row>
    <row r="190" spans="1:20">
      <c r="A190" s="358">
        <v>17</v>
      </c>
      <c r="B190" s="949" t="s">
        <v>1564</v>
      </c>
      <c r="C190" s="1052" t="s">
        <v>1761</v>
      </c>
      <c r="D190" s="945" t="s">
        <v>1415</v>
      </c>
      <c r="E190" s="789" t="s">
        <v>3</v>
      </c>
      <c r="F190" s="950" t="s">
        <v>1411</v>
      </c>
      <c r="G190" s="430"/>
      <c r="H190" s="34" t="s">
        <v>1415</v>
      </c>
      <c r="I190" s="540" t="s">
        <v>3</v>
      </c>
      <c r="J190" s="447" t="s">
        <v>1411</v>
      </c>
      <c r="K190" s="430" t="s">
        <v>163</v>
      </c>
      <c r="L190" s="1051" t="s">
        <v>1415</v>
      </c>
      <c r="M190" s="1052" t="s">
        <v>1761</v>
      </c>
      <c r="N190" s="1055" t="s">
        <v>163</v>
      </c>
      <c r="O190" s="505"/>
    </row>
    <row r="191" spans="1:20">
      <c r="A191" s="358">
        <v>18</v>
      </c>
      <c r="B191" s="949" t="s">
        <v>1565</v>
      </c>
      <c r="C191" s="1052" t="s">
        <v>1762</v>
      </c>
      <c r="D191" s="945" t="s">
        <v>1306</v>
      </c>
      <c r="E191" s="789" t="s">
        <v>24</v>
      </c>
      <c r="F191" s="950" t="s">
        <v>1297</v>
      </c>
      <c r="G191" s="40"/>
      <c r="H191" s="40" t="s">
        <v>1306</v>
      </c>
      <c r="I191" s="428" t="s">
        <v>24</v>
      </c>
      <c r="J191" s="34" t="s">
        <v>1297</v>
      </c>
      <c r="K191" s="40" t="s">
        <v>163</v>
      </c>
      <c r="L191" s="1051" t="s">
        <v>1306</v>
      </c>
      <c r="M191" s="1052" t="s">
        <v>1762</v>
      </c>
      <c r="N191" s="1053" t="s">
        <v>163</v>
      </c>
      <c r="O191" s="505"/>
    </row>
    <row r="192" spans="1:20">
      <c r="A192" s="358">
        <v>19</v>
      </c>
      <c r="B192" s="949" t="s">
        <v>1566</v>
      </c>
      <c r="C192" s="1052" t="s">
        <v>1763</v>
      </c>
      <c r="D192" s="945" t="s">
        <v>1373</v>
      </c>
      <c r="E192" s="789" t="s">
        <v>3</v>
      </c>
      <c r="F192" s="950" t="s">
        <v>1374</v>
      </c>
      <c r="G192" s="829"/>
      <c r="H192" s="40" t="s">
        <v>1373</v>
      </c>
      <c r="I192" s="829" t="s">
        <v>3</v>
      </c>
      <c r="J192" s="830" t="s">
        <v>1374</v>
      </c>
      <c r="K192" s="829" t="s">
        <v>163</v>
      </c>
      <c r="L192" s="1051" t="s">
        <v>1373</v>
      </c>
      <c r="M192" s="1052" t="s">
        <v>1763</v>
      </c>
      <c r="N192" s="1053" t="s">
        <v>163</v>
      </c>
    </row>
    <row r="193" spans="1:19">
      <c r="A193" s="358">
        <v>20</v>
      </c>
      <c r="B193" s="949" t="s">
        <v>1567</v>
      </c>
      <c r="C193" s="1052" t="s">
        <v>1765</v>
      </c>
      <c r="D193" s="967" t="s">
        <v>1452</v>
      </c>
      <c r="E193" s="789" t="s">
        <v>3</v>
      </c>
      <c r="F193" s="950" t="s">
        <v>1356</v>
      </c>
      <c r="G193" s="436"/>
      <c r="H193" s="40" t="s">
        <v>1355</v>
      </c>
      <c r="I193" s="827" t="s">
        <v>3</v>
      </c>
      <c r="J193" s="828" t="s">
        <v>1356</v>
      </c>
      <c r="K193" s="436" t="s">
        <v>163</v>
      </c>
      <c r="L193" s="1051" t="s">
        <v>1764</v>
      </c>
      <c r="M193" s="1052" t="s">
        <v>1765</v>
      </c>
      <c r="N193" s="1050" t="s">
        <v>163</v>
      </c>
      <c r="P193" s="539"/>
      <c r="Q193" s="831"/>
      <c r="R193" s="430"/>
      <c r="S193" s="447"/>
    </row>
    <row r="194" spans="1:19">
      <c r="A194" s="358">
        <v>21</v>
      </c>
      <c r="B194" s="949" t="s">
        <v>1568</v>
      </c>
      <c r="C194" s="1052" t="s">
        <v>1766</v>
      </c>
      <c r="D194" s="945" t="s">
        <v>1426</v>
      </c>
      <c r="E194" s="789" t="s">
        <v>24</v>
      </c>
      <c r="F194" s="950" t="s">
        <v>1422</v>
      </c>
      <c r="G194" s="430"/>
      <c r="H194" s="34" t="s">
        <v>1426</v>
      </c>
      <c r="I194" s="540" t="s">
        <v>24</v>
      </c>
      <c r="J194" s="447" t="s">
        <v>1422</v>
      </c>
      <c r="K194" s="430" t="s">
        <v>163</v>
      </c>
      <c r="L194" s="1051" t="s">
        <v>1426</v>
      </c>
      <c r="M194" s="1052" t="s">
        <v>1766</v>
      </c>
      <c r="N194" s="1055" t="s">
        <v>163</v>
      </c>
    </row>
    <row r="195" spans="1:19">
      <c r="A195" s="358">
        <v>22</v>
      </c>
      <c r="B195" s="949" t="s">
        <v>1569</v>
      </c>
      <c r="C195" s="1052" t="s">
        <v>1767</v>
      </c>
      <c r="D195" s="945" t="s">
        <v>1357</v>
      </c>
      <c r="E195" s="789" t="s">
        <v>24</v>
      </c>
      <c r="F195" s="950" t="s">
        <v>1358</v>
      </c>
      <c r="G195" s="436"/>
      <c r="H195" s="40" t="s">
        <v>1357</v>
      </c>
      <c r="I195" s="827" t="s">
        <v>24</v>
      </c>
      <c r="J195" s="828" t="s">
        <v>1358</v>
      </c>
      <c r="K195" s="436" t="s">
        <v>163</v>
      </c>
      <c r="L195" s="1051" t="s">
        <v>1357</v>
      </c>
      <c r="M195" s="1052" t="s">
        <v>1767</v>
      </c>
      <c r="N195" s="1058" t="s">
        <v>163</v>
      </c>
      <c r="P195" s="508"/>
      <c r="Q195" s="824"/>
      <c r="R195" s="507"/>
    </row>
    <row r="196" spans="1:19">
      <c r="A196" s="358">
        <v>23</v>
      </c>
      <c r="B196" s="949" t="s">
        <v>1570</v>
      </c>
      <c r="C196" s="1052" t="s">
        <v>1768</v>
      </c>
      <c r="D196" s="945" t="s">
        <v>1427</v>
      </c>
      <c r="E196" s="789" t="s">
        <v>24</v>
      </c>
      <c r="F196" s="950" t="s">
        <v>1422</v>
      </c>
      <c r="G196" s="430"/>
      <c r="H196" s="34" t="s">
        <v>1427</v>
      </c>
      <c r="I196" s="539" t="s">
        <v>24</v>
      </c>
      <c r="J196" s="447" t="s">
        <v>1422</v>
      </c>
      <c r="K196" s="430" t="s">
        <v>163</v>
      </c>
      <c r="L196" s="1051" t="s">
        <v>1427</v>
      </c>
      <c r="M196" s="1052" t="s">
        <v>1768</v>
      </c>
      <c r="N196" s="1058" t="s">
        <v>163</v>
      </c>
      <c r="P196" s="508"/>
      <c r="Q196" s="824"/>
      <c r="R196" s="507"/>
    </row>
    <row r="197" spans="1:19">
      <c r="A197" s="358">
        <v>24</v>
      </c>
      <c r="B197" s="949" t="s">
        <v>1571</v>
      </c>
      <c r="C197" s="1052" t="s">
        <v>1769</v>
      </c>
      <c r="D197" s="945" t="s">
        <v>1397</v>
      </c>
      <c r="E197" s="789" t="s">
        <v>3</v>
      </c>
      <c r="F197" s="950" t="s">
        <v>1386</v>
      </c>
      <c r="G197" s="438"/>
      <c r="H197" s="40" t="s">
        <v>1397</v>
      </c>
      <c r="I197" s="825" t="s">
        <v>3</v>
      </c>
      <c r="J197" s="826" t="s">
        <v>1386</v>
      </c>
      <c r="K197" s="438" t="s">
        <v>163</v>
      </c>
      <c r="L197" s="1051" t="s">
        <v>1397</v>
      </c>
      <c r="M197" s="1052" t="s">
        <v>1769</v>
      </c>
      <c r="N197" s="1053" t="s">
        <v>163</v>
      </c>
      <c r="P197" s="51"/>
      <c r="Q197" s="538"/>
      <c r="R197" s="538"/>
    </row>
    <row r="198" spans="1:19">
      <c r="A198" s="358">
        <v>25</v>
      </c>
      <c r="B198" s="949" t="s">
        <v>1572</v>
      </c>
      <c r="C198" s="1054" t="s">
        <v>1770</v>
      </c>
      <c r="D198" s="945" t="s">
        <v>1442</v>
      </c>
      <c r="E198" s="957" t="s">
        <v>24</v>
      </c>
      <c r="F198" s="880" t="s">
        <v>1356</v>
      </c>
      <c r="G198" s="56"/>
      <c r="H198" s="34" t="s">
        <v>1442</v>
      </c>
      <c r="I198" s="541" t="s">
        <v>24</v>
      </c>
      <c r="J198" s="210" t="s">
        <v>1356</v>
      </c>
      <c r="K198" s="56" t="s">
        <v>163</v>
      </c>
      <c r="L198" s="1051" t="s">
        <v>1442</v>
      </c>
      <c r="M198" s="1054" t="s">
        <v>1770</v>
      </c>
      <c r="N198" s="1053" t="s">
        <v>163</v>
      </c>
      <c r="P198" s="51"/>
      <c r="Q198" s="538"/>
    </row>
    <row r="199" spans="1:19">
      <c r="A199" s="358">
        <v>26</v>
      </c>
      <c r="B199" s="949" t="s">
        <v>1573</v>
      </c>
      <c r="C199" s="1052" t="s">
        <v>1771</v>
      </c>
      <c r="D199" s="945" t="s">
        <v>1371</v>
      </c>
      <c r="E199" s="789" t="s">
        <v>24</v>
      </c>
      <c r="F199" s="950" t="s">
        <v>1360</v>
      </c>
      <c r="G199" s="437"/>
      <c r="H199" s="40" t="s">
        <v>1371</v>
      </c>
      <c r="I199" s="829" t="s">
        <v>24</v>
      </c>
      <c r="J199" s="830" t="s">
        <v>1360</v>
      </c>
      <c r="K199" s="437" t="s">
        <v>163</v>
      </c>
      <c r="L199" s="1051" t="s">
        <v>1371</v>
      </c>
      <c r="M199" s="1052" t="s">
        <v>1771</v>
      </c>
      <c r="N199" s="1059" t="s">
        <v>163</v>
      </c>
      <c r="P199" s="51"/>
      <c r="Q199" s="538"/>
    </row>
    <row r="200" spans="1:19">
      <c r="A200" s="358">
        <v>27</v>
      </c>
      <c r="B200" s="949" t="s">
        <v>1574</v>
      </c>
      <c r="C200" s="1052" t="s">
        <v>1772</v>
      </c>
      <c r="D200" s="945" t="s">
        <v>1372</v>
      </c>
      <c r="E200" s="789" t="s">
        <v>24</v>
      </c>
      <c r="F200" s="950" t="s">
        <v>1360</v>
      </c>
      <c r="G200" s="437"/>
      <c r="H200" s="40" t="s">
        <v>1372</v>
      </c>
      <c r="I200" s="829" t="s">
        <v>24</v>
      </c>
      <c r="J200" s="830" t="s">
        <v>1360</v>
      </c>
      <c r="K200" s="437" t="s">
        <v>163</v>
      </c>
      <c r="L200" s="1051" t="s">
        <v>1372</v>
      </c>
      <c r="M200" s="1052" t="s">
        <v>1772</v>
      </c>
      <c r="N200" s="1059" t="s">
        <v>163</v>
      </c>
      <c r="P200" s="51"/>
      <c r="Q200" s="538"/>
    </row>
    <row r="201" spans="1:19">
      <c r="A201" s="358">
        <v>28</v>
      </c>
      <c r="B201" s="949" t="s">
        <v>1575</v>
      </c>
      <c r="C201" s="1052" t="s">
        <v>1773</v>
      </c>
      <c r="D201" s="945" t="s">
        <v>1396</v>
      </c>
      <c r="E201" s="789" t="s">
        <v>3</v>
      </c>
      <c r="F201" s="950" t="s">
        <v>1386</v>
      </c>
      <c r="G201" s="438"/>
      <c r="H201" s="40" t="s">
        <v>1396</v>
      </c>
      <c r="I201" s="825" t="s">
        <v>3</v>
      </c>
      <c r="J201" s="826" t="s">
        <v>1386</v>
      </c>
      <c r="K201" s="438" t="s">
        <v>163</v>
      </c>
      <c r="L201" s="1051" t="s">
        <v>1396</v>
      </c>
      <c r="M201" s="1052" t="s">
        <v>1773</v>
      </c>
      <c r="N201" s="1059" t="s">
        <v>163</v>
      </c>
      <c r="P201" s="51"/>
      <c r="Q201" s="538"/>
      <c r="R201" s="538"/>
    </row>
    <row r="202" spans="1:19">
      <c r="A202" s="358">
        <v>29</v>
      </c>
      <c r="B202" s="949" t="s">
        <v>1576</v>
      </c>
      <c r="C202" s="1052" t="s">
        <v>1774</v>
      </c>
      <c r="D202" s="945" t="s">
        <v>1429</v>
      </c>
      <c r="E202" s="789" t="s">
        <v>24</v>
      </c>
      <c r="F202" s="950" t="s">
        <v>1430</v>
      </c>
      <c r="G202" s="430"/>
      <c r="H202" s="34" t="s">
        <v>1429</v>
      </c>
      <c r="I202" s="539" t="s">
        <v>24</v>
      </c>
      <c r="J202" s="447" t="s">
        <v>1430</v>
      </c>
      <c r="K202" s="430" t="s">
        <v>163</v>
      </c>
      <c r="L202" s="1051" t="s">
        <v>1429</v>
      </c>
      <c r="M202" s="1052" t="s">
        <v>1774</v>
      </c>
      <c r="N202" s="1059" t="s">
        <v>163</v>
      </c>
      <c r="P202" s="508"/>
      <c r="Q202" s="824"/>
      <c r="R202" s="507"/>
    </row>
    <row r="203" spans="1:19">
      <c r="A203" s="358">
        <v>30</v>
      </c>
      <c r="B203" s="949" t="s">
        <v>1577</v>
      </c>
      <c r="C203" s="1052" t="s">
        <v>1775</v>
      </c>
      <c r="D203" s="945" t="s">
        <v>1428</v>
      </c>
      <c r="E203" s="789" t="s">
        <v>24</v>
      </c>
      <c r="F203" s="950" t="s">
        <v>1422</v>
      </c>
      <c r="G203" s="430"/>
      <c r="H203" s="34" t="s">
        <v>1428</v>
      </c>
      <c r="I203" s="539" t="s">
        <v>24</v>
      </c>
      <c r="J203" s="447" t="s">
        <v>1422</v>
      </c>
      <c r="K203" s="430" t="s">
        <v>163</v>
      </c>
      <c r="L203" s="1051" t="s">
        <v>1428</v>
      </c>
      <c r="M203" s="1052" t="s">
        <v>1775</v>
      </c>
      <c r="N203" s="1063" t="s">
        <v>163</v>
      </c>
      <c r="P203" s="508"/>
      <c r="Q203" s="824"/>
      <c r="R203" s="507"/>
    </row>
    <row r="204" spans="1:19">
      <c r="A204" s="358">
        <v>31</v>
      </c>
      <c r="B204" s="949" t="s">
        <v>1578</v>
      </c>
      <c r="C204" s="1054" t="s">
        <v>1776</v>
      </c>
      <c r="D204" s="945" t="s">
        <v>1440</v>
      </c>
      <c r="E204" s="789" t="s">
        <v>24</v>
      </c>
      <c r="F204" s="950" t="s">
        <v>1356</v>
      </c>
      <c r="G204" s="430"/>
      <c r="H204" s="34" t="s">
        <v>1440</v>
      </c>
      <c r="I204" s="539" t="s">
        <v>24</v>
      </c>
      <c r="J204" s="447" t="s">
        <v>1356</v>
      </c>
      <c r="K204" s="430" t="s">
        <v>163</v>
      </c>
      <c r="L204" s="1051" t="s">
        <v>1440</v>
      </c>
      <c r="M204" s="1054" t="s">
        <v>1776</v>
      </c>
      <c r="N204" s="1059" t="s">
        <v>163</v>
      </c>
      <c r="P204" s="51"/>
    </row>
    <row r="205" spans="1:19">
      <c r="A205" s="358">
        <v>32</v>
      </c>
      <c r="B205" s="949" t="s">
        <v>1579</v>
      </c>
      <c r="C205" s="1052" t="s">
        <v>1777</v>
      </c>
      <c r="D205" s="945" t="s">
        <v>1288</v>
      </c>
      <c r="E205" s="789" t="s">
        <v>24</v>
      </c>
      <c r="F205" s="950" t="s">
        <v>1277</v>
      </c>
      <c r="G205" s="40"/>
      <c r="H205" s="40" t="s">
        <v>1288</v>
      </c>
      <c r="I205" s="428" t="s">
        <v>24</v>
      </c>
      <c r="J205" s="34" t="s">
        <v>1277</v>
      </c>
      <c r="K205" s="40" t="s">
        <v>163</v>
      </c>
      <c r="L205" s="1051" t="s">
        <v>1288</v>
      </c>
      <c r="M205" s="1052" t="s">
        <v>1777</v>
      </c>
      <c r="N205" s="1055" t="s">
        <v>163</v>
      </c>
      <c r="P205" s="51"/>
      <c r="Q205" s="538"/>
    </row>
    <row r="206" spans="1:19" ht="15.75" thickBot="1">
      <c r="A206" s="359"/>
      <c r="B206" s="876"/>
      <c r="C206" s="958"/>
      <c r="D206" s="766"/>
      <c r="E206" s="767"/>
      <c r="F206" s="959"/>
      <c r="G206" s="83"/>
      <c r="P206" s="51"/>
      <c r="Q206" s="538"/>
    </row>
    <row r="207" spans="1:19">
      <c r="A207" s="109" t="s">
        <v>24</v>
      </c>
      <c r="B207" s="128">
        <v>19</v>
      </c>
      <c r="C207" s="20"/>
      <c r="D207" s="20"/>
      <c r="E207" s="38"/>
      <c r="F207" s="39"/>
      <c r="P207" s="51"/>
      <c r="Q207" s="538"/>
    </row>
    <row r="208" spans="1:19" ht="15.75" thickBot="1">
      <c r="A208" s="110" t="s">
        <v>3</v>
      </c>
      <c r="B208" s="111">
        <v>13</v>
      </c>
      <c r="C208" s="216"/>
      <c r="D208" s="217"/>
      <c r="E208" s="218"/>
      <c r="F208" s="219"/>
      <c r="P208" s="51"/>
      <c r="Q208" s="538"/>
    </row>
    <row r="209" spans="1:19">
      <c r="A209" s="103"/>
      <c r="B209" s="117"/>
      <c r="C209" s="115"/>
      <c r="D209" s="115"/>
      <c r="E209" s="810" t="s">
        <v>1242</v>
      </c>
      <c r="F209" s="115"/>
      <c r="P209" s="51"/>
      <c r="Q209" s="538"/>
    </row>
    <row r="210" spans="1:19">
      <c r="A210" s="103"/>
      <c r="B210" s="117"/>
      <c r="C210" s="115"/>
      <c r="D210" s="115"/>
      <c r="E210" s="115" t="s">
        <v>84</v>
      </c>
      <c r="F210" s="115"/>
      <c r="P210" s="416"/>
      <c r="Q210" s="836"/>
      <c r="R210" s="137"/>
      <c r="S210" s="137"/>
    </row>
    <row r="211" spans="1:19">
      <c r="A211" s="103"/>
      <c r="B211" s="117"/>
      <c r="C211" s="115"/>
      <c r="P211" s="51"/>
      <c r="Q211" s="538"/>
    </row>
    <row r="212" spans="1:19">
      <c r="E212" s="121" t="str">
        <f>WLKLS!B4</f>
        <v>HANY ENDRAWATI, S.Si.</v>
      </c>
      <c r="P212" s="51"/>
      <c r="Q212" s="538"/>
    </row>
    <row r="213" spans="1:19">
      <c r="E213" s="185" t="str">
        <f>WLKLS!C4</f>
        <v>NIP. 198410032022212000</v>
      </c>
    </row>
    <row r="214" spans="1:19">
      <c r="E214" s="185"/>
    </row>
    <row r="215" spans="1:19">
      <c r="E215" s="185"/>
    </row>
    <row r="216" spans="1:19" ht="15" customHeight="1">
      <c r="E216" s="185"/>
    </row>
    <row r="217" spans="1:19">
      <c r="A217" s="1018" t="s">
        <v>0</v>
      </c>
      <c r="B217" s="1018"/>
      <c r="C217" s="1018"/>
      <c r="D217" s="1018"/>
      <c r="E217" s="1018"/>
      <c r="F217" s="1018"/>
    </row>
    <row r="218" spans="1:19">
      <c r="A218" s="1018" t="s">
        <v>1</v>
      </c>
      <c r="B218" s="1018"/>
      <c r="C218" s="1018"/>
      <c r="D218" s="1018"/>
      <c r="E218" s="1018"/>
      <c r="F218" s="1018"/>
    </row>
    <row r="219" spans="1:19">
      <c r="A219" s="1018" t="s">
        <v>4</v>
      </c>
      <c r="B219" s="1018"/>
      <c r="C219" s="1018"/>
      <c r="D219" s="1018"/>
      <c r="E219" s="1018"/>
      <c r="F219" s="1018"/>
    </row>
    <row r="220" spans="1:19">
      <c r="A220" s="1019" t="s">
        <v>6</v>
      </c>
      <c r="B220" s="1019"/>
      <c r="C220" s="1019"/>
      <c r="D220" s="1019"/>
      <c r="E220" s="1019"/>
      <c r="F220" s="1019"/>
    </row>
    <row r="221" spans="1:19" ht="15.75" thickBot="1">
      <c r="A221" s="1020" t="s">
        <v>7</v>
      </c>
      <c r="B221" s="1020"/>
      <c r="C221" s="1020"/>
      <c r="D221" s="1020"/>
      <c r="E221" s="1020"/>
      <c r="F221" s="1020"/>
    </row>
    <row r="222" spans="1:19" ht="15.75" thickTop="1">
      <c r="A222" s="97"/>
      <c r="B222" s="97"/>
      <c r="C222" s="97"/>
      <c r="D222" s="97"/>
      <c r="E222" s="98"/>
      <c r="F222" s="98"/>
    </row>
    <row r="223" spans="1:19" ht="15.75">
      <c r="A223" s="1021" t="s">
        <v>285</v>
      </c>
      <c r="B223" s="1021"/>
      <c r="C223" s="1021"/>
      <c r="D223" s="1021"/>
      <c r="E223" s="1021"/>
      <c r="F223" s="1021"/>
    </row>
    <row r="224" spans="1:19" ht="15.75">
      <c r="A224" s="1022" t="s">
        <v>1241</v>
      </c>
      <c r="B224" s="1022"/>
      <c r="C224" s="1022"/>
      <c r="D224" s="1022"/>
      <c r="E224" s="1022"/>
      <c r="F224" s="1022"/>
    </row>
    <row r="225" spans="1:14" ht="15.75" thickBot="1">
      <c r="A225" s="100"/>
      <c r="B225" s="100"/>
      <c r="C225" s="101"/>
      <c r="D225" s="173"/>
      <c r="E225" s="103"/>
      <c r="F225" s="103"/>
    </row>
    <row r="226" spans="1:14" ht="16.5" thickBot="1">
      <c r="A226" s="1023" t="s">
        <v>13</v>
      </c>
      <c r="B226" s="1024"/>
      <c r="C226" s="1025"/>
      <c r="D226" s="1028" t="s">
        <v>14</v>
      </c>
      <c r="E226" s="1026" t="s">
        <v>15</v>
      </c>
      <c r="F226" s="1028" t="s">
        <v>16</v>
      </c>
    </row>
    <row r="227" spans="1:14" ht="16.5" thickBot="1">
      <c r="A227" s="126" t="s">
        <v>18</v>
      </c>
      <c r="B227" s="126" t="s">
        <v>19</v>
      </c>
      <c r="C227" s="126" t="s">
        <v>20</v>
      </c>
      <c r="D227" s="1029"/>
      <c r="E227" s="1027"/>
      <c r="F227" s="1029"/>
    </row>
    <row r="228" spans="1:14">
      <c r="A228" s="1077">
        <v>1</v>
      </c>
      <c r="B228" s="1078" t="s">
        <v>1580</v>
      </c>
      <c r="C228" s="1076" t="s">
        <v>1778</v>
      </c>
      <c r="D228" s="948" t="s">
        <v>1448</v>
      </c>
      <c r="E228" s="947" t="s">
        <v>24</v>
      </c>
      <c r="F228" s="939" t="s">
        <v>1449</v>
      </c>
      <c r="G228" s="83"/>
      <c r="H228" s="34" t="s">
        <v>1448</v>
      </c>
      <c r="I228" s="540" t="s">
        <v>24</v>
      </c>
      <c r="J228" s="447" t="s">
        <v>1449</v>
      </c>
      <c r="K228" s="430" t="s">
        <v>208</v>
      </c>
      <c r="L228" s="1056" t="s">
        <v>1448</v>
      </c>
      <c r="M228" s="1052" t="s">
        <v>1778</v>
      </c>
      <c r="N228" s="1059" t="s">
        <v>208</v>
      </c>
    </row>
    <row r="229" spans="1:14">
      <c r="A229" s="358">
        <v>2</v>
      </c>
      <c r="B229" s="949" t="s">
        <v>1581</v>
      </c>
      <c r="C229" s="1052" t="s">
        <v>1779</v>
      </c>
      <c r="D229" s="945" t="s">
        <v>1270</v>
      </c>
      <c r="E229" s="789" t="s">
        <v>24</v>
      </c>
      <c r="F229" s="950" t="s">
        <v>1271</v>
      </c>
      <c r="G229" s="83"/>
      <c r="H229" s="40" t="s">
        <v>1270</v>
      </c>
      <c r="I229" s="825" t="s">
        <v>24</v>
      </c>
      <c r="J229" s="826" t="s">
        <v>1271</v>
      </c>
      <c r="K229" s="438" t="s">
        <v>208</v>
      </c>
      <c r="L229" s="1051" t="s">
        <v>1270</v>
      </c>
      <c r="M229" s="1052" t="s">
        <v>1779</v>
      </c>
      <c r="N229" s="1053" t="s">
        <v>208</v>
      </c>
    </row>
    <row r="230" spans="1:14">
      <c r="A230" s="358">
        <v>3</v>
      </c>
      <c r="B230" s="949" t="s">
        <v>1582</v>
      </c>
      <c r="C230" s="1052" t="s">
        <v>1780</v>
      </c>
      <c r="D230" s="945" t="s">
        <v>1406</v>
      </c>
      <c r="E230" s="966" t="s">
        <v>24</v>
      </c>
      <c r="F230" s="950" t="s">
        <v>1405</v>
      </c>
      <c r="G230" s="83"/>
      <c r="H230" s="40" t="s">
        <v>1406</v>
      </c>
      <c r="I230" s="427" t="s">
        <v>24</v>
      </c>
      <c r="J230" s="538" t="s">
        <v>1405</v>
      </c>
      <c r="K230" s="538" t="s">
        <v>208</v>
      </c>
      <c r="L230" s="1051" t="s">
        <v>1406</v>
      </c>
      <c r="M230" s="1052" t="s">
        <v>1780</v>
      </c>
      <c r="N230" s="1063" t="s">
        <v>208</v>
      </c>
    </row>
    <row r="231" spans="1:14">
      <c r="A231" s="358">
        <v>4</v>
      </c>
      <c r="B231" s="949" t="s">
        <v>1583</v>
      </c>
      <c r="C231" s="1052" t="s">
        <v>1781</v>
      </c>
      <c r="D231" s="945" t="s">
        <v>1352</v>
      </c>
      <c r="E231" s="789" t="s">
        <v>3</v>
      </c>
      <c r="F231" s="950" t="s">
        <v>1348</v>
      </c>
      <c r="G231" s="83"/>
      <c r="H231" s="40" t="s">
        <v>1352</v>
      </c>
      <c r="I231" s="829" t="s">
        <v>3</v>
      </c>
      <c r="J231" s="830" t="s">
        <v>1348</v>
      </c>
      <c r="K231" s="437" t="s">
        <v>208</v>
      </c>
      <c r="L231" s="1051" t="s">
        <v>1352</v>
      </c>
      <c r="M231" s="1052" t="s">
        <v>1781</v>
      </c>
      <c r="N231" s="1058" t="s">
        <v>208</v>
      </c>
    </row>
    <row r="232" spans="1:14">
      <c r="A232" s="358">
        <v>5</v>
      </c>
      <c r="B232" s="949" t="s">
        <v>1584</v>
      </c>
      <c r="C232" s="1052" t="s">
        <v>1782</v>
      </c>
      <c r="D232" s="945" t="s">
        <v>1446</v>
      </c>
      <c r="E232" s="789" t="s">
        <v>24</v>
      </c>
      <c r="F232" s="950" t="s">
        <v>1447</v>
      </c>
      <c r="G232" s="83"/>
      <c r="H232" s="34" t="s">
        <v>1446</v>
      </c>
      <c r="I232" s="539" t="s">
        <v>24</v>
      </c>
      <c r="J232" s="447" t="s">
        <v>1447</v>
      </c>
      <c r="K232" s="430" t="s">
        <v>208</v>
      </c>
      <c r="L232" s="1056" t="s">
        <v>1446</v>
      </c>
      <c r="M232" s="1052" t="s">
        <v>1782</v>
      </c>
      <c r="N232" s="1059" t="s">
        <v>208</v>
      </c>
    </row>
    <row r="233" spans="1:14">
      <c r="A233" s="358">
        <v>6</v>
      </c>
      <c r="B233" s="949" t="s">
        <v>1585</v>
      </c>
      <c r="C233" s="1052" t="s">
        <v>1783</v>
      </c>
      <c r="D233" s="945" t="s">
        <v>1418</v>
      </c>
      <c r="E233" s="789" t="s">
        <v>3</v>
      </c>
      <c r="F233" s="950" t="s">
        <v>1411</v>
      </c>
      <c r="G233" s="83"/>
      <c r="H233" s="34" t="s">
        <v>1418</v>
      </c>
      <c r="I233" s="540" t="s">
        <v>3</v>
      </c>
      <c r="J233" s="447" t="s">
        <v>1411</v>
      </c>
      <c r="K233" s="430" t="s">
        <v>208</v>
      </c>
      <c r="L233" s="1051" t="s">
        <v>1418</v>
      </c>
      <c r="M233" s="1052" t="s">
        <v>1783</v>
      </c>
      <c r="N233" s="1059" t="s">
        <v>208</v>
      </c>
    </row>
    <row r="234" spans="1:14">
      <c r="A234" s="358">
        <v>7</v>
      </c>
      <c r="B234" s="949" t="s">
        <v>1586</v>
      </c>
      <c r="C234" s="1052" t="s">
        <v>1784</v>
      </c>
      <c r="D234" s="945" t="s">
        <v>1419</v>
      </c>
      <c r="E234" s="789" t="s">
        <v>3</v>
      </c>
      <c r="F234" s="950" t="s">
        <v>1411</v>
      </c>
      <c r="G234" s="83"/>
      <c r="H234" s="34" t="s">
        <v>1419</v>
      </c>
      <c r="I234" s="539" t="s">
        <v>3</v>
      </c>
      <c r="J234" s="447" t="s">
        <v>1411</v>
      </c>
      <c r="K234" s="430" t="s">
        <v>208</v>
      </c>
      <c r="L234" s="1051" t="s">
        <v>1419</v>
      </c>
      <c r="M234" s="1052" t="s">
        <v>1784</v>
      </c>
      <c r="N234" s="1059" t="s">
        <v>208</v>
      </c>
    </row>
    <row r="235" spans="1:14">
      <c r="A235" s="358">
        <v>8</v>
      </c>
      <c r="B235" s="949" t="s">
        <v>1587</v>
      </c>
      <c r="C235" s="1052" t="s">
        <v>1785</v>
      </c>
      <c r="D235" s="945" t="s">
        <v>1625</v>
      </c>
      <c r="E235" s="789" t="s">
        <v>24</v>
      </c>
      <c r="F235" s="950" t="s">
        <v>1297</v>
      </c>
      <c r="G235" s="83"/>
      <c r="H235" s="40" t="s">
        <v>1311</v>
      </c>
      <c r="I235" s="827" t="s">
        <v>24</v>
      </c>
      <c r="J235" s="828" t="s">
        <v>1297</v>
      </c>
      <c r="K235" s="436" t="s">
        <v>208</v>
      </c>
      <c r="L235" s="1051" t="s">
        <v>1311</v>
      </c>
      <c r="M235" s="1052" t="s">
        <v>1785</v>
      </c>
      <c r="N235" s="1055" t="s">
        <v>208</v>
      </c>
    </row>
    <row r="236" spans="1:14">
      <c r="A236" s="358">
        <v>9</v>
      </c>
      <c r="B236" s="949" t="s">
        <v>1588</v>
      </c>
      <c r="C236" s="1052" t="s">
        <v>1786</v>
      </c>
      <c r="D236" s="945" t="s">
        <v>1335</v>
      </c>
      <c r="E236" s="789" t="s">
        <v>3</v>
      </c>
      <c r="F236" s="950" t="s">
        <v>1315</v>
      </c>
      <c r="H236" s="40" t="s">
        <v>1335</v>
      </c>
      <c r="I236" s="829" t="s">
        <v>3</v>
      </c>
      <c r="J236" s="830" t="s">
        <v>1315</v>
      </c>
      <c r="K236" s="437" t="s">
        <v>208</v>
      </c>
      <c r="L236" s="1051" t="s">
        <v>1335</v>
      </c>
      <c r="M236" s="1052" t="s">
        <v>1786</v>
      </c>
      <c r="N236" s="1058" t="s">
        <v>208</v>
      </c>
    </row>
    <row r="237" spans="1:14">
      <c r="A237" s="358">
        <v>10</v>
      </c>
      <c r="B237" s="949" t="s">
        <v>1589</v>
      </c>
      <c r="C237" s="1052" t="s">
        <v>1787</v>
      </c>
      <c r="D237" s="945" t="s">
        <v>1401</v>
      </c>
      <c r="E237" s="789" t="s">
        <v>24</v>
      </c>
      <c r="F237" s="950" t="s">
        <v>1386</v>
      </c>
      <c r="G237" s="83"/>
      <c r="H237" s="40" t="s">
        <v>1401</v>
      </c>
      <c r="I237" s="827" t="s">
        <v>24</v>
      </c>
      <c r="J237" s="828" t="s">
        <v>1386</v>
      </c>
      <c r="K237" s="436" t="s">
        <v>208</v>
      </c>
      <c r="L237" s="1051" t="s">
        <v>1401</v>
      </c>
      <c r="M237" s="1052" t="s">
        <v>1787</v>
      </c>
      <c r="N237" s="1055" t="s">
        <v>208</v>
      </c>
    </row>
    <row r="238" spans="1:14">
      <c r="A238" s="358">
        <v>11</v>
      </c>
      <c r="B238" s="949" t="s">
        <v>1590</v>
      </c>
      <c r="C238" s="1052" t="s">
        <v>1788</v>
      </c>
      <c r="D238" s="945" t="s">
        <v>1444</v>
      </c>
      <c r="E238" s="789" t="s">
        <v>24</v>
      </c>
      <c r="F238" s="950" t="s">
        <v>1445</v>
      </c>
      <c r="G238" s="83"/>
      <c r="H238" s="34" t="s">
        <v>1444</v>
      </c>
      <c r="I238" s="539" t="s">
        <v>24</v>
      </c>
      <c r="J238" s="447" t="s">
        <v>1445</v>
      </c>
      <c r="K238" s="430" t="s">
        <v>208</v>
      </c>
      <c r="L238" s="1051" t="s">
        <v>1444</v>
      </c>
      <c r="M238" s="1052" t="s">
        <v>1788</v>
      </c>
      <c r="N238" s="1059" t="s">
        <v>208</v>
      </c>
    </row>
    <row r="239" spans="1:14">
      <c r="A239" s="358">
        <v>12</v>
      </c>
      <c r="B239" s="949" t="s">
        <v>1591</v>
      </c>
      <c r="C239" s="1052" t="s">
        <v>1789</v>
      </c>
      <c r="D239" s="945" t="s">
        <v>1310</v>
      </c>
      <c r="E239" s="789" t="s">
        <v>24</v>
      </c>
      <c r="F239" s="950" t="s">
        <v>1297</v>
      </c>
      <c r="G239" s="83"/>
      <c r="H239" s="40" t="s">
        <v>1310</v>
      </c>
      <c r="I239" s="829" t="s">
        <v>24</v>
      </c>
      <c r="J239" s="830" t="s">
        <v>1297</v>
      </c>
      <c r="K239" s="437" t="s">
        <v>208</v>
      </c>
      <c r="L239" s="1051" t="s">
        <v>1310</v>
      </c>
      <c r="M239" s="1052" t="s">
        <v>1789</v>
      </c>
      <c r="N239" s="1058" t="s">
        <v>208</v>
      </c>
    </row>
    <row r="240" spans="1:14">
      <c r="A240" s="358">
        <v>13</v>
      </c>
      <c r="B240" s="949" t="s">
        <v>1592</v>
      </c>
      <c r="C240" s="1052" t="s">
        <v>1790</v>
      </c>
      <c r="D240" s="945" t="s">
        <v>1443</v>
      </c>
      <c r="E240" s="946" t="s">
        <v>3</v>
      </c>
      <c r="F240" s="950" t="s">
        <v>1356</v>
      </c>
      <c r="G240" s="83"/>
      <c r="H240" s="34" t="s">
        <v>1443</v>
      </c>
      <c r="I240" s="447" t="s">
        <v>3</v>
      </c>
      <c r="J240" s="447" t="s">
        <v>1356</v>
      </c>
      <c r="K240" s="430" t="s">
        <v>208</v>
      </c>
      <c r="L240" s="1051" t="s">
        <v>1443</v>
      </c>
      <c r="M240" s="1052" t="s">
        <v>1790</v>
      </c>
      <c r="N240" s="1059" t="s">
        <v>208</v>
      </c>
    </row>
    <row r="241" spans="1:14">
      <c r="A241" s="358">
        <v>14</v>
      </c>
      <c r="B241" s="949" t="s">
        <v>1593</v>
      </c>
      <c r="C241" s="1052" t="s">
        <v>1791</v>
      </c>
      <c r="D241" s="945" t="s">
        <v>1402</v>
      </c>
      <c r="E241" s="789" t="s">
        <v>24</v>
      </c>
      <c r="F241" s="950" t="s">
        <v>1386</v>
      </c>
      <c r="G241" s="83"/>
      <c r="H241" s="40" t="s">
        <v>1402</v>
      </c>
      <c r="I241" s="428" t="s">
        <v>24</v>
      </c>
      <c r="J241" s="34" t="s">
        <v>1386</v>
      </c>
      <c r="K241" s="40" t="s">
        <v>208</v>
      </c>
      <c r="L241" s="1051" t="s">
        <v>1402</v>
      </c>
      <c r="M241" s="1052" t="s">
        <v>1791</v>
      </c>
      <c r="N241" s="1050" t="s">
        <v>208</v>
      </c>
    </row>
    <row r="242" spans="1:14">
      <c r="A242" s="358">
        <v>15</v>
      </c>
      <c r="B242" s="949" t="s">
        <v>1594</v>
      </c>
      <c r="C242" s="1052" t="s">
        <v>1792</v>
      </c>
      <c r="D242" s="945" t="s">
        <v>1353</v>
      </c>
      <c r="E242" s="789" t="s">
        <v>3</v>
      </c>
      <c r="F242" s="950" t="s">
        <v>1348</v>
      </c>
      <c r="G242" s="83"/>
      <c r="H242" s="40" t="s">
        <v>1353</v>
      </c>
      <c r="I242" s="829" t="s">
        <v>3</v>
      </c>
      <c r="J242" s="830" t="s">
        <v>1348</v>
      </c>
      <c r="K242" s="437" t="s">
        <v>208</v>
      </c>
      <c r="L242" s="1051" t="s">
        <v>1353</v>
      </c>
      <c r="M242" s="1052" t="s">
        <v>1792</v>
      </c>
      <c r="N242" s="1058" t="s">
        <v>208</v>
      </c>
    </row>
    <row r="243" spans="1:14">
      <c r="A243" s="358">
        <v>16</v>
      </c>
      <c r="B243" s="949" t="s">
        <v>1595</v>
      </c>
      <c r="C243" s="1052" t="s">
        <v>1793</v>
      </c>
      <c r="D243" s="945" t="s">
        <v>1336</v>
      </c>
      <c r="E243" s="789" t="s">
        <v>24</v>
      </c>
      <c r="F243" s="950" t="s">
        <v>1315</v>
      </c>
      <c r="G243" s="83"/>
      <c r="H243" s="40" t="s">
        <v>1336</v>
      </c>
      <c r="I243" s="829" t="s">
        <v>24</v>
      </c>
      <c r="J243" s="830" t="s">
        <v>1315</v>
      </c>
      <c r="K243" s="437" t="s">
        <v>208</v>
      </c>
      <c r="L243" s="1051" t="s">
        <v>1336</v>
      </c>
      <c r="M243" s="1052" t="s">
        <v>1793</v>
      </c>
      <c r="N243" s="1058" t="s">
        <v>208</v>
      </c>
    </row>
    <row r="244" spans="1:14">
      <c r="A244" s="358">
        <v>17</v>
      </c>
      <c r="B244" s="949" t="s">
        <v>1596</v>
      </c>
      <c r="C244" s="1052" t="s">
        <v>1794</v>
      </c>
      <c r="D244" s="945" t="s">
        <v>1626</v>
      </c>
      <c r="E244" s="789" t="s">
        <v>24</v>
      </c>
      <c r="F244" s="950" t="s">
        <v>1315</v>
      </c>
      <c r="G244" s="83"/>
      <c r="H244" s="40" t="s">
        <v>1337</v>
      </c>
      <c r="I244" s="827" t="s">
        <v>24</v>
      </c>
      <c r="J244" s="828" t="s">
        <v>1315</v>
      </c>
      <c r="K244" s="436" t="s">
        <v>208</v>
      </c>
      <c r="L244" s="1064" t="s">
        <v>1337</v>
      </c>
      <c r="M244" s="1052" t="s">
        <v>1794</v>
      </c>
      <c r="N244" s="1055" t="s">
        <v>208</v>
      </c>
    </row>
    <row r="245" spans="1:14">
      <c r="A245" s="358">
        <v>18</v>
      </c>
      <c r="B245" s="949" t="s">
        <v>1597</v>
      </c>
      <c r="C245" s="1054" t="s">
        <v>1795</v>
      </c>
      <c r="D245" s="945" t="s">
        <v>1309</v>
      </c>
      <c r="E245" s="789" t="s">
        <v>3</v>
      </c>
      <c r="F245" s="950" t="s">
        <v>1297</v>
      </c>
      <c r="G245" s="83"/>
      <c r="H245" s="34" t="s">
        <v>853</v>
      </c>
      <c r="I245" s="540" t="s">
        <v>3</v>
      </c>
      <c r="J245" s="447" t="s">
        <v>1356</v>
      </c>
      <c r="K245" s="430" t="s">
        <v>208</v>
      </c>
      <c r="L245" s="1051" t="s">
        <v>853</v>
      </c>
      <c r="M245" s="1054" t="s">
        <v>1795</v>
      </c>
      <c r="N245" s="1059" t="s">
        <v>208</v>
      </c>
    </row>
    <row r="246" spans="1:14">
      <c r="A246" s="358">
        <v>19</v>
      </c>
      <c r="B246" s="949" t="s">
        <v>1598</v>
      </c>
      <c r="C246" s="1052" t="s">
        <v>1796</v>
      </c>
      <c r="D246" s="945" t="s">
        <v>1354</v>
      </c>
      <c r="E246" s="789" t="s">
        <v>3</v>
      </c>
      <c r="F246" s="950" t="s">
        <v>1348</v>
      </c>
      <c r="G246" s="83"/>
      <c r="H246" s="40" t="s">
        <v>1309</v>
      </c>
      <c r="I246" s="829" t="s">
        <v>3</v>
      </c>
      <c r="J246" s="830" t="s">
        <v>1297</v>
      </c>
      <c r="K246" s="437" t="s">
        <v>208</v>
      </c>
      <c r="L246" s="1051" t="s">
        <v>1309</v>
      </c>
      <c r="M246" s="1052" t="s">
        <v>1796</v>
      </c>
      <c r="N246" s="1058" t="s">
        <v>208</v>
      </c>
    </row>
    <row r="247" spans="1:14">
      <c r="A247" s="358">
        <v>20</v>
      </c>
      <c r="B247" s="949" t="s">
        <v>1599</v>
      </c>
      <c r="C247" s="1052" t="s">
        <v>1797</v>
      </c>
      <c r="D247" s="945" t="s">
        <v>723</v>
      </c>
      <c r="E247" s="789" t="s">
        <v>3</v>
      </c>
      <c r="F247" s="950" t="s">
        <v>1356</v>
      </c>
      <c r="G247" s="83"/>
      <c r="H247" s="40" t="s">
        <v>1354</v>
      </c>
      <c r="I247" s="827" t="s">
        <v>3</v>
      </c>
      <c r="J247" s="828" t="s">
        <v>1348</v>
      </c>
      <c r="K247" s="436" t="s">
        <v>208</v>
      </c>
      <c r="L247" s="1051" t="s">
        <v>1354</v>
      </c>
      <c r="M247" s="1052" t="s">
        <v>1797</v>
      </c>
      <c r="N247" s="1055" t="s">
        <v>208</v>
      </c>
    </row>
    <row r="248" spans="1:14">
      <c r="A248" s="358">
        <v>21</v>
      </c>
      <c r="B248" s="949" t="s">
        <v>1600</v>
      </c>
      <c r="C248" s="1052" t="s">
        <v>1798</v>
      </c>
      <c r="D248" s="945" t="s">
        <v>1408</v>
      </c>
      <c r="E248" s="966" t="s">
        <v>24</v>
      </c>
      <c r="F248" s="950" t="s">
        <v>1405</v>
      </c>
      <c r="G248" s="83"/>
      <c r="H248" s="40" t="s">
        <v>1408</v>
      </c>
      <c r="I248" s="427" t="s">
        <v>24</v>
      </c>
      <c r="J248" s="834" t="s">
        <v>1405</v>
      </c>
      <c r="K248" s="824" t="s">
        <v>208</v>
      </c>
      <c r="L248" s="1051" t="s">
        <v>1408</v>
      </c>
      <c r="M248" s="1052" t="s">
        <v>1798</v>
      </c>
      <c r="N248" s="1063" t="s">
        <v>208</v>
      </c>
    </row>
    <row r="249" spans="1:14">
      <c r="A249" s="358">
        <v>22</v>
      </c>
      <c r="B249" s="949" t="s">
        <v>1601</v>
      </c>
      <c r="C249" s="1052" t="s">
        <v>1799</v>
      </c>
      <c r="D249" s="967" t="s">
        <v>1450</v>
      </c>
      <c r="E249" s="789" t="s">
        <v>24</v>
      </c>
      <c r="F249" s="950" t="s">
        <v>1277</v>
      </c>
      <c r="G249" s="83"/>
      <c r="H249" s="40" t="s">
        <v>1290</v>
      </c>
      <c r="I249" s="827" t="s">
        <v>24</v>
      </c>
      <c r="J249" s="828" t="s">
        <v>1277</v>
      </c>
      <c r="K249" s="436" t="s">
        <v>208</v>
      </c>
      <c r="L249" s="1051" t="s">
        <v>1290</v>
      </c>
      <c r="M249" s="1052" t="s">
        <v>1799</v>
      </c>
      <c r="N249" s="1055" t="s">
        <v>208</v>
      </c>
    </row>
    <row r="250" spans="1:14">
      <c r="A250" s="358">
        <v>23</v>
      </c>
      <c r="B250" s="949" t="s">
        <v>1602</v>
      </c>
      <c r="C250" s="1065" t="s">
        <v>1800</v>
      </c>
      <c r="D250" s="945" t="s">
        <v>1338</v>
      </c>
      <c r="E250" s="789" t="s">
        <v>24</v>
      </c>
      <c r="F250" s="950" t="s">
        <v>1315</v>
      </c>
      <c r="G250" s="83"/>
      <c r="H250" s="40" t="s">
        <v>1338</v>
      </c>
      <c r="I250" s="827" t="s">
        <v>24</v>
      </c>
      <c r="J250" s="828" t="s">
        <v>1315</v>
      </c>
      <c r="K250" s="436" t="s">
        <v>208</v>
      </c>
      <c r="L250" s="1051" t="s">
        <v>1338</v>
      </c>
      <c r="M250" s="1065" t="s">
        <v>1800</v>
      </c>
      <c r="N250" s="1055" t="s">
        <v>208</v>
      </c>
    </row>
    <row r="251" spans="1:14">
      <c r="A251" s="358">
        <v>24</v>
      </c>
      <c r="B251" s="949" t="s">
        <v>1603</v>
      </c>
      <c r="C251" s="1052" t="s">
        <v>1801</v>
      </c>
      <c r="D251" s="945" t="s">
        <v>1407</v>
      </c>
      <c r="E251" s="966" t="s">
        <v>24</v>
      </c>
      <c r="F251" s="950" t="s">
        <v>1405</v>
      </c>
      <c r="G251" s="83"/>
      <c r="H251" s="40" t="s">
        <v>1407</v>
      </c>
      <c r="I251" s="427" t="s">
        <v>24</v>
      </c>
      <c r="J251" s="34" t="s">
        <v>1405</v>
      </c>
      <c r="K251" s="136" t="s">
        <v>208</v>
      </c>
      <c r="L251" s="1051" t="s">
        <v>1407</v>
      </c>
      <c r="M251" s="1052" t="s">
        <v>1801</v>
      </c>
      <c r="N251" s="1050" t="s">
        <v>208</v>
      </c>
    </row>
    <row r="252" spans="1:14">
      <c r="A252" s="358">
        <v>25</v>
      </c>
      <c r="B252" s="949" t="s">
        <v>1604</v>
      </c>
      <c r="C252" s="1052" t="s">
        <v>1802</v>
      </c>
      <c r="D252" s="945" t="s">
        <v>1420</v>
      </c>
      <c r="E252" s="789" t="s">
        <v>3</v>
      </c>
      <c r="F252" s="950" t="s">
        <v>1411</v>
      </c>
      <c r="G252" s="83"/>
      <c r="H252" s="34" t="s">
        <v>1420</v>
      </c>
      <c r="I252" s="539" t="s">
        <v>3</v>
      </c>
      <c r="J252" s="447" t="s">
        <v>1411</v>
      </c>
      <c r="K252" s="430" t="s">
        <v>208</v>
      </c>
      <c r="L252" s="1051" t="s">
        <v>1420</v>
      </c>
      <c r="M252" s="1052" t="s">
        <v>1802</v>
      </c>
      <c r="N252" s="1059" t="s">
        <v>208</v>
      </c>
    </row>
    <row r="253" spans="1:14">
      <c r="A253" s="358">
        <v>26</v>
      </c>
      <c r="B253" s="949" t="s">
        <v>1605</v>
      </c>
      <c r="C253" s="1066" t="s">
        <v>1803</v>
      </c>
      <c r="D253" s="945" t="s">
        <v>1409</v>
      </c>
      <c r="E253" s="946" t="s">
        <v>24</v>
      </c>
      <c r="F253" s="950" t="s">
        <v>1405</v>
      </c>
      <c r="G253" s="83"/>
      <c r="H253" s="40" t="s">
        <v>1409</v>
      </c>
      <c r="I253" s="34" t="s">
        <v>24</v>
      </c>
      <c r="J253" s="34" t="s">
        <v>1405</v>
      </c>
      <c r="K253" s="34" t="s">
        <v>208</v>
      </c>
      <c r="L253" s="1051" t="s">
        <v>1409</v>
      </c>
      <c r="M253" s="1066" t="s">
        <v>1803</v>
      </c>
      <c r="N253" s="1050" t="s">
        <v>208</v>
      </c>
    </row>
    <row r="254" spans="1:14">
      <c r="A254" s="358">
        <v>27</v>
      </c>
      <c r="B254" s="949" t="s">
        <v>1606</v>
      </c>
      <c r="C254" s="1052" t="s">
        <v>1804</v>
      </c>
      <c r="D254" s="945" t="s">
        <v>1339</v>
      </c>
      <c r="E254" s="789" t="s">
        <v>24</v>
      </c>
      <c r="F254" s="950" t="s">
        <v>1315</v>
      </c>
      <c r="G254" s="83"/>
      <c r="H254" s="40" t="s">
        <v>1339</v>
      </c>
      <c r="I254" s="827" t="s">
        <v>24</v>
      </c>
      <c r="J254" s="828" t="s">
        <v>1315</v>
      </c>
      <c r="K254" s="436" t="s">
        <v>208</v>
      </c>
      <c r="L254" s="1051" t="s">
        <v>1339</v>
      </c>
      <c r="M254" s="1052" t="s">
        <v>1804</v>
      </c>
      <c r="N254" s="1055" t="s">
        <v>208</v>
      </c>
    </row>
    <row r="255" spans="1:14">
      <c r="A255" s="358">
        <v>28</v>
      </c>
      <c r="B255" s="949" t="s">
        <v>1607</v>
      </c>
      <c r="C255" s="1052" t="s">
        <v>1805</v>
      </c>
      <c r="D255" s="945" t="s">
        <v>1334</v>
      </c>
      <c r="E255" s="789" t="s">
        <v>3</v>
      </c>
      <c r="F255" s="950" t="s">
        <v>1315</v>
      </c>
      <c r="G255" s="83"/>
      <c r="H255" s="40" t="s">
        <v>1334</v>
      </c>
      <c r="I255" s="829" t="s">
        <v>3</v>
      </c>
      <c r="J255" s="830" t="s">
        <v>1315</v>
      </c>
      <c r="K255" s="437" t="s">
        <v>208</v>
      </c>
      <c r="L255" s="1051" t="s">
        <v>1334</v>
      </c>
      <c r="M255" s="1052" t="s">
        <v>1805</v>
      </c>
      <c r="N255" s="1058" t="s">
        <v>208</v>
      </c>
    </row>
    <row r="256" spans="1:14">
      <c r="A256" s="358">
        <v>29</v>
      </c>
      <c r="B256" s="949" t="s">
        <v>1608</v>
      </c>
      <c r="C256" s="1052" t="s">
        <v>1806</v>
      </c>
      <c r="D256" s="945" t="s">
        <v>1403</v>
      </c>
      <c r="E256" s="946" t="s">
        <v>24</v>
      </c>
      <c r="F256" s="964" t="s">
        <v>1386</v>
      </c>
      <c r="G256" s="83"/>
      <c r="H256" s="40" t="s">
        <v>1403</v>
      </c>
      <c r="I256" s="34" t="s">
        <v>24</v>
      </c>
      <c r="J256" s="506" t="s">
        <v>1386</v>
      </c>
      <c r="K256" s="824" t="s">
        <v>208</v>
      </c>
      <c r="L256" s="1051" t="s">
        <v>1403</v>
      </c>
      <c r="M256" s="1052" t="s">
        <v>1806</v>
      </c>
      <c r="N256" s="1063" t="s">
        <v>208</v>
      </c>
    </row>
    <row r="257" spans="1:20">
      <c r="A257" s="358">
        <v>30</v>
      </c>
      <c r="B257" s="949" t="s">
        <v>1609</v>
      </c>
      <c r="C257" s="1052" t="s">
        <v>1807</v>
      </c>
      <c r="D257" s="945" t="s">
        <v>1312</v>
      </c>
      <c r="E257" s="789" t="s">
        <v>24</v>
      </c>
      <c r="F257" s="950" t="s">
        <v>1297</v>
      </c>
      <c r="G257" s="83"/>
      <c r="H257" s="40" t="s">
        <v>1312</v>
      </c>
      <c r="I257" s="827" t="s">
        <v>24</v>
      </c>
      <c r="J257" s="828" t="s">
        <v>1297</v>
      </c>
      <c r="K257" s="436" t="s">
        <v>208</v>
      </c>
      <c r="L257" s="1051" t="s">
        <v>1312</v>
      </c>
      <c r="M257" s="1052" t="s">
        <v>1807</v>
      </c>
      <c r="N257" s="1055" t="s">
        <v>208</v>
      </c>
    </row>
    <row r="258" spans="1:20">
      <c r="A258" s="358">
        <v>31</v>
      </c>
      <c r="B258" s="949" t="s">
        <v>1610</v>
      </c>
      <c r="C258" s="1052" t="s">
        <v>1808</v>
      </c>
      <c r="D258" s="945" t="s">
        <v>1333</v>
      </c>
      <c r="E258" s="789" t="s">
        <v>3</v>
      </c>
      <c r="F258" s="950" t="s">
        <v>1315</v>
      </c>
      <c r="G258" s="83"/>
      <c r="H258" s="40" t="s">
        <v>1333</v>
      </c>
      <c r="I258" s="829" t="s">
        <v>3</v>
      </c>
      <c r="J258" s="830" t="s">
        <v>1315</v>
      </c>
      <c r="K258" s="437" t="s">
        <v>208</v>
      </c>
      <c r="L258" s="1051" t="s">
        <v>1333</v>
      </c>
      <c r="M258" s="1052" t="s">
        <v>1808</v>
      </c>
      <c r="N258" s="1058" t="s">
        <v>208</v>
      </c>
    </row>
    <row r="259" spans="1:20">
      <c r="A259" s="358">
        <v>32</v>
      </c>
      <c r="B259" s="949" t="s">
        <v>1611</v>
      </c>
      <c r="C259" s="1052" t="s">
        <v>1809</v>
      </c>
      <c r="D259" s="945" t="s">
        <v>1313</v>
      </c>
      <c r="E259" s="789" t="s">
        <v>24</v>
      </c>
      <c r="F259" s="950" t="s">
        <v>1297</v>
      </c>
      <c r="G259" s="83"/>
      <c r="H259" s="40" t="s">
        <v>1313</v>
      </c>
      <c r="I259" s="428" t="s">
        <v>24</v>
      </c>
      <c r="J259" s="34" t="s">
        <v>1297</v>
      </c>
      <c r="K259" s="40" t="s">
        <v>208</v>
      </c>
      <c r="L259" s="1051" t="s">
        <v>1313</v>
      </c>
      <c r="M259" s="1052" t="s">
        <v>1809</v>
      </c>
      <c r="N259" s="1050" t="s">
        <v>208</v>
      </c>
    </row>
    <row r="260" spans="1:20" ht="15.75" thickBot="1">
      <c r="A260" s="263"/>
      <c r="B260" s="952"/>
      <c r="C260" s="953"/>
      <c r="D260" s="954"/>
      <c r="E260" s="955"/>
      <c r="F260" s="956"/>
      <c r="H260" s="136"/>
      <c r="I260" s="136"/>
      <c r="J260" s="399"/>
      <c r="O260" s="40"/>
      <c r="P260" s="784"/>
      <c r="Q260" s="293"/>
      <c r="R260" s="276"/>
      <c r="S260" s="275"/>
      <c r="T260" s="276"/>
    </row>
    <row r="261" spans="1:20">
      <c r="A261" s="404" t="s">
        <v>24</v>
      </c>
      <c r="B261" s="518">
        <v>20</v>
      </c>
      <c r="C261" s="395"/>
      <c r="D261" s="395"/>
      <c r="E261" s="394"/>
      <c r="F261" s="519"/>
      <c r="H261" s="429"/>
      <c r="I261" s="136"/>
      <c r="J261" s="399"/>
    </row>
    <row r="262" spans="1:20" ht="15.75" thickBot="1">
      <c r="A262" s="110" t="s">
        <v>3</v>
      </c>
      <c r="B262" s="111">
        <v>12</v>
      </c>
      <c r="C262" s="24"/>
      <c r="D262" s="24"/>
      <c r="E262" s="81"/>
      <c r="F262" s="220"/>
    </row>
    <row r="263" spans="1:20">
      <c r="A263" s="103"/>
      <c r="B263" s="209"/>
      <c r="C263" s="117"/>
      <c r="D263" s="182"/>
      <c r="E263" s="810" t="s">
        <v>1242</v>
      </c>
      <c r="F263" s="103"/>
    </row>
    <row r="264" spans="1:20">
      <c r="D264" s="115"/>
      <c r="E264" s="115" t="s">
        <v>84</v>
      </c>
      <c r="F264" s="115"/>
    </row>
    <row r="265" spans="1:20">
      <c r="D265" s="115"/>
      <c r="E265" s="115"/>
      <c r="F265" s="115"/>
    </row>
    <row r="266" spans="1:20">
      <c r="E266" s="121" t="str">
        <f>WLKLS!B5</f>
        <v>DIANA FITRIA, S.Pd</v>
      </c>
    </row>
    <row r="267" spans="1:20">
      <c r="E267" s="247" t="str">
        <f>WLKLS!C5</f>
        <v>NIP. 199502252024212014</v>
      </c>
    </row>
    <row r="268" spans="1:20" ht="27" customHeight="1"/>
    <row r="270" spans="1:20" ht="3" customHeight="1"/>
    <row r="271" spans="1:20">
      <c r="A271" s="1018" t="s">
        <v>0</v>
      </c>
      <c r="B271" s="1018"/>
      <c r="C271" s="1018"/>
      <c r="D271" s="1018"/>
      <c r="E271" s="1018"/>
      <c r="F271" s="1018"/>
    </row>
    <row r="272" spans="1:20">
      <c r="A272" s="1018" t="s">
        <v>1</v>
      </c>
      <c r="B272" s="1018"/>
      <c r="C272" s="1018"/>
      <c r="D272" s="1018"/>
      <c r="E272" s="1018"/>
      <c r="F272" s="1018"/>
    </row>
    <row r="273" spans="1:7">
      <c r="A273" s="1018" t="s">
        <v>4</v>
      </c>
      <c r="B273" s="1018"/>
      <c r="C273" s="1018"/>
      <c r="D273" s="1018"/>
      <c r="E273" s="1018"/>
      <c r="F273" s="1018"/>
    </row>
    <row r="274" spans="1:7">
      <c r="A274" s="1019" t="s">
        <v>6</v>
      </c>
      <c r="B274" s="1019"/>
      <c r="C274" s="1019"/>
      <c r="D274" s="1019"/>
      <c r="E274" s="1019"/>
      <c r="F274" s="1019"/>
    </row>
    <row r="275" spans="1:7" ht="15.75" thickBot="1">
      <c r="A275" s="1020" t="s">
        <v>7</v>
      </c>
      <c r="B275" s="1020"/>
      <c r="C275" s="1020"/>
      <c r="D275" s="1020"/>
      <c r="E275" s="1020"/>
      <c r="F275" s="1020"/>
    </row>
    <row r="276" spans="1:7" ht="15.75" thickTop="1">
      <c r="A276" s="97"/>
      <c r="B276" s="97"/>
      <c r="C276" s="97"/>
      <c r="D276" s="97"/>
      <c r="E276" s="98"/>
      <c r="F276" s="98"/>
    </row>
    <row r="277" spans="1:7" ht="15.75">
      <c r="A277" s="1021" t="s">
        <v>318</v>
      </c>
      <c r="B277" s="1021"/>
      <c r="C277" s="1021"/>
      <c r="D277" s="1021"/>
      <c r="E277" s="1021"/>
      <c r="F277" s="1021"/>
    </row>
    <row r="278" spans="1:7" ht="15.75">
      <c r="A278" s="1022" t="s">
        <v>643</v>
      </c>
      <c r="B278" s="1022"/>
      <c r="C278" s="1022"/>
      <c r="D278" s="1022"/>
      <c r="E278" s="1022"/>
      <c r="F278" s="1022"/>
    </row>
    <row r="279" spans="1:7" ht="15.75" thickBot="1">
      <c r="A279" s="100"/>
      <c r="B279" s="100"/>
      <c r="C279" s="101"/>
      <c r="D279" s="173"/>
      <c r="E279" s="103"/>
      <c r="F279" s="103"/>
    </row>
    <row r="280" spans="1:7" ht="16.5" thickBot="1">
      <c r="A280" s="1023" t="s">
        <v>13</v>
      </c>
      <c r="B280" s="1024"/>
      <c r="C280" s="1025"/>
      <c r="D280" s="1028" t="s">
        <v>14</v>
      </c>
      <c r="E280" s="1026" t="s">
        <v>15</v>
      </c>
      <c r="F280" s="1028" t="s">
        <v>16</v>
      </c>
    </row>
    <row r="281" spans="1:7" ht="16.5" thickBot="1">
      <c r="A281" s="104" t="s">
        <v>18</v>
      </c>
      <c r="B281" s="104" t="s">
        <v>19</v>
      </c>
      <c r="C281" s="104" t="s">
        <v>20</v>
      </c>
      <c r="D281" s="1029"/>
      <c r="E281" s="1027"/>
      <c r="F281" s="1029"/>
    </row>
    <row r="282" spans="1:7">
      <c r="A282" s="357">
        <v>1</v>
      </c>
      <c r="B282" s="383"/>
      <c r="C282" s="351"/>
      <c r="D282" s="351"/>
      <c r="E282" s="352"/>
      <c r="F282" s="397"/>
      <c r="G282" s="83"/>
    </row>
    <row r="283" spans="1:7">
      <c r="A283" s="358">
        <v>2</v>
      </c>
      <c r="B283" s="457"/>
      <c r="C283" s="432"/>
      <c r="D283" s="426"/>
      <c r="E283" s="433"/>
      <c r="F283" s="444"/>
      <c r="G283" s="83"/>
    </row>
    <row r="284" spans="1:7">
      <c r="A284" s="358">
        <v>3</v>
      </c>
      <c r="B284" s="458"/>
      <c r="C284" s="514"/>
      <c r="D284" s="426"/>
      <c r="E284" s="433"/>
      <c r="F284" s="444"/>
      <c r="G284" s="83"/>
    </row>
    <row r="285" spans="1:7">
      <c r="A285" s="358">
        <v>4</v>
      </c>
      <c r="B285" s="457"/>
      <c r="C285" s="514"/>
      <c r="D285" s="426"/>
      <c r="E285" s="433"/>
      <c r="F285" s="444"/>
      <c r="G285" s="83"/>
    </row>
    <row r="286" spans="1:7">
      <c r="A286" s="358">
        <v>5</v>
      </c>
      <c r="B286" s="458"/>
      <c r="C286" s="432"/>
      <c r="D286" s="426"/>
      <c r="E286" s="433"/>
      <c r="F286" s="444"/>
      <c r="G286" s="83"/>
    </row>
    <row r="287" spans="1:7">
      <c r="A287" s="358">
        <v>6</v>
      </c>
      <c r="B287" s="457"/>
      <c r="C287" s="514"/>
      <c r="D287" s="426"/>
      <c r="E287" s="433"/>
      <c r="F287" s="444"/>
      <c r="G287" s="83"/>
    </row>
    <row r="288" spans="1:7">
      <c r="A288" s="358">
        <v>7</v>
      </c>
      <c r="B288" s="458"/>
      <c r="C288" s="514"/>
      <c r="D288" s="426"/>
      <c r="E288" s="433"/>
      <c r="F288" s="444"/>
      <c r="G288" s="83"/>
    </row>
    <row r="289" spans="1:7">
      <c r="A289" s="358">
        <v>8</v>
      </c>
      <c r="B289" s="457"/>
      <c r="C289" s="426"/>
      <c r="D289" s="426"/>
      <c r="E289" s="433"/>
      <c r="F289" s="444"/>
      <c r="G289" s="83"/>
    </row>
    <row r="290" spans="1:7">
      <c r="A290" s="358">
        <v>9</v>
      </c>
      <c r="B290" s="458"/>
      <c r="C290" s="432"/>
      <c r="D290" s="426"/>
      <c r="E290" s="433"/>
      <c r="F290" s="444"/>
      <c r="G290" s="83"/>
    </row>
    <row r="291" spans="1:7">
      <c r="A291" s="358">
        <v>10</v>
      </c>
      <c r="B291" s="457"/>
      <c r="C291" s="432"/>
      <c r="D291" s="426"/>
      <c r="E291" s="433"/>
      <c r="F291" s="444"/>
      <c r="G291" s="83"/>
    </row>
    <row r="292" spans="1:7">
      <c r="A292" s="358">
        <v>11</v>
      </c>
      <c r="B292" s="458"/>
      <c r="C292" s="432"/>
      <c r="D292" s="426"/>
      <c r="E292" s="433"/>
      <c r="F292" s="444"/>
      <c r="G292" s="83"/>
    </row>
    <row r="293" spans="1:7">
      <c r="A293" s="358">
        <v>12</v>
      </c>
      <c r="B293" s="693"/>
      <c r="C293" s="694"/>
      <c r="D293" s="695"/>
      <c r="E293" s="500"/>
      <c r="F293" s="696"/>
      <c r="G293" s="83"/>
    </row>
    <row r="294" spans="1:7">
      <c r="A294" s="358">
        <v>13</v>
      </c>
      <c r="B294" s="458"/>
      <c r="C294" s="432"/>
      <c r="D294" s="426"/>
      <c r="E294" s="433"/>
      <c r="F294" s="444"/>
      <c r="G294" s="83"/>
    </row>
    <row r="295" spans="1:7">
      <c r="A295" s="358">
        <v>14</v>
      </c>
      <c r="B295" s="457"/>
      <c r="C295" s="514"/>
      <c r="D295" s="426"/>
      <c r="E295" s="433"/>
      <c r="F295" s="444"/>
      <c r="G295" s="83"/>
    </row>
    <row r="296" spans="1:7">
      <c r="A296" s="358">
        <v>15</v>
      </c>
      <c r="B296" s="458"/>
      <c r="C296" s="422"/>
      <c r="D296" s="422"/>
      <c r="E296" s="423"/>
      <c r="F296" s="510"/>
      <c r="G296" s="83"/>
    </row>
    <row r="297" spans="1:7">
      <c r="A297" s="358">
        <v>16</v>
      </c>
      <c r="B297" s="457"/>
      <c r="C297" s="513"/>
      <c r="D297" s="442"/>
      <c r="E297" s="443"/>
      <c r="F297" s="444"/>
      <c r="G297" s="83"/>
    </row>
    <row r="298" spans="1:7">
      <c r="A298" s="358">
        <v>17</v>
      </c>
      <c r="B298" s="458"/>
      <c r="C298" s="432"/>
      <c r="D298" s="426"/>
      <c r="E298" s="433"/>
      <c r="F298" s="444"/>
      <c r="G298" s="83"/>
    </row>
    <row r="299" spans="1:7">
      <c r="A299" s="358">
        <v>18</v>
      </c>
      <c r="B299" s="457"/>
      <c r="C299" s="432"/>
      <c r="D299" s="426"/>
      <c r="E299" s="433"/>
      <c r="F299" s="444"/>
      <c r="G299" s="83"/>
    </row>
    <row r="300" spans="1:7">
      <c r="A300" s="358">
        <v>19</v>
      </c>
      <c r="B300" s="458"/>
      <c r="C300" s="514"/>
      <c r="D300" s="515"/>
      <c r="E300" s="433"/>
      <c r="F300" s="444"/>
      <c r="G300" s="83"/>
    </row>
    <row r="301" spans="1:7">
      <c r="A301" s="358">
        <v>20</v>
      </c>
      <c r="B301" s="457"/>
      <c r="C301" s="514"/>
      <c r="D301" s="426"/>
      <c r="E301" s="433"/>
      <c r="F301" s="444"/>
      <c r="G301" s="83"/>
    </row>
    <row r="302" spans="1:7">
      <c r="A302" s="358">
        <v>21</v>
      </c>
      <c r="B302" s="458"/>
      <c r="C302" s="432"/>
      <c r="D302" s="426"/>
      <c r="E302" s="433"/>
      <c r="F302" s="444"/>
      <c r="G302" s="83"/>
    </row>
    <row r="303" spans="1:7">
      <c r="A303" s="358">
        <v>22</v>
      </c>
      <c r="B303" s="457"/>
      <c r="C303" s="514"/>
      <c r="D303" s="426"/>
      <c r="E303" s="433"/>
      <c r="F303" s="444"/>
      <c r="G303" s="83"/>
    </row>
    <row r="304" spans="1:7">
      <c r="A304" s="358">
        <v>23</v>
      </c>
      <c r="B304" s="458"/>
      <c r="C304" s="432"/>
      <c r="D304" s="426"/>
      <c r="E304" s="433"/>
      <c r="F304" s="444"/>
      <c r="G304" s="83"/>
    </row>
    <row r="305" spans="1:7">
      <c r="A305" s="358">
        <v>24</v>
      </c>
      <c r="B305" s="457"/>
      <c r="C305" s="432"/>
      <c r="D305" s="426"/>
      <c r="E305" s="433"/>
      <c r="F305" s="444"/>
      <c r="G305" s="83"/>
    </row>
    <row r="306" spans="1:7">
      <c r="A306" s="358">
        <v>25</v>
      </c>
      <c r="B306" s="458"/>
      <c r="C306" s="514"/>
      <c r="D306" s="426"/>
      <c r="E306" s="433"/>
      <c r="F306" s="444"/>
      <c r="G306" s="83"/>
    </row>
    <row r="307" spans="1:7">
      <c r="A307" s="358">
        <v>26</v>
      </c>
      <c r="B307" s="457"/>
      <c r="C307" s="432"/>
      <c r="D307" s="426"/>
      <c r="E307" s="433"/>
      <c r="F307" s="444"/>
      <c r="G307" s="83"/>
    </row>
    <row r="308" spans="1:7">
      <c r="A308" s="358">
        <v>27</v>
      </c>
      <c r="B308" s="458"/>
      <c r="C308" s="571"/>
      <c r="D308" s="572"/>
      <c r="E308" s="573"/>
      <c r="F308" s="574"/>
      <c r="G308" s="83"/>
    </row>
    <row r="309" spans="1:7">
      <c r="A309" s="358"/>
      <c r="B309" s="457"/>
      <c r="C309" s="499"/>
      <c r="D309" s="523"/>
      <c r="E309" s="524"/>
      <c r="F309" s="527"/>
      <c r="G309" s="83"/>
    </row>
    <row r="310" spans="1:7">
      <c r="A310" s="358"/>
      <c r="B310" s="458"/>
      <c r="C310" s="499"/>
      <c r="D310" s="523"/>
      <c r="E310" s="524"/>
      <c r="F310" s="528"/>
      <c r="G310" s="83"/>
    </row>
    <row r="311" spans="1:7">
      <c r="A311" s="358"/>
      <c r="B311" s="457"/>
      <c r="C311" s="499"/>
      <c r="D311" s="523"/>
      <c r="E311" s="524"/>
      <c r="F311" s="528"/>
      <c r="G311" s="83"/>
    </row>
    <row r="312" spans="1:7">
      <c r="A312" s="358"/>
      <c r="B312" s="458"/>
      <c r="C312" s="499"/>
      <c r="D312" s="523"/>
      <c r="E312" s="524"/>
      <c r="F312" s="529"/>
      <c r="G312" s="83"/>
    </row>
    <row r="313" spans="1:7">
      <c r="A313" s="358"/>
      <c r="B313" s="457"/>
      <c r="C313" s="499"/>
      <c r="D313" s="525"/>
      <c r="E313" s="499"/>
      <c r="F313" s="526"/>
      <c r="G313" s="83" t="s">
        <v>320</v>
      </c>
    </row>
    <row r="314" spans="1:7" ht="15.75" thickBot="1">
      <c r="A314" s="359"/>
      <c r="B314" s="381"/>
      <c r="C314" s="392"/>
      <c r="D314" s="392"/>
      <c r="E314" s="381"/>
      <c r="F314" s="509"/>
    </row>
    <row r="315" spans="1:7">
      <c r="A315" s="404" t="s">
        <v>24</v>
      </c>
      <c r="B315" s="394">
        <v>12</v>
      </c>
      <c r="C315" s="395"/>
      <c r="D315" s="395"/>
      <c r="E315" s="394"/>
      <c r="F315" s="519"/>
    </row>
    <row r="316" spans="1:7" ht="15.75" thickBot="1">
      <c r="A316" s="110" t="s">
        <v>3</v>
      </c>
      <c r="B316" s="111">
        <v>14</v>
      </c>
      <c r="C316" s="24"/>
      <c r="D316" s="24"/>
      <c r="E316" s="81"/>
      <c r="F316" s="220"/>
    </row>
    <row r="317" spans="1:7">
      <c r="A317" s="103"/>
      <c r="B317" s="209"/>
      <c r="C317" s="117"/>
      <c r="D317" s="182"/>
      <c r="E317" s="461" t="s">
        <v>642</v>
      </c>
      <c r="F317" s="103"/>
    </row>
    <row r="318" spans="1:7">
      <c r="A318" s="103"/>
      <c r="B318" s="117"/>
      <c r="C318" s="115"/>
      <c r="D318" s="115"/>
      <c r="E318" s="115" t="s">
        <v>84</v>
      </c>
      <c r="F318" s="115"/>
    </row>
    <row r="319" spans="1:7">
      <c r="A319" s="103"/>
      <c r="B319" s="117"/>
      <c r="C319" s="115"/>
      <c r="D319" s="115"/>
      <c r="E319" s="115"/>
      <c r="F319" s="115"/>
    </row>
    <row r="320" spans="1:7">
      <c r="E320" s="121">
        <f>WLKLS!B6</f>
        <v>0</v>
      </c>
    </row>
    <row r="321" spans="1:6">
      <c r="E321" s="247">
        <f>WLKLS!C6</f>
        <v>0</v>
      </c>
    </row>
    <row r="325" spans="1:6">
      <c r="A325" s="1018" t="s">
        <v>0</v>
      </c>
      <c r="B325" s="1018"/>
      <c r="C325" s="1018"/>
      <c r="D325" s="1018"/>
      <c r="E325" s="1018"/>
      <c r="F325" s="1018"/>
    </row>
    <row r="326" spans="1:6">
      <c r="A326" s="1018" t="s">
        <v>1</v>
      </c>
      <c r="B326" s="1018"/>
      <c r="C326" s="1018"/>
      <c r="D326" s="1018"/>
      <c r="E326" s="1018"/>
      <c r="F326" s="1018"/>
    </row>
    <row r="327" spans="1:6">
      <c r="A327" s="1018" t="s">
        <v>4</v>
      </c>
      <c r="B327" s="1018"/>
      <c r="C327" s="1018"/>
      <c r="D327" s="1018"/>
      <c r="E327" s="1018"/>
      <c r="F327" s="1018"/>
    </row>
    <row r="328" spans="1:6">
      <c r="A328" s="1019" t="s">
        <v>317</v>
      </c>
      <c r="B328" s="1019"/>
      <c r="C328" s="1019"/>
      <c r="D328" s="1019"/>
      <c r="E328" s="1019"/>
      <c r="F328" s="1019"/>
    </row>
    <row r="329" spans="1:6" ht="15.75" thickBot="1">
      <c r="A329" s="1020" t="s">
        <v>7</v>
      </c>
      <c r="B329" s="1020"/>
      <c r="C329" s="1020"/>
      <c r="D329" s="1020"/>
      <c r="E329" s="1020"/>
      <c r="F329" s="1020"/>
    </row>
    <row r="330" spans="1:6" ht="15.75" thickTop="1">
      <c r="A330" s="97"/>
      <c r="B330" s="97"/>
      <c r="C330" s="97"/>
      <c r="D330" s="97"/>
      <c r="E330" s="98"/>
      <c r="F330" s="98"/>
    </row>
    <row r="331" spans="1:6" ht="15.75">
      <c r="A331" s="1021" t="s">
        <v>322</v>
      </c>
      <c r="B331" s="1021"/>
      <c r="C331" s="1021"/>
      <c r="D331" s="1021"/>
      <c r="E331" s="1021"/>
      <c r="F331" s="1021"/>
    </row>
    <row r="332" spans="1:6" ht="15.75">
      <c r="A332" s="1022" t="s">
        <v>323</v>
      </c>
      <c r="B332" s="1022"/>
      <c r="C332" s="1022"/>
      <c r="D332" s="1022"/>
      <c r="E332" s="1022"/>
      <c r="F332" s="1022"/>
    </row>
    <row r="333" spans="1:6" ht="15.75" thickBot="1">
      <c r="A333" s="100"/>
      <c r="B333" s="100"/>
      <c r="C333" s="101"/>
      <c r="D333" s="173"/>
      <c r="E333" s="103"/>
      <c r="F333" s="103"/>
    </row>
    <row r="334" spans="1:6" ht="16.5" thickBot="1">
      <c r="A334" s="1023" t="s">
        <v>13</v>
      </c>
      <c r="B334" s="1024"/>
      <c r="C334" s="1025"/>
      <c r="D334" s="1028" t="s">
        <v>14</v>
      </c>
      <c r="E334" s="1026" t="s">
        <v>15</v>
      </c>
      <c r="F334" s="1028" t="s">
        <v>16</v>
      </c>
    </row>
    <row r="335" spans="1:6" ht="16.5" thickBot="1">
      <c r="A335" s="104" t="s">
        <v>18</v>
      </c>
      <c r="B335" s="104" t="s">
        <v>19</v>
      </c>
      <c r="C335" s="104" t="s">
        <v>20</v>
      </c>
      <c r="D335" s="1029"/>
      <c r="E335" s="1027"/>
      <c r="F335" s="1029"/>
    </row>
    <row r="336" spans="1:6">
      <c r="A336" s="184">
        <v>1</v>
      </c>
      <c r="B336" s="221"/>
      <c r="C336" s="166"/>
      <c r="D336" s="222"/>
      <c r="E336" s="223"/>
      <c r="F336" s="233"/>
    </row>
    <row r="337" spans="1:6">
      <c r="A337" s="144">
        <v>2</v>
      </c>
      <c r="B337" s="73"/>
      <c r="C337" s="147"/>
      <c r="D337" s="226"/>
      <c r="E337" s="227"/>
      <c r="F337" s="229"/>
    </row>
    <row r="338" spans="1:6">
      <c r="A338" s="144">
        <v>3</v>
      </c>
      <c r="B338" s="73"/>
      <c r="C338" s="73"/>
      <c r="D338" s="226"/>
      <c r="E338" s="227"/>
      <c r="F338" s="148"/>
    </row>
    <row r="339" spans="1:6">
      <c r="A339" s="144">
        <v>4</v>
      </c>
      <c r="B339" s="73"/>
      <c r="C339" s="147"/>
      <c r="D339" s="226"/>
      <c r="E339" s="227"/>
      <c r="F339" s="148"/>
    </row>
    <row r="340" spans="1:6">
      <c r="A340" s="144">
        <v>5</v>
      </c>
      <c r="B340" s="73"/>
      <c r="C340" s="134"/>
      <c r="D340" s="226"/>
      <c r="E340" s="227"/>
      <c r="F340" s="148"/>
    </row>
    <row r="341" spans="1:6">
      <c r="A341" s="144">
        <v>6</v>
      </c>
      <c r="B341" s="73"/>
      <c r="C341" s="134"/>
      <c r="D341" s="226"/>
      <c r="E341" s="227"/>
      <c r="F341" s="148"/>
    </row>
    <row r="342" spans="1:6">
      <c r="A342" s="144">
        <v>7</v>
      </c>
      <c r="B342" s="73"/>
      <c r="C342" s="147"/>
      <c r="D342" s="226"/>
      <c r="E342" s="147"/>
      <c r="F342" s="148"/>
    </row>
    <row r="343" spans="1:6">
      <c r="A343" s="144">
        <v>8</v>
      </c>
      <c r="B343" s="73"/>
      <c r="C343" s="134"/>
      <c r="D343" s="226"/>
      <c r="E343" s="227"/>
      <c r="F343" s="148"/>
    </row>
    <row r="344" spans="1:6">
      <c r="A344" s="144">
        <v>9</v>
      </c>
      <c r="B344" s="73"/>
      <c r="C344" s="147"/>
      <c r="D344" s="226"/>
      <c r="E344" s="227"/>
      <c r="F344" s="229"/>
    </row>
    <row r="345" spans="1:6">
      <c r="A345" s="144">
        <v>10</v>
      </c>
      <c r="B345" s="227"/>
      <c r="C345" s="227"/>
      <c r="D345" s="234"/>
      <c r="E345" s="227"/>
      <c r="F345" s="231"/>
    </row>
    <row r="346" spans="1:6">
      <c r="A346" s="144">
        <v>11</v>
      </c>
      <c r="B346" s="73"/>
      <c r="C346" s="147"/>
      <c r="D346" s="226"/>
      <c r="E346" s="227"/>
      <c r="F346" s="229"/>
    </row>
    <row r="347" spans="1:6">
      <c r="A347" s="144">
        <v>12</v>
      </c>
      <c r="B347" s="73"/>
      <c r="C347" s="134"/>
      <c r="D347" s="226"/>
      <c r="E347" s="227"/>
      <c r="F347" s="148"/>
    </row>
    <row r="348" spans="1:6">
      <c r="A348" s="144">
        <v>13</v>
      </c>
      <c r="B348" s="73"/>
      <c r="C348" s="147"/>
      <c r="D348" s="226"/>
      <c r="E348" s="147"/>
      <c r="F348" s="148"/>
    </row>
    <row r="349" spans="1:6">
      <c r="A349" s="144">
        <v>14</v>
      </c>
      <c r="B349" s="73"/>
      <c r="C349" s="147"/>
      <c r="D349" s="226"/>
      <c r="E349" s="147"/>
      <c r="F349" s="148"/>
    </row>
    <row r="350" spans="1:6">
      <c r="A350" s="144">
        <v>15</v>
      </c>
      <c r="B350" s="73"/>
      <c r="C350" s="134"/>
      <c r="D350" s="226"/>
      <c r="E350" s="227"/>
      <c r="F350" s="148"/>
    </row>
    <row r="351" spans="1:6">
      <c r="A351" s="144">
        <v>16</v>
      </c>
      <c r="B351" s="73"/>
      <c r="C351" s="147"/>
      <c r="D351" s="226"/>
      <c r="E351" s="227"/>
      <c r="F351" s="228"/>
    </row>
    <row r="352" spans="1:6">
      <c r="A352" s="144">
        <v>17</v>
      </c>
      <c r="B352" s="224"/>
      <c r="C352" s="147"/>
      <c r="D352" s="235"/>
      <c r="E352" s="147"/>
      <c r="F352" s="148"/>
    </row>
    <row r="353" spans="1:6">
      <c r="A353" s="144">
        <v>18</v>
      </c>
      <c r="B353" s="73"/>
      <c r="C353" s="147"/>
      <c r="D353" s="226"/>
      <c r="E353" s="147"/>
      <c r="F353" s="148"/>
    </row>
    <row r="354" spans="1:6">
      <c r="A354" s="144">
        <v>19</v>
      </c>
      <c r="B354" s="73"/>
      <c r="C354" s="147"/>
      <c r="D354" s="226"/>
      <c r="E354" s="227"/>
      <c r="F354" s="148"/>
    </row>
    <row r="355" spans="1:6">
      <c r="A355" s="144">
        <v>20</v>
      </c>
      <c r="B355" s="73"/>
      <c r="C355" s="147"/>
      <c r="D355" s="226"/>
      <c r="E355" s="227"/>
      <c r="F355" s="228"/>
    </row>
    <row r="356" spans="1:6">
      <c r="A356" s="144">
        <v>21</v>
      </c>
      <c r="B356" s="73"/>
      <c r="C356" s="147"/>
      <c r="D356" s="226"/>
      <c r="E356" s="227"/>
      <c r="F356" s="231"/>
    </row>
    <row r="357" spans="1:6">
      <c r="A357" s="144">
        <v>22</v>
      </c>
      <c r="B357" s="73"/>
      <c r="C357" s="147"/>
      <c r="D357" s="226"/>
      <c r="E357" s="227"/>
      <c r="F357" s="228"/>
    </row>
    <row r="358" spans="1:6">
      <c r="A358" s="144">
        <v>23</v>
      </c>
      <c r="B358" s="224"/>
      <c r="C358" s="147"/>
      <c r="D358" s="230"/>
      <c r="E358" s="147"/>
      <c r="F358" s="148"/>
    </row>
    <row r="359" spans="1:6">
      <c r="A359" s="144">
        <v>24</v>
      </c>
      <c r="B359" s="73"/>
      <c r="C359" s="134"/>
      <c r="D359" s="226"/>
      <c r="E359" s="227"/>
      <c r="F359" s="148"/>
    </row>
    <row r="360" spans="1:6">
      <c r="A360" s="144">
        <v>25</v>
      </c>
      <c r="B360" s="224"/>
      <c r="C360" s="147"/>
      <c r="D360" s="225"/>
      <c r="E360" s="147"/>
      <c r="F360" s="148"/>
    </row>
    <row r="361" spans="1:6">
      <c r="A361" s="144">
        <v>26</v>
      </c>
      <c r="B361" s="73"/>
      <c r="C361" s="147"/>
      <c r="D361" s="226"/>
      <c r="E361" s="227"/>
      <c r="F361" s="228"/>
    </row>
    <row r="362" spans="1:6">
      <c r="A362" s="144">
        <v>27</v>
      </c>
      <c r="B362" s="224"/>
      <c r="C362" s="147"/>
      <c r="D362" s="225"/>
      <c r="E362" s="147"/>
      <c r="F362" s="229"/>
    </row>
    <row r="363" spans="1:6">
      <c r="A363" s="144">
        <v>28</v>
      </c>
      <c r="B363" s="73"/>
      <c r="C363" s="147"/>
      <c r="D363" s="226"/>
      <c r="E363" s="147"/>
      <c r="F363" s="148"/>
    </row>
    <row r="364" spans="1:6">
      <c r="A364" s="144">
        <v>29</v>
      </c>
      <c r="B364" s="73"/>
      <c r="C364" s="147"/>
      <c r="D364" s="226"/>
      <c r="E364" s="227"/>
      <c r="F364" s="228"/>
    </row>
    <row r="365" spans="1:6">
      <c r="A365" s="144">
        <v>30</v>
      </c>
      <c r="B365" s="73"/>
      <c r="C365" s="147"/>
      <c r="D365" s="226"/>
      <c r="E365" s="227"/>
      <c r="F365" s="228"/>
    </row>
    <row r="366" spans="1:6">
      <c r="A366" s="144">
        <v>31</v>
      </c>
      <c r="B366" s="73"/>
      <c r="C366" s="147"/>
      <c r="D366" s="226"/>
      <c r="E366" s="227"/>
      <c r="F366" s="231"/>
    </row>
    <row r="367" spans="1:6">
      <c r="A367" s="144">
        <v>32</v>
      </c>
      <c r="B367" s="73"/>
      <c r="C367" s="147"/>
      <c r="D367" s="226"/>
      <c r="E367" s="227"/>
      <c r="F367" s="231"/>
    </row>
    <row r="368" spans="1:6">
      <c r="A368" s="232">
        <v>33</v>
      </c>
      <c r="B368" s="236"/>
      <c r="C368" s="237"/>
      <c r="D368" s="238"/>
      <c r="E368" s="239"/>
      <c r="F368" s="240"/>
    </row>
    <row r="369" spans="1:6">
      <c r="A369" s="144">
        <v>34</v>
      </c>
      <c r="B369" s="73"/>
      <c r="C369" s="147"/>
      <c r="D369" s="226"/>
      <c r="E369" s="227"/>
      <c r="F369" s="231"/>
    </row>
    <row r="370" spans="1:6" ht="15.75" thickBot="1">
      <c r="A370" s="186">
        <v>35</v>
      </c>
      <c r="B370" s="241"/>
      <c r="C370" s="242"/>
      <c r="D370" s="243"/>
      <c r="E370" s="244"/>
      <c r="F370" s="245"/>
    </row>
    <row r="371" spans="1:6">
      <c r="A371" s="109" t="s">
        <v>24</v>
      </c>
      <c r="B371" s="128"/>
      <c r="C371" s="129"/>
      <c r="D371" s="129"/>
      <c r="E371" s="128"/>
      <c r="F371" s="131"/>
    </row>
    <row r="372" spans="1:6" ht="15.75" thickBot="1">
      <c r="A372" s="198" t="s">
        <v>3</v>
      </c>
      <c r="B372" s="81"/>
      <c r="C372" s="24"/>
      <c r="D372" s="24"/>
      <c r="E372" s="81"/>
      <c r="F372" s="220"/>
    </row>
    <row r="373" spans="1:6">
      <c r="A373" s="103"/>
      <c r="B373" s="209"/>
      <c r="C373" s="117"/>
      <c r="D373" s="182"/>
      <c r="E373" s="115" t="s">
        <v>321</v>
      </c>
      <c r="F373" s="103"/>
    </row>
    <row r="374" spans="1:6">
      <c r="A374" s="103"/>
      <c r="B374" s="117"/>
      <c r="C374" s="115"/>
      <c r="D374" s="115"/>
      <c r="E374" s="115" t="s">
        <v>84</v>
      </c>
      <c r="F374" s="115"/>
    </row>
    <row r="375" spans="1:6">
      <c r="A375" s="103"/>
      <c r="B375" s="117"/>
      <c r="C375" s="115"/>
      <c r="D375" s="115"/>
      <c r="E375" s="115"/>
      <c r="F375" s="115"/>
    </row>
    <row r="376" spans="1:6">
      <c r="E376" s="164" t="s">
        <v>324</v>
      </c>
    </row>
    <row r="377" spans="1:6">
      <c r="E377" s="16" t="s">
        <v>325</v>
      </c>
    </row>
  </sheetData>
  <sortState ref="H184:K215">
    <sortCondition ref="H140:H171"/>
  </sortState>
  <mergeCells count="77">
    <mergeCell ref="E334:E335"/>
    <mergeCell ref="F10:F11"/>
    <mergeCell ref="F64:F65"/>
    <mergeCell ref="F118:F119"/>
    <mergeCell ref="F172:F173"/>
    <mergeCell ref="F226:F227"/>
    <mergeCell ref="F280:F281"/>
    <mergeCell ref="F334:F335"/>
    <mergeCell ref="A325:F325"/>
    <mergeCell ref="A326:F326"/>
    <mergeCell ref="E280:E281"/>
    <mergeCell ref="A271:F271"/>
    <mergeCell ref="A272:F272"/>
    <mergeCell ref="A273:F273"/>
    <mergeCell ref="A274:F274"/>
    <mergeCell ref="A275:F275"/>
    <mergeCell ref="A334:C334"/>
    <mergeCell ref="D10:D11"/>
    <mergeCell ref="D64:D65"/>
    <mergeCell ref="D118:D119"/>
    <mergeCell ref="D172:D173"/>
    <mergeCell ref="D226:D227"/>
    <mergeCell ref="D280:D281"/>
    <mergeCell ref="D334:D335"/>
    <mergeCell ref="A327:F327"/>
    <mergeCell ref="A328:F328"/>
    <mergeCell ref="A329:F329"/>
    <mergeCell ref="A331:F331"/>
    <mergeCell ref="A332:F332"/>
    <mergeCell ref="A277:F277"/>
    <mergeCell ref="A278:F278"/>
    <mergeCell ref="A280:C280"/>
    <mergeCell ref="A220:F220"/>
    <mergeCell ref="A221:F221"/>
    <mergeCell ref="A223:F223"/>
    <mergeCell ref="A224:F224"/>
    <mergeCell ref="A226:C226"/>
    <mergeCell ref="E226:E227"/>
    <mergeCell ref="A170:F170"/>
    <mergeCell ref="A172:C172"/>
    <mergeCell ref="A217:F217"/>
    <mergeCell ref="A218:F218"/>
    <mergeCell ref="A219:F219"/>
    <mergeCell ref="E172:E173"/>
    <mergeCell ref="A164:F164"/>
    <mergeCell ref="A165:F165"/>
    <mergeCell ref="A166:F166"/>
    <mergeCell ref="A167:F167"/>
    <mergeCell ref="A169:F169"/>
    <mergeCell ref="A113:F113"/>
    <mergeCell ref="A115:F115"/>
    <mergeCell ref="A116:F116"/>
    <mergeCell ref="A118:C118"/>
    <mergeCell ref="A163:F163"/>
    <mergeCell ref="E118:E119"/>
    <mergeCell ref="A64:C64"/>
    <mergeCell ref="A109:F109"/>
    <mergeCell ref="A110:F110"/>
    <mergeCell ref="A111:F111"/>
    <mergeCell ref="A112:F112"/>
    <mergeCell ref="E64:E65"/>
    <mergeCell ref="A57:F57"/>
    <mergeCell ref="A58:F58"/>
    <mergeCell ref="A59:F59"/>
    <mergeCell ref="A61:F61"/>
    <mergeCell ref="A62:F62"/>
    <mergeCell ref="A7:F7"/>
    <mergeCell ref="A8:F8"/>
    <mergeCell ref="A10:C10"/>
    <mergeCell ref="A55:F55"/>
    <mergeCell ref="A56:F56"/>
    <mergeCell ref="E10:E11"/>
    <mergeCell ref="A1:F1"/>
    <mergeCell ref="A2:F2"/>
    <mergeCell ref="A3:F3"/>
    <mergeCell ref="A4:F4"/>
    <mergeCell ref="A5:F5"/>
  </mergeCells>
  <conditionalFormatting sqref="E306:F306 O120:R136 Q137:R137 O137 V137:Y138 P193:S193 P195 R195 O140:O191 R147:R156 P147:P156 Q141:R141 T147 T149:T168 T170 T142 R209 P209 R212 P212 L180:L198 I179:I199 I201:I203 I174:I177 I136:L151 J174:L176 N188:N205 N228:N229">
    <cfRule type="cellIs" dxfId="40" priority="19" operator="equal">
      <formula>0</formula>
    </cfRule>
  </conditionalFormatting>
  <conditionalFormatting sqref="K180:L180">
    <cfRule type="cellIs" dxfId="39" priority="9" operator="equal">
      <formula>0</formula>
    </cfRule>
  </conditionalFormatting>
  <conditionalFormatting sqref="N186 N231">
    <cfRule type="cellIs" dxfId="38" priority="8" operator="equal">
      <formula>0</formula>
    </cfRule>
  </conditionalFormatting>
  <conditionalFormatting sqref="E180:E199 E201:E203">
    <cfRule type="cellIs" dxfId="36" priority="6" operator="equal">
      <formula>0</formula>
    </cfRule>
  </conditionalFormatting>
  <conditionalFormatting sqref="F180:G198">
    <cfRule type="cellIs" dxfId="35" priority="5" operator="equal">
      <formula>0</formula>
    </cfRule>
  </conditionalFormatting>
  <conditionalFormatting sqref="G202">
    <cfRule type="cellIs" dxfId="34" priority="4" operator="equal">
      <formula>0</formula>
    </cfRule>
  </conditionalFormatting>
  <conditionalFormatting sqref="J180:K198">
    <cfRule type="cellIs" dxfId="33" priority="3" operator="equal">
      <formula>0</formula>
    </cfRule>
  </conditionalFormatting>
  <conditionalFormatting sqref="K202:L202">
    <cfRule type="cellIs" dxfId="32" priority="2" operator="equal">
      <formula>0</formula>
    </cfRule>
  </conditionalFormatting>
  <conditionalFormatting sqref="N230 N232:N251 N253">
    <cfRule type="cellIs" dxfId="31" priority="1" operator="equal">
      <formula>0</formula>
    </cfRule>
  </conditionalFormatting>
  <pageMargins left="0.95" right="0.45" top="0.75" bottom="0.5" header="0.3" footer="0.3"/>
  <pageSetup paperSize="9" scale="9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0"/>
  <sheetViews>
    <sheetView topLeftCell="A214" workbookViewId="0">
      <selection activeCell="B234" sqref="B234"/>
    </sheetView>
  </sheetViews>
  <sheetFormatPr defaultColWidth="9" defaultRowHeight="15"/>
  <cols>
    <col min="1" max="1" width="7.5703125" customWidth="1"/>
    <col min="2" max="2" width="14.85546875" style="16" customWidth="1"/>
    <col min="3" max="3" width="14.85546875" customWidth="1"/>
    <col min="4" max="4" width="24.140625" customWidth="1"/>
    <col min="5" max="5" width="5.42578125" style="16" customWidth="1"/>
    <col min="6" max="6" width="15.85546875" customWidth="1"/>
    <col min="8" max="8" width="9.140625" style="34"/>
    <col min="9" max="23" width="9" style="34"/>
  </cols>
  <sheetData>
    <row r="1" spans="1:34">
      <c r="A1" s="1018" t="s">
        <v>0</v>
      </c>
      <c r="B1" s="1018"/>
      <c r="C1" s="1018"/>
      <c r="D1" s="1018"/>
      <c r="E1" s="1018"/>
      <c r="F1" s="1018"/>
      <c r="G1" s="31"/>
    </row>
    <row r="2" spans="1:34">
      <c r="A2" s="1018" t="s">
        <v>1</v>
      </c>
      <c r="B2" s="1018"/>
      <c r="C2" s="1018"/>
      <c r="D2" s="1018"/>
      <c r="E2" s="1018"/>
      <c r="F2" s="1018"/>
      <c r="G2" s="31"/>
    </row>
    <row r="3" spans="1:34">
      <c r="A3" s="1018" t="s">
        <v>4</v>
      </c>
      <c r="B3" s="1018"/>
      <c r="C3" s="1018"/>
      <c r="D3" s="1018"/>
      <c r="E3" s="1018"/>
      <c r="F3" s="1018"/>
      <c r="G3" s="31"/>
    </row>
    <row r="4" spans="1:34">
      <c r="A4" s="1019" t="s">
        <v>6</v>
      </c>
      <c r="B4" s="1019"/>
      <c r="C4" s="1019"/>
      <c r="D4" s="1019"/>
      <c r="E4" s="1019"/>
      <c r="F4" s="1019"/>
      <c r="G4" s="32"/>
    </row>
    <row r="5" spans="1:34" ht="15.75" thickBot="1">
      <c r="A5" s="1020" t="s">
        <v>7</v>
      </c>
      <c r="B5" s="1020"/>
      <c r="C5" s="1020"/>
      <c r="D5" s="1020"/>
      <c r="E5" s="1020"/>
      <c r="F5" s="1020"/>
      <c r="G5" s="33"/>
    </row>
    <row r="6" spans="1:34" ht="15.75" thickTop="1">
      <c r="A6" s="97"/>
      <c r="B6" s="98"/>
      <c r="C6" s="97"/>
      <c r="D6" s="97"/>
      <c r="E6" s="98"/>
      <c r="F6" s="97"/>
    </row>
    <row r="7" spans="1:34" ht="15.75">
      <c r="A7" s="1021" t="s">
        <v>1046</v>
      </c>
      <c r="B7" s="1021"/>
      <c r="C7" s="1021"/>
      <c r="D7" s="1021"/>
      <c r="E7" s="1021"/>
      <c r="F7" s="1021"/>
    </row>
    <row r="8" spans="1:34" ht="15.75">
      <c r="A8" s="1022" t="s">
        <v>1241</v>
      </c>
      <c r="B8" s="1022"/>
      <c r="C8" s="1022"/>
      <c r="D8" s="1022"/>
      <c r="E8" s="1022"/>
      <c r="F8" s="1022"/>
    </row>
    <row r="9" spans="1:34" ht="15.75" thickBot="1">
      <c r="A9" s="100"/>
      <c r="B9" s="100"/>
      <c r="C9" s="101"/>
      <c r="D9" s="173"/>
      <c r="E9" s="103"/>
      <c r="F9" s="117"/>
      <c r="H9" s="174"/>
      <c r="I9" s="174"/>
      <c r="J9" s="174"/>
    </row>
    <row r="10" spans="1:34" ht="16.5" thickBot="1">
      <c r="A10" s="1023" t="s">
        <v>13</v>
      </c>
      <c r="B10" s="1024"/>
      <c r="C10" s="1025"/>
      <c r="D10" s="1028" t="s">
        <v>14</v>
      </c>
      <c r="E10" s="1026" t="s">
        <v>15</v>
      </c>
      <c r="F10" s="1028" t="s">
        <v>326</v>
      </c>
      <c r="P10" s="537"/>
      <c r="Q10" s="139"/>
      <c r="R10" s="371"/>
      <c r="S10" s="373"/>
      <c r="T10" s="56"/>
      <c r="U10" s="210"/>
      <c r="V10" s="537"/>
    </row>
    <row r="11" spans="1:34" ht="17.25" thickBot="1">
      <c r="A11" s="296" t="s">
        <v>18</v>
      </c>
      <c r="B11" s="296" t="s">
        <v>19</v>
      </c>
      <c r="C11" s="296" t="s">
        <v>20</v>
      </c>
      <c r="D11" s="1029"/>
      <c r="E11" s="1027"/>
      <c r="F11" s="1029"/>
      <c r="H11" s="44"/>
      <c r="I11" s="44"/>
      <c r="J11" s="44"/>
      <c r="Q11" s="139"/>
      <c r="R11" s="371"/>
      <c r="S11" s="373"/>
      <c r="T11" s="56"/>
      <c r="U11" s="210"/>
      <c r="V11" s="537"/>
    </row>
    <row r="12" spans="1:34">
      <c r="A12" s="348">
        <v>1</v>
      </c>
      <c r="B12" s="936" t="s">
        <v>943</v>
      </c>
      <c r="C12" s="937" t="s">
        <v>778</v>
      </c>
      <c r="D12" s="875" t="s">
        <v>777</v>
      </c>
      <c r="E12" s="938" t="s">
        <v>3</v>
      </c>
      <c r="F12" s="939" t="s">
        <v>333</v>
      </c>
      <c r="G12">
        <v>1</v>
      </c>
      <c r="H12" s="139" t="s">
        <v>887</v>
      </c>
      <c r="I12" s="428" t="s">
        <v>665</v>
      </c>
      <c r="J12" s="34" t="s">
        <v>664</v>
      </c>
      <c r="K12" s="40" t="s">
        <v>3</v>
      </c>
      <c r="L12" s="838" t="s">
        <v>330</v>
      </c>
      <c r="M12" s="857" t="s">
        <v>2</v>
      </c>
      <c r="N12" s="139" t="s">
        <v>887</v>
      </c>
      <c r="O12" s="428" t="s">
        <v>665</v>
      </c>
      <c r="P12" s="34" t="s">
        <v>664</v>
      </c>
      <c r="Q12" s="40" t="s">
        <v>3</v>
      </c>
      <c r="R12" s="838" t="s">
        <v>330</v>
      </c>
      <c r="S12" s="857" t="s">
        <v>2</v>
      </c>
      <c r="T12" s="56"/>
      <c r="U12" s="139">
        <v>1</v>
      </c>
      <c r="V12" s="139" t="s">
        <v>887</v>
      </c>
      <c r="W12" s="428" t="s">
        <v>665</v>
      </c>
      <c r="X12" s="34" t="s">
        <v>664</v>
      </c>
      <c r="Y12" s="40" t="s">
        <v>3</v>
      </c>
      <c r="Z12" s="838" t="s">
        <v>330</v>
      </c>
      <c r="AC12" s="440">
        <v>1</v>
      </c>
      <c r="AD12" s="440" t="s">
        <v>886</v>
      </c>
      <c r="AE12" s="660" t="s">
        <v>819</v>
      </c>
      <c r="AF12" s="661" t="s">
        <v>818</v>
      </c>
      <c r="AG12" s="662" t="s">
        <v>3</v>
      </c>
      <c r="AH12" s="838" t="s">
        <v>330</v>
      </c>
    </row>
    <row r="13" spans="1:34" ht="15.75" thickBot="1">
      <c r="A13" s="354">
        <v>2</v>
      </c>
      <c r="B13" s="458" t="s">
        <v>996</v>
      </c>
      <c r="C13" s="432" t="s">
        <v>815</v>
      </c>
      <c r="D13" s="426" t="s">
        <v>814</v>
      </c>
      <c r="E13" s="433" t="s">
        <v>24</v>
      </c>
      <c r="F13" s="473" t="s">
        <v>646</v>
      </c>
      <c r="G13">
        <v>2</v>
      </c>
      <c r="H13" s="139" t="s">
        <v>901</v>
      </c>
      <c r="I13" s="428" t="s">
        <v>754</v>
      </c>
      <c r="J13" s="34" t="s">
        <v>753</v>
      </c>
      <c r="K13" s="40" t="s">
        <v>3</v>
      </c>
      <c r="L13" s="838" t="s">
        <v>330</v>
      </c>
      <c r="M13" s="210" t="s">
        <v>2</v>
      </c>
      <c r="N13" s="139" t="s">
        <v>888</v>
      </c>
      <c r="O13" s="428" t="s">
        <v>846</v>
      </c>
      <c r="P13" s="34" t="s">
        <v>845</v>
      </c>
      <c r="Q13" s="40" t="s">
        <v>3</v>
      </c>
      <c r="R13" s="838" t="s">
        <v>330</v>
      </c>
      <c r="S13" s="210" t="s">
        <v>62</v>
      </c>
      <c r="T13" s="211"/>
      <c r="U13" s="136">
        <v>2</v>
      </c>
      <c r="V13" s="139" t="s">
        <v>888</v>
      </c>
      <c r="W13" s="428" t="s">
        <v>846</v>
      </c>
      <c r="X13" s="34" t="s">
        <v>845</v>
      </c>
      <c r="Y13" s="40" t="s">
        <v>3</v>
      </c>
      <c r="Z13" s="838" t="s">
        <v>330</v>
      </c>
      <c r="AC13" s="136">
        <v>2</v>
      </c>
      <c r="AD13" s="441" t="s">
        <v>887</v>
      </c>
      <c r="AE13" s="663" t="s">
        <v>665</v>
      </c>
      <c r="AF13" s="22" t="s">
        <v>664</v>
      </c>
      <c r="AG13" s="42" t="s">
        <v>3</v>
      </c>
      <c r="AH13" s="838" t="s">
        <v>330</v>
      </c>
    </row>
    <row r="14" spans="1:34">
      <c r="A14" s="354">
        <v>3</v>
      </c>
      <c r="B14" s="457" t="s">
        <v>1022</v>
      </c>
      <c r="C14" s="432"/>
      <c r="D14" s="426" t="s">
        <v>1111</v>
      </c>
      <c r="E14" s="433" t="s">
        <v>24</v>
      </c>
      <c r="F14" s="473" t="s">
        <v>1243</v>
      </c>
      <c r="G14">
        <v>3</v>
      </c>
      <c r="H14" s="139" t="s">
        <v>922</v>
      </c>
      <c r="I14" s="539" t="s">
        <v>850</v>
      </c>
      <c r="J14" s="447" t="s">
        <v>849</v>
      </c>
      <c r="K14" s="430" t="s">
        <v>3</v>
      </c>
      <c r="L14" s="430" t="s">
        <v>329</v>
      </c>
      <c r="M14" s="210" t="s">
        <v>2</v>
      </c>
      <c r="N14" s="139" t="s">
        <v>891</v>
      </c>
      <c r="O14" s="428" t="s">
        <v>817</v>
      </c>
      <c r="P14" s="833" t="s">
        <v>816</v>
      </c>
      <c r="Q14" s="40" t="s">
        <v>3</v>
      </c>
      <c r="R14" s="838" t="s">
        <v>330</v>
      </c>
      <c r="S14" s="210" t="s">
        <v>104</v>
      </c>
      <c r="T14" s="211"/>
      <c r="U14" s="139">
        <v>3</v>
      </c>
      <c r="V14" s="139" t="s">
        <v>891</v>
      </c>
      <c r="W14" s="428" t="s">
        <v>817</v>
      </c>
      <c r="X14" s="833" t="s">
        <v>816</v>
      </c>
      <c r="Y14" s="40" t="s">
        <v>3</v>
      </c>
      <c r="Z14" s="838" t="s">
        <v>330</v>
      </c>
      <c r="AC14" s="440">
        <v>3</v>
      </c>
      <c r="AD14" s="441" t="s">
        <v>888</v>
      </c>
      <c r="AE14" s="663" t="s">
        <v>846</v>
      </c>
      <c r="AF14" s="22" t="s">
        <v>845</v>
      </c>
      <c r="AG14" s="42" t="s">
        <v>3</v>
      </c>
      <c r="AH14" s="838" t="s">
        <v>330</v>
      </c>
    </row>
    <row r="15" spans="1:34" ht="15.75" thickBot="1">
      <c r="A15" s="354">
        <v>4</v>
      </c>
      <c r="B15" s="458" t="s">
        <v>1021</v>
      </c>
      <c r="C15" s="433"/>
      <c r="D15" s="426" t="s">
        <v>1136</v>
      </c>
      <c r="E15" s="433" t="s">
        <v>3</v>
      </c>
      <c r="F15" s="473" t="s">
        <v>1243</v>
      </c>
      <c r="G15">
        <v>4</v>
      </c>
      <c r="H15" s="139" t="s">
        <v>930</v>
      </c>
      <c r="I15" s="539" t="s">
        <v>823</v>
      </c>
      <c r="J15" s="447" t="s">
        <v>822</v>
      </c>
      <c r="K15" s="430" t="s">
        <v>3</v>
      </c>
      <c r="L15" s="430" t="s">
        <v>329</v>
      </c>
      <c r="M15" s="210" t="s">
        <v>2</v>
      </c>
      <c r="N15" s="139" t="s">
        <v>896</v>
      </c>
      <c r="O15" s="428" t="s">
        <v>878</v>
      </c>
      <c r="P15" s="447" t="s">
        <v>877</v>
      </c>
      <c r="Q15" s="40" t="s">
        <v>3</v>
      </c>
      <c r="R15" s="838" t="s">
        <v>330</v>
      </c>
      <c r="S15" s="210" t="s">
        <v>163</v>
      </c>
      <c r="T15" s="211"/>
      <c r="U15" s="136">
        <v>4</v>
      </c>
      <c r="V15" s="139" t="s">
        <v>896</v>
      </c>
      <c r="W15" s="428" t="s">
        <v>878</v>
      </c>
      <c r="X15" s="447" t="s">
        <v>877</v>
      </c>
      <c r="Y15" s="40" t="s">
        <v>3</v>
      </c>
      <c r="Z15" s="838" t="s">
        <v>330</v>
      </c>
      <c r="AC15" s="136">
        <v>4</v>
      </c>
      <c r="AD15" s="441" t="s">
        <v>890</v>
      </c>
      <c r="AE15" s="641" t="s">
        <v>714</v>
      </c>
      <c r="AF15" s="54" t="s">
        <v>713</v>
      </c>
      <c r="AG15" s="55" t="s">
        <v>24</v>
      </c>
      <c r="AH15" s="838" t="s">
        <v>330</v>
      </c>
    </row>
    <row r="16" spans="1:34">
      <c r="A16" s="354">
        <v>5</v>
      </c>
      <c r="B16" s="458" t="s">
        <v>998</v>
      </c>
      <c r="C16" s="432" t="s">
        <v>1127</v>
      </c>
      <c r="D16" s="426" t="s">
        <v>1088</v>
      </c>
      <c r="E16" s="433" t="s">
        <v>3</v>
      </c>
      <c r="F16" s="473" t="s">
        <v>646</v>
      </c>
      <c r="G16">
        <v>5</v>
      </c>
      <c r="H16" s="850" t="s">
        <v>943</v>
      </c>
      <c r="I16" s="539" t="s">
        <v>778</v>
      </c>
      <c r="J16" s="447" t="s">
        <v>777</v>
      </c>
      <c r="K16" s="430" t="s">
        <v>3</v>
      </c>
      <c r="L16" s="838" t="s">
        <v>333</v>
      </c>
      <c r="M16" s="210" t="s">
        <v>2</v>
      </c>
      <c r="N16" s="139" t="s">
        <v>899</v>
      </c>
      <c r="O16" s="428"/>
      <c r="P16" s="34" t="s">
        <v>824</v>
      </c>
      <c r="Q16" s="40" t="s">
        <v>3</v>
      </c>
      <c r="R16" s="838" t="s">
        <v>330</v>
      </c>
      <c r="S16" s="375" t="s">
        <v>208</v>
      </c>
      <c r="T16" s="56"/>
      <c r="U16" s="139">
        <v>5</v>
      </c>
      <c r="V16" s="139" t="s">
        <v>899</v>
      </c>
      <c r="W16" s="428"/>
      <c r="X16" s="34" t="s">
        <v>824</v>
      </c>
      <c r="Y16" s="40" t="s">
        <v>3</v>
      </c>
      <c r="Z16" s="838" t="s">
        <v>330</v>
      </c>
      <c r="AC16" s="440">
        <v>5</v>
      </c>
      <c r="AD16" s="441" t="s">
        <v>891</v>
      </c>
      <c r="AE16" s="663" t="s">
        <v>817</v>
      </c>
      <c r="AF16" s="664" t="s">
        <v>816</v>
      </c>
      <c r="AG16" s="42" t="s">
        <v>3</v>
      </c>
      <c r="AH16" s="838" t="s">
        <v>330</v>
      </c>
    </row>
    <row r="17" spans="1:34" ht="15.75" thickBot="1">
      <c r="A17" s="354">
        <v>26</v>
      </c>
      <c r="B17" s="488" t="s">
        <v>944</v>
      </c>
      <c r="C17" s="432" t="s">
        <v>770</v>
      </c>
      <c r="D17" s="426" t="s">
        <v>769</v>
      </c>
      <c r="E17" s="433" t="s">
        <v>3</v>
      </c>
      <c r="F17" s="473" t="s">
        <v>333</v>
      </c>
      <c r="G17">
        <v>6</v>
      </c>
      <c r="H17" s="850" t="s">
        <v>952</v>
      </c>
      <c r="I17" s="539" t="s">
        <v>768</v>
      </c>
      <c r="J17" s="447" t="s">
        <v>767</v>
      </c>
      <c r="K17" s="430" t="s">
        <v>3</v>
      </c>
      <c r="L17" s="838" t="s">
        <v>333</v>
      </c>
      <c r="M17" s="210" t="s">
        <v>2</v>
      </c>
      <c r="N17" s="139" t="s">
        <v>901</v>
      </c>
      <c r="O17" s="428" t="s">
        <v>754</v>
      </c>
      <c r="P17" s="34" t="s">
        <v>753</v>
      </c>
      <c r="Q17" s="40" t="s">
        <v>3</v>
      </c>
      <c r="R17" s="838" t="s">
        <v>330</v>
      </c>
      <c r="S17" s="375" t="s">
        <v>2</v>
      </c>
      <c r="T17" s="56"/>
      <c r="U17" s="136">
        <v>6</v>
      </c>
      <c r="V17" s="139" t="s">
        <v>901</v>
      </c>
      <c r="W17" s="428" t="s">
        <v>754</v>
      </c>
      <c r="X17" s="34" t="s">
        <v>753</v>
      </c>
      <c r="Y17" s="40" t="s">
        <v>3</v>
      </c>
      <c r="Z17" s="838" t="s">
        <v>330</v>
      </c>
      <c r="AC17" s="136">
        <v>6</v>
      </c>
      <c r="AD17" s="441" t="s">
        <v>892</v>
      </c>
      <c r="AE17" s="22"/>
      <c r="AF17" s="66" t="s">
        <v>1059</v>
      </c>
      <c r="AG17" s="200" t="s">
        <v>3</v>
      </c>
      <c r="AH17" s="838" t="s">
        <v>330</v>
      </c>
    </row>
    <row r="18" spans="1:34">
      <c r="A18" s="354">
        <v>6</v>
      </c>
      <c r="B18" s="458" t="s">
        <v>887</v>
      </c>
      <c r="C18" s="432" t="s">
        <v>665</v>
      </c>
      <c r="D18" s="426" t="s">
        <v>664</v>
      </c>
      <c r="E18" s="433" t="s">
        <v>3</v>
      </c>
      <c r="F18" s="473" t="s">
        <v>330</v>
      </c>
      <c r="G18">
        <v>7</v>
      </c>
      <c r="H18" s="139" t="s">
        <v>972</v>
      </c>
      <c r="I18" s="539" t="s">
        <v>876</v>
      </c>
      <c r="J18" s="447" t="s">
        <v>875</v>
      </c>
      <c r="K18" s="430" t="s">
        <v>3</v>
      </c>
      <c r="L18" s="838" t="s">
        <v>331</v>
      </c>
      <c r="M18" s="210" t="s">
        <v>2</v>
      </c>
      <c r="N18" s="139" t="s">
        <v>903</v>
      </c>
      <c r="O18" s="428" t="s">
        <v>720</v>
      </c>
      <c r="P18" s="34" t="s">
        <v>719</v>
      </c>
      <c r="Q18" s="40" t="s">
        <v>3</v>
      </c>
      <c r="R18" s="838" t="s">
        <v>330</v>
      </c>
      <c r="S18" s="210" t="s">
        <v>62</v>
      </c>
      <c r="T18" s="56"/>
      <c r="U18" s="139">
        <v>7</v>
      </c>
      <c r="V18" s="139" t="s">
        <v>903</v>
      </c>
      <c r="W18" s="428" t="s">
        <v>720</v>
      </c>
      <c r="X18" s="34" t="s">
        <v>719</v>
      </c>
      <c r="Y18" s="40" t="s">
        <v>3</v>
      </c>
      <c r="Z18" s="838" t="s">
        <v>330</v>
      </c>
      <c r="AC18" s="440">
        <v>7</v>
      </c>
      <c r="AD18" s="441" t="s">
        <v>893</v>
      </c>
      <c r="AE18" s="663" t="s">
        <v>661</v>
      </c>
      <c r="AF18" s="22" t="s">
        <v>659</v>
      </c>
      <c r="AG18" s="42" t="s">
        <v>660</v>
      </c>
      <c r="AH18" s="838" t="s">
        <v>330</v>
      </c>
    </row>
    <row r="19" spans="1:34" ht="15.75" thickBot="1">
      <c r="A19" s="354">
        <v>7</v>
      </c>
      <c r="B19" s="458" t="s">
        <v>1000</v>
      </c>
      <c r="C19" s="432" t="s">
        <v>809</v>
      </c>
      <c r="D19" s="426" t="s">
        <v>808</v>
      </c>
      <c r="E19" s="433" t="s">
        <v>24</v>
      </c>
      <c r="F19" s="473" t="s">
        <v>646</v>
      </c>
      <c r="G19">
        <v>8</v>
      </c>
      <c r="H19" s="139" t="s">
        <v>998</v>
      </c>
      <c r="I19" s="540" t="s">
        <v>1127</v>
      </c>
      <c r="J19" s="447" t="s">
        <v>1088</v>
      </c>
      <c r="K19" s="430" t="s">
        <v>3</v>
      </c>
      <c r="L19" s="838" t="s">
        <v>646</v>
      </c>
      <c r="M19" s="210" t="s">
        <v>2</v>
      </c>
      <c r="N19" s="139" t="s">
        <v>904</v>
      </c>
      <c r="O19" s="428" t="s">
        <v>724</v>
      </c>
      <c r="P19" s="34" t="s">
        <v>723</v>
      </c>
      <c r="Q19" s="40" t="s">
        <v>3</v>
      </c>
      <c r="R19" s="838" t="s">
        <v>330</v>
      </c>
      <c r="S19" s="210" t="s">
        <v>104</v>
      </c>
      <c r="T19" s="56"/>
      <c r="U19" s="136">
        <v>8</v>
      </c>
      <c r="V19" s="139" t="s">
        <v>904</v>
      </c>
      <c r="W19" s="428" t="s">
        <v>724</v>
      </c>
      <c r="X19" s="34" t="s">
        <v>723</v>
      </c>
      <c r="Y19" s="40" t="s">
        <v>3</v>
      </c>
      <c r="Z19" s="838" t="s">
        <v>330</v>
      </c>
      <c r="AC19" s="136">
        <v>8</v>
      </c>
      <c r="AD19" s="441" t="s">
        <v>894</v>
      </c>
      <c r="AE19" s="663" t="s">
        <v>686</v>
      </c>
      <c r="AF19" s="22" t="s">
        <v>685</v>
      </c>
      <c r="AG19" s="42" t="s">
        <v>24</v>
      </c>
      <c r="AH19" s="838" t="s">
        <v>330</v>
      </c>
    </row>
    <row r="20" spans="1:34">
      <c r="A20" s="354">
        <v>8</v>
      </c>
      <c r="B20" s="488" t="s">
        <v>945</v>
      </c>
      <c r="C20" s="432" t="s">
        <v>671</v>
      </c>
      <c r="D20" s="426" t="s">
        <v>670</v>
      </c>
      <c r="E20" s="433" t="s">
        <v>24</v>
      </c>
      <c r="F20" s="473" t="s">
        <v>333</v>
      </c>
      <c r="G20">
        <v>9</v>
      </c>
      <c r="H20" s="139" t="s">
        <v>1008</v>
      </c>
      <c r="I20" s="540" t="s">
        <v>1128</v>
      </c>
      <c r="J20" s="447" t="s">
        <v>1089</v>
      </c>
      <c r="K20" s="430" t="s">
        <v>3</v>
      </c>
      <c r="L20" s="838" t="s">
        <v>646</v>
      </c>
      <c r="M20" s="210" t="s">
        <v>2</v>
      </c>
      <c r="N20" s="139" t="s">
        <v>905</v>
      </c>
      <c r="O20" s="428"/>
      <c r="P20" s="34" t="s">
        <v>826</v>
      </c>
      <c r="Q20" s="40" t="s">
        <v>3</v>
      </c>
      <c r="R20" s="838" t="s">
        <v>330</v>
      </c>
      <c r="S20" s="210" t="s">
        <v>163</v>
      </c>
      <c r="T20" s="56"/>
      <c r="U20" s="139">
        <v>9</v>
      </c>
      <c r="V20" s="139" t="s">
        <v>905</v>
      </c>
      <c r="W20" s="428"/>
      <c r="X20" s="34" t="s">
        <v>826</v>
      </c>
      <c r="Y20" s="40" t="s">
        <v>3</v>
      </c>
      <c r="Z20" s="838" t="s">
        <v>330</v>
      </c>
      <c r="AC20" s="440">
        <v>9</v>
      </c>
      <c r="AD20" s="441" t="s">
        <v>895</v>
      </c>
      <c r="AE20" s="663" t="s">
        <v>870</v>
      </c>
      <c r="AF20" s="22" t="s">
        <v>869</v>
      </c>
      <c r="AG20" s="42" t="s">
        <v>24</v>
      </c>
      <c r="AH20" s="838" t="s">
        <v>330</v>
      </c>
    </row>
    <row r="21" spans="1:34" ht="15.75" thickBot="1">
      <c r="A21" s="354">
        <v>9</v>
      </c>
      <c r="B21" s="458" t="s">
        <v>921</v>
      </c>
      <c r="C21" s="432" t="s">
        <v>718</v>
      </c>
      <c r="D21" s="426" t="s">
        <v>717</v>
      </c>
      <c r="E21" s="433" t="s">
        <v>24</v>
      </c>
      <c r="F21" s="473" t="s">
        <v>329</v>
      </c>
      <c r="G21">
        <v>10</v>
      </c>
      <c r="H21" s="138" t="s">
        <v>1021</v>
      </c>
      <c r="I21" s="447"/>
      <c r="J21" s="447" t="s">
        <v>1136</v>
      </c>
      <c r="K21" s="430" t="s">
        <v>3</v>
      </c>
      <c r="L21" s="838" t="s">
        <v>1243</v>
      </c>
      <c r="M21" s="210" t="s">
        <v>2</v>
      </c>
      <c r="N21" s="139" t="s">
        <v>912</v>
      </c>
      <c r="O21" s="428" t="s">
        <v>663</v>
      </c>
      <c r="P21" s="34" t="s">
        <v>662</v>
      </c>
      <c r="Q21" s="40" t="s">
        <v>3</v>
      </c>
      <c r="R21" s="838" t="s">
        <v>330</v>
      </c>
      <c r="S21" s="210" t="s">
        <v>208</v>
      </c>
      <c r="T21" s="56"/>
      <c r="U21" s="136">
        <v>10</v>
      </c>
      <c r="V21" s="139" t="s">
        <v>912</v>
      </c>
      <c r="W21" s="428" t="s">
        <v>663</v>
      </c>
      <c r="X21" s="34" t="s">
        <v>662</v>
      </c>
      <c r="Y21" s="40" t="s">
        <v>3</v>
      </c>
      <c r="Z21" s="838" t="s">
        <v>330</v>
      </c>
      <c r="AC21" s="136">
        <v>10</v>
      </c>
      <c r="AD21" s="441" t="s">
        <v>896</v>
      </c>
      <c r="AE21" s="663" t="s">
        <v>878</v>
      </c>
      <c r="AF21" s="54" t="s">
        <v>877</v>
      </c>
      <c r="AG21" s="42" t="s">
        <v>3</v>
      </c>
      <c r="AH21" s="838" t="s">
        <v>330</v>
      </c>
    </row>
    <row r="22" spans="1:34">
      <c r="A22" s="354">
        <v>10</v>
      </c>
      <c r="B22" s="458" t="s">
        <v>922</v>
      </c>
      <c r="C22" s="432" t="s">
        <v>850</v>
      </c>
      <c r="D22" s="426" t="s">
        <v>849</v>
      </c>
      <c r="E22" s="433" t="s">
        <v>3</v>
      </c>
      <c r="F22" s="473" t="s">
        <v>329</v>
      </c>
      <c r="G22">
        <v>11</v>
      </c>
      <c r="H22" s="851" t="s">
        <v>1038</v>
      </c>
      <c r="I22" s="539" t="s">
        <v>1157</v>
      </c>
      <c r="J22" s="447" t="s">
        <v>1110</v>
      </c>
      <c r="K22" s="430" t="s">
        <v>3</v>
      </c>
      <c r="L22" s="838" t="s">
        <v>1243</v>
      </c>
      <c r="M22" s="210" t="s">
        <v>2</v>
      </c>
      <c r="N22" s="139" t="s">
        <v>893</v>
      </c>
      <c r="O22" s="428" t="s">
        <v>661</v>
      </c>
      <c r="P22" s="34" t="s">
        <v>659</v>
      </c>
      <c r="Q22" s="40" t="s">
        <v>660</v>
      </c>
      <c r="R22" s="838" t="s">
        <v>330</v>
      </c>
      <c r="S22" s="210"/>
      <c r="T22" s="56"/>
      <c r="U22" s="139">
        <v>11</v>
      </c>
      <c r="V22" s="139" t="s">
        <v>893</v>
      </c>
      <c r="W22" s="428" t="s">
        <v>661</v>
      </c>
      <c r="X22" s="34" t="s">
        <v>659</v>
      </c>
      <c r="Y22" s="40" t="s">
        <v>660</v>
      </c>
      <c r="Z22" s="838" t="s">
        <v>330</v>
      </c>
      <c r="AC22" s="440">
        <v>11</v>
      </c>
      <c r="AD22" s="441" t="s">
        <v>897</v>
      </c>
      <c r="AE22" s="663" t="s">
        <v>688</v>
      </c>
      <c r="AF22" s="22" t="s">
        <v>687</v>
      </c>
      <c r="AG22" s="42" t="s">
        <v>24</v>
      </c>
      <c r="AH22" s="838" t="s">
        <v>330</v>
      </c>
    </row>
    <row r="23" spans="1:34" ht="15.75" thickBot="1">
      <c r="A23" s="354">
        <v>11</v>
      </c>
      <c r="B23" s="458" t="s">
        <v>972</v>
      </c>
      <c r="C23" s="432" t="s">
        <v>876</v>
      </c>
      <c r="D23" s="426" t="s">
        <v>875</v>
      </c>
      <c r="E23" s="433" t="s">
        <v>3</v>
      </c>
      <c r="F23" s="473" t="s">
        <v>331</v>
      </c>
      <c r="G23">
        <v>12</v>
      </c>
      <c r="H23" s="860" t="s">
        <v>981</v>
      </c>
      <c r="I23" s="861" t="s">
        <v>766</v>
      </c>
      <c r="J23" s="862" t="s">
        <v>765</v>
      </c>
      <c r="K23" s="863" t="s">
        <v>3</v>
      </c>
      <c r="L23" s="863" t="s">
        <v>331</v>
      </c>
      <c r="M23" s="864" t="s">
        <v>2</v>
      </c>
      <c r="N23" s="139" t="s">
        <v>890</v>
      </c>
      <c r="O23" s="539" t="s">
        <v>714</v>
      </c>
      <c r="P23" s="447" t="s">
        <v>713</v>
      </c>
      <c r="Q23" s="430" t="s">
        <v>24</v>
      </c>
      <c r="R23" s="838" t="s">
        <v>330</v>
      </c>
      <c r="S23" s="210" t="s">
        <v>2</v>
      </c>
      <c r="T23" s="56"/>
      <c r="U23" s="136">
        <v>12</v>
      </c>
      <c r="V23" s="139" t="s">
        <v>890</v>
      </c>
      <c r="W23" s="539" t="s">
        <v>714</v>
      </c>
      <c r="X23" s="447" t="s">
        <v>713</v>
      </c>
      <c r="Y23" s="430" t="s">
        <v>24</v>
      </c>
      <c r="Z23" s="838" t="s">
        <v>330</v>
      </c>
      <c r="AC23" s="136">
        <v>12</v>
      </c>
      <c r="AD23" s="441" t="s">
        <v>899</v>
      </c>
      <c r="AE23" s="663"/>
      <c r="AF23" s="22" t="s">
        <v>824</v>
      </c>
      <c r="AG23" s="42" t="s">
        <v>3</v>
      </c>
      <c r="AH23" s="838" t="s">
        <v>330</v>
      </c>
    </row>
    <row r="24" spans="1:34">
      <c r="A24" s="354">
        <v>12</v>
      </c>
      <c r="B24" s="458" t="s">
        <v>890</v>
      </c>
      <c r="C24" s="432" t="s">
        <v>714</v>
      </c>
      <c r="D24" s="426" t="s">
        <v>713</v>
      </c>
      <c r="E24" s="433" t="s">
        <v>24</v>
      </c>
      <c r="F24" s="473" t="s">
        <v>330</v>
      </c>
      <c r="G24">
        <v>13</v>
      </c>
      <c r="H24" s="398" t="s">
        <v>985</v>
      </c>
      <c r="I24" s="832" t="s">
        <v>741</v>
      </c>
      <c r="J24" s="51" t="s">
        <v>885</v>
      </c>
      <c r="K24" s="41" t="s">
        <v>3</v>
      </c>
      <c r="L24" s="41" t="s">
        <v>331</v>
      </c>
      <c r="M24" s="70" t="s">
        <v>2</v>
      </c>
      <c r="N24" s="139" t="s">
        <v>894</v>
      </c>
      <c r="O24" s="428" t="s">
        <v>686</v>
      </c>
      <c r="P24" s="34" t="s">
        <v>685</v>
      </c>
      <c r="Q24" s="40" t="s">
        <v>24</v>
      </c>
      <c r="R24" s="838" t="s">
        <v>330</v>
      </c>
      <c r="S24" s="210" t="s">
        <v>62</v>
      </c>
      <c r="T24" s="56"/>
      <c r="U24" s="139">
        <v>13</v>
      </c>
      <c r="V24" s="139" t="s">
        <v>894</v>
      </c>
      <c r="W24" s="428" t="s">
        <v>686</v>
      </c>
      <c r="X24" s="34" t="s">
        <v>685</v>
      </c>
      <c r="Y24" s="40" t="s">
        <v>24</v>
      </c>
      <c r="Z24" s="838" t="s">
        <v>330</v>
      </c>
      <c r="AC24" s="440">
        <v>13</v>
      </c>
      <c r="AD24" s="441" t="s">
        <v>900</v>
      </c>
      <c r="AE24" s="663"/>
      <c r="AF24" s="22" t="s">
        <v>684</v>
      </c>
      <c r="AG24" s="42" t="s">
        <v>24</v>
      </c>
      <c r="AH24" s="838" t="s">
        <v>330</v>
      </c>
    </row>
    <row r="25" spans="1:34" ht="15.75" thickBot="1">
      <c r="A25" s="354">
        <v>13</v>
      </c>
      <c r="B25" s="458" t="s">
        <v>974</v>
      </c>
      <c r="C25" s="432" t="s">
        <v>738</v>
      </c>
      <c r="D25" s="426" t="s">
        <v>737</v>
      </c>
      <c r="E25" s="433" t="s">
        <v>24</v>
      </c>
      <c r="F25" s="473" t="s">
        <v>331</v>
      </c>
      <c r="G25">
        <v>14</v>
      </c>
      <c r="H25" s="398" t="s">
        <v>913</v>
      </c>
      <c r="I25" s="832" t="s">
        <v>834</v>
      </c>
      <c r="J25" s="51" t="s">
        <v>833</v>
      </c>
      <c r="K25" s="41" t="s">
        <v>3</v>
      </c>
      <c r="L25" s="41" t="s">
        <v>330</v>
      </c>
      <c r="M25" s="70" t="s">
        <v>2</v>
      </c>
      <c r="N25" s="139" t="s">
        <v>897</v>
      </c>
      <c r="O25" s="428" t="s">
        <v>688</v>
      </c>
      <c r="P25" s="34" t="s">
        <v>687</v>
      </c>
      <c r="Q25" s="40" t="s">
        <v>24</v>
      </c>
      <c r="R25" s="838" t="s">
        <v>330</v>
      </c>
      <c r="S25" s="210" t="s">
        <v>104</v>
      </c>
      <c r="T25" s="56"/>
      <c r="U25" s="136">
        <v>14</v>
      </c>
      <c r="V25" s="139" t="s">
        <v>897</v>
      </c>
      <c r="W25" s="428" t="s">
        <v>688</v>
      </c>
      <c r="X25" s="34" t="s">
        <v>687</v>
      </c>
      <c r="Y25" s="40" t="s">
        <v>24</v>
      </c>
      <c r="Z25" s="838" t="s">
        <v>330</v>
      </c>
      <c r="AC25" s="136">
        <v>14</v>
      </c>
      <c r="AD25" s="441" t="s">
        <v>901</v>
      </c>
      <c r="AE25" s="663" t="s">
        <v>754</v>
      </c>
      <c r="AF25" s="22" t="s">
        <v>753</v>
      </c>
      <c r="AG25" s="42" t="s">
        <v>3</v>
      </c>
      <c r="AH25" s="838" t="s">
        <v>330</v>
      </c>
    </row>
    <row r="26" spans="1:34">
      <c r="A26" s="354">
        <v>14</v>
      </c>
      <c r="B26" s="458" t="s">
        <v>979</v>
      </c>
      <c r="C26" s="432" t="s">
        <v>796</v>
      </c>
      <c r="D26" s="426" t="s">
        <v>795</v>
      </c>
      <c r="E26" s="433" t="s">
        <v>24</v>
      </c>
      <c r="F26" s="473" t="s">
        <v>331</v>
      </c>
      <c r="G26">
        <v>15</v>
      </c>
      <c r="H26" s="398" t="s">
        <v>992</v>
      </c>
      <c r="I26" s="832" t="s">
        <v>694</v>
      </c>
      <c r="J26" s="51" t="s">
        <v>693</v>
      </c>
      <c r="K26" s="41" t="s">
        <v>3</v>
      </c>
      <c r="L26" s="41" t="s">
        <v>331</v>
      </c>
      <c r="M26" s="70" t="s">
        <v>62</v>
      </c>
      <c r="N26" s="139" t="s">
        <v>902</v>
      </c>
      <c r="O26" s="428" t="s">
        <v>868</v>
      </c>
      <c r="P26" s="34" t="s">
        <v>867</v>
      </c>
      <c r="Q26" s="40" t="s">
        <v>24</v>
      </c>
      <c r="R26" s="838" t="s">
        <v>330</v>
      </c>
      <c r="S26" s="857" t="s">
        <v>163</v>
      </c>
      <c r="T26" s="56"/>
      <c r="U26" s="139">
        <v>15</v>
      </c>
      <c r="V26" s="139" t="s">
        <v>902</v>
      </c>
      <c r="W26" s="428" t="s">
        <v>868</v>
      </c>
      <c r="X26" s="34" t="s">
        <v>867</v>
      </c>
      <c r="Y26" s="40" t="s">
        <v>24</v>
      </c>
      <c r="Z26" s="838" t="s">
        <v>330</v>
      </c>
      <c r="AC26" s="440">
        <v>15</v>
      </c>
      <c r="AD26" s="441" t="s">
        <v>902</v>
      </c>
      <c r="AE26" s="663" t="s">
        <v>868</v>
      </c>
      <c r="AF26" s="22" t="s">
        <v>867</v>
      </c>
      <c r="AG26" s="42" t="s">
        <v>24</v>
      </c>
      <c r="AH26" s="838" t="s">
        <v>330</v>
      </c>
    </row>
    <row r="27" spans="1:34" ht="15.75" thickBot="1">
      <c r="A27" s="354">
        <v>15</v>
      </c>
      <c r="B27" s="488" t="s">
        <v>952</v>
      </c>
      <c r="C27" s="432" t="s">
        <v>768</v>
      </c>
      <c r="D27" s="426" t="s">
        <v>767</v>
      </c>
      <c r="E27" s="433" t="s">
        <v>3</v>
      </c>
      <c r="F27" s="473" t="s">
        <v>333</v>
      </c>
      <c r="G27">
        <v>16</v>
      </c>
      <c r="H27" s="138" t="s">
        <v>1063</v>
      </c>
      <c r="I27" s="540" t="s">
        <v>1125</v>
      </c>
      <c r="J27" s="447" t="s">
        <v>1124</v>
      </c>
      <c r="K27" s="430" t="s">
        <v>3</v>
      </c>
      <c r="L27" s="838" t="s">
        <v>1243</v>
      </c>
      <c r="M27" s="210" t="s">
        <v>2</v>
      </c>
      <c r="N27" s="139" t="s">
        <v>906</v>
      </c>
      <c r="O27" s="428" t="s">
        <v>805</v>
      </c>
      <c r="P27" s="34" t="s">
        <v>804</v>
      </c>
      <c r="Q27" s="40" t="s">
        <v>24</v>
      </c>
      <c r="R27" s="838" t="s">
        <v>330</v>
      </c>
      <c r="S27" s="857" t="s">
        <v>208</v>
      </c>
      <c r="T27" s="56"/>
      <c r="U27" s="136">
        <v>16</v>
      </c>
      <c r="V27" s="139" t="s">
        <v>906</v>
      </c>
      <c r="W27" s="428" t="s">
        <v>805</v>
      </c>
      <c r="X27" s="34" t="s">
        <v>804</v>
      </c>
      <c r="Y27" s="40" t="s">
        <v>24</v>
      </c>
      <c r="Z27" s="838" t="s">
        <v>330</v>
      </c>
      <c r="AC27" s="136">
        <v>16</v>
      </c>
      <c r="AD27" s="441" t="s">
        <v>903</v>
      </c>
      <c r="AE27" s="663" t="s">
        <v>720</v>
      </c>
      <c r="AF27" s="22" t="s">
        <v>719</v>
      </c>
      <c r="AG27" s="42" t="s">
        <v>3</v>
      </c>
      <c r="AH27" s="838" t="s">
        <v>330</v>
      </c>
    </row>
    <row r="28" spans="1:34">
      <c r="A28" s="354">
        <v>16</v>
      </c>
      <c r="B28" s="458" t="s">
        <v>981</v>
      </c>
      <c r="C28" s="432" t="s">
        <v>766</v>
      </c>
      <c r="D28" s="426" t="s">
        <v>765</v>
      </c>
      <c r="E28" s="433" t="s">
        <v>3</v>
      </c>
      <c r="F28" s="473" t="s">
        <v>331</v>
      </c>
      <c r="G28">
        <v>1</v>
      </c>
      <c r="H28" s="139" t="s">
        <v>890</v>
      </c>
      <c r="I28" s="539" t="s">
        <v>714</v>
      </c>
      <c r="J28" s="447" t="s">
        <v>713</v>
      </c>
      <c r="K28" s="430" t="s">
        <v>24</v>
      </c>
      <c r="L28" s="838" t="s">
        <v>330</v>
      </c>
      <c r="M28" s="210" t="s">
        <v>2</v>
      </c>
      <c r="N28" s="139" t="s">
        <v>907</v>
      </c>
      <c r="O28" s="428" t="s">
        <v>838</v>
      </c>
      <c r="P28" s="34" t="s">
        <v>837</v>
      </c>
      <c r="Q28" s="40" t="s">
        <v>24</v>
      </c>
      <c r="R28" s="838" t="s">
        <v>330</v>
      </c>
      <c r="S28" s="210" t="s">
        <v>2</v>
      </c>
      <c r="T28" s="211"/>
      <c r="U28" s="139">
        <v>17</v>
      </c>
      <c r="V28" s="139" t="s">
        <v>907</v>
      </c>
      <c r="W28" s="428" t="s">
        <v>838</v>
      </c>
      <c r="X28" s="34" t="s">
        <v>837</v>
      </c>
      <c r="Y28" s="40" t="s">
        <v>24</v>
      </c>
      <c r="Z28" s="838" t="s">
        <v>330</v>
      </c>
      <c r="AC28" s="440">
        <v>17</v>
      </c>
      <c r="AD28" s="441" t="s">
        <v>904</v>
      </c>
      <c r="AE28" s="663" t="s">
        <v>724</v>
      </c>
      <c r="AF28" s="22" t="s">
        <v>723</v>
      </c>
      <c r="AG28" s="42" t="s">
        <v>3</v>
      </c>
      <c r="AH28" s="838" t="s">
        <v>330</v>
      </c>
    </row>
    <row r="29" spans="1:34" ht="15.75" thickBot="1">
      <c r="A29" s="354">
        <v>17</v>
      </c>
      <c r="B29" s="458" t="s">
        <v>1008</v>
      </c>
      <c r="C29" s="432" t="s">
        <v>1128</v>
      </c>
      <c r="D29" s="426" t="s">
        <v>1089</v>
      </c>
      <c r="E29" s="433" t="s">
        <v>3</v>
      </c>
      <c r="F29" s="473" t="s">
        <v>646</v>
      </c>
      <c r="G29">
        <v>2</v>
      </c>
      <c r="H29" s="139" t="s">
        <v>907</v>
      </c>
      <c r="I29" s="428" t="s">
        <v>838</v>
      </c>
      <c r="J29" s="34" t="s">
        <v>837</v>
      </c>
      <c r="K29" s="40" t="s">
        <v>24</v>
      </c>
      <c r="L29" s="838" t="s">
        <v>330</v>
      </c>
      <c r="M29" s="210" t="s">
        <v>2</v>
      </c>
      <c r="N29" s="139" t="s">
        <v>908</v>
      </c>
      <c r="O29" s="428" t="s">
        <v>802</v>
      </c>
      <c r="P29" s="34" t="s">
        <v>801</v>
      </c>
      <c r="Q29" s="40" t="s">
        <v>24</v>
      </c>
      <c r="R29" s="838" t="s">
        <v>330</v>
      </c>
      <c r="S29" s="210" t="s">
        <v>62</v>
      </c>
      <c r="T29" s="211"/>
      <c r="U29" s="136">
        <v>18</v>
      </c>
      <c r="V29" s="139" t="s">
        <v>908</v>
      </c>
      <c r="W29" s="428" t="s">
        <v>802</v>
      </c>
      <c r="X29" s="34" t="s">
        <v>801</v>
      </c>
      <c r="Y29" s="40" t="s">
        <v>24</v>
      </c>
      <c r="Z29" s="838" t="s">
        <v>330</v>
      </c>
      <c r="AC29" s="136">
        <v>18</v>
      </c>
      <c r="AD29" s="441" t="s">
        <v>905</v>
      </c>
      <c r="AE29" s="663"/>
      <c r="AF29" s="22" t="s">
        <v>826</v>
      </c>
      <c r="AG29" s="42" t="s">
        <v>3</v>
      </c>
      <c r="AH29" s="838" t="s">
        <v>330</v>
      </c>
    </row>
    <row r="30" spans="1:34">
      <c r="A30" s="354">
        <v>18</v>
      </c>
      <c r="B30" s="458" t="s">
        <v>901</v>
      </c>
      <c r="C30" s="432" t="s">
        <v>754</v>
      </c>
      <c r="D30" s="426" t="s">
        <v>753</v>
      </c>
      <c r="E30" s="433" t="s">
        <v>3</v>
      </c>
      <c r="F30" s="473" t="s">
        <v>330</v>
      </c>
      <c r="G30">
        <v>3</v>
      </c>
      <c r="H30" s="139" t="s">
        <v>915</v>
      </c>
      <c r="I30" s="428" t="s">
        <v>844</v>
      </c>
      <c r="J30" s="34" t="s">
        <v>843</v>
      </c>
      <c r="K30" s="40" t="s">
        <v>24</v>
      </c>
      <c r="L30" s="838" t="s">
        <v>330</v>
      </c>
      <c r="M30" s="210" t="s">
        <v>2</v>
      </c>
      <c r="N30" s="139" t="s">
        <v>909</v>
      </c>
      <c r="O30" s="428" t="s">
        <v>836</v>
      </c>
      <c r="P30" s="34" t="s">
        <v>835</v>
      </c>
      <c r="Q30" s="40" t="s">
        <v>24</v>
      </c>
      <c r="R30" s="838" t="s">
        <v>330</v>
      </c>
      <c r="S30" s="210" t="s">
        <v>104</v>
      </c>
      <c r="T30" s="211"/>
      <c r="U30" s="139">
        <v>19</v>
      </c>
      <c r="V30" s="139" t="s">
        <v>909</v>
      </c>
      <c r="W30" s="428" t="s">
        <v>836</v>
      </c>
      <c r="X30" s="34" t="s">
        <v>835</v>
      </c>
      <c r="Y30" s="40" t="s">
        <v>24</v>
      </c>
      <c r="Z30" s="838" t="s">
        <v>330</v>
      </c>
      <c r="AC30" s="440">
        <v>19</v>
      </c>
      <c r="AD30" s="441" t="s">
        <v>906</v>
      </c>
      <c r="AE30" s="663" t="s">
        <v>805</v>
      </c>
      <c r="AF30" s="22" t="s">
        <v>804</v>
      </c>
      <c r="AG30" s="42" t="s">
        <v>24</v>
      </c>
      <c r="AH30" s="838" t="s">
        <v>330</v>
      </c>
    </row>
    <row r="31" spans="1:34" ht="15.75" thickBot="1">
      <c r="A31" s="354">
        <v>19</v>
      </c>
      <c r="B31" s="458" t="s">
        <v>982</v>
      </c>
      <c r="C31" s="432" t="s">
        <v>675</v>
      </c>
      <c r="D31" s="426" t="s">
        <v>674</v>
      </c>
      <c r="E31" s="433" t="s">
        <v>24</v>
      </c>
      <c r="F31" s="473" t="s">
        <v>331</v>
      </c>
      <c r="G31">
        <v>4</v>
      </c>
      <c r="H31" s="139" t="s">
        <v>921</v>
      </c>
      <c r="I31" s="539" t="s">
        <v>718</v>
      </c>
      <c r="J31" s="447" t="s">
        <v>717</v>
      </c>
      <c r="K31" s="430" t="s">
        <v>24</v>
      </c>
      <c r="L31" s="430" t="s">
        <v>329</v>
      </c>
      <c r="M31" s="210" t="s">
        <v>2</v>
      </c>
      <c r="N31" s="139" t="s">
        <v>910</v>
      </c>
      <c r="O31" s="428" t="s">
        <v>700</v>
      </c>
      <c r="P31" s="447" t="s">
        <v>699</v>
      </c>
      <c r="Q31" s="40" t="s">
        <v>24</v>
      </c>
      <c r="R31" s="838" t="s">
        <v>330</v>
      </c>
      <c r="S31" s="857" t="s">
        <v>163</v>
      </c>
      <c r="T31" s="56"/>
      <c r="U31" s="136">
        <v>20</v>
      </c>
      <c r="V31" s="139" t="s">
        <v>910</v>
      </c>
      <c r="W31" s="428" t="s">
        <v>700</v>
      </c>
      <c r="X31" s="447" t="s">
        <v>699</v>
      </c>
      <c r="Y31" s="40" t="s">
        <v>24</v>
      </c>
      <c r="Z31" s="838" t="s">
        <v>330</v>
      </c>
      <c r="AC31" s="136">
        <v>20</v>
      </c>
      <c r="AD31" s="441" t="s">
        <v>907</v>
      </c>
      <c r="AE31" s="663" t="s">
        <v>838</v>
      </c>
      <c r="AF31" s="22" t="s">
        <v>837</v>
      </c>
      <c r="AG31" s="42" t="s">
        <v>24</v>
      </c>
      <c r="AH31" s="838" t="s">
        <v>330</v>
      </c>
    </row>
    <row r="32" spans="1:34">
      <c r="A32" s="354">
        <v>20</v>
      </c>
      <c r="B32" s="458" t="s">
        <v>1009</v>
      </c>
      <c r="C32" s="432" t="s">
        <v>1130</v>
      </c>
      <c r="D32" s="426" t="s">
        <v>1103</v>
      </c>
      <c r="E32" s="433" t="s">
        <v>24</v>
      </c>
      <c r="F32" s="473" t="s">
        <v>646</v>
      </c>
      <c r="G32">
        <v>5</v>
      </c>
      <c r="H32" s="850" t="s">
        <v>945</v>
      </c>
      <c r="I32" s="539" t="s">
        <v>671</v>
      </c>
      <c r="J32" s="447" t="s">
        <v>670</v>
      </c>
      <c r="K32" s="430" t="s">
        <v>24</v>
      </c>
      <c r="L32" s="838" t="s">
        <v>333</v>
      </c>
      <c r="M32" s="210" t="s">
        <v>2</v>
      </c>
      <c r="N32" s="139" t="s">
        <v>914</v>
      </c>
      <c r="O32" s="428" t="s">
        <v>794</v>
      </c>
      <c r="P32" s="34" t="s">
        <v>793</v>
      </c>
      <c r="Q32" s="40" t="s">
        <v>24</v>
      </c>
      <c r="R32" s="838" t="s">
        <v>330</v>
      </c>
      <c r="S32" s="857" t="s">
        <v>208</v>
      </c>
      <c r="T32" s="56"/>
      <c r="U32" s="139">
        <v>21</v>
      </c>
      <c r="V32" s="139" t="s">
        <v>914</v>
      </c>
      <c r="W32" s="428" t="s">
        <v>794</v>
      </c>
      <c r="X32" s="34" t="s">
        <v>793</v>
      </c>
      <c r="Y32" s="40" t="s">
        <v>24</v>
      </c>
      <c r="Z32" s="838" t="s">
        <v>330</v>
      </c>
      <c r="AC32" s="440">
        <v>21</v>
      </c>
      <c r="AD32" s="441" t="s">
        <v>908</v>
      </c>
      <c r="AE32" s="663" t="s">
        <v>802</v>
      </c>
      <c r="AF32" s="22" t="s">
        <v>801</v>
      </c>
      <c r="AG32" s="42" t="s">
        <v>24</v>
      </c>
      <c r="AH32" s="838" t="s">
        <v>330</v>
      </c>
    </row>
    <row r="33" spans="1:34" ht="15.75" thickBot="1">
      <c r="A33" s="354">
        <v>21</v>
      </c>
      <c r="B33" s="458" t="s">
        <v>930</v>
      </c>
      <c r="C33" s="432" t="s">
        <v>823</v>
      </c>
      <c r="D33" s="426" t="s">
        <v>822</v>
      </c>
      <c r="E33" s="433" t="s">
        <v>3</v>
      </c>
      <c r="F33" s="473" t="s">
        <v>329</v>
      </c>
      <c r="G33">
        <v>6</v>
      </c>
      <c r="H33" s="850" t="s">
        <v>961</v>
      </c>
      <c r="I33" s="539"/>
      <c r="J33" s="447" t="s">
        <v>831</v>
      </c>
      <c r="K33" s="430" t="s">
        <v>24</v>
      </c>
      <c r="L33" s="838" t="s">
        <v>333</v>
      </c>
      <c r="M33" s="210" t="s">
        <v>2</v>
      </c>
      <c r="N33" s="139" t="s">
        <v>915</v>
      </c>
      <c r="O33" s="428" t="s">
        <v>844</v>
      </c>
      <c r="P33" s="34" t="s">
        <v>843</v>
      </c>
      <c r="Q33" s="40" t="s">
        <v>24</v>
      </c>
      <c r="R33" s="838" t="s">
        <v>330</v>
      </c>
      <c r="S33" s="210" t="s">
        <v>2</v>
      </c>
      <c r="T33" s="56"/>
      <c r="U33" s="136">
        <v>22</v>
      </c>
      <c r="V33" s="139" t="s">
        <v>915</v>
      </c>
      <c r="W33" s="428" t="s">
        <v>844</v>
      </c>
      <c r="X33" s="34" t="s">
        <v>843</v>
      </c>
      <c r="Y33" s="40" t="s">
        <v>24</v>
      </c>
      <c r="Z33" s="838" t="s">
        <v>330</v>
      </c>
      <c r="AC33" s="136">
        <v>22</v>
      </c>
      <c r="AD33" s="441" t="s">
        <v>909</v>
      </c>
      <c r="AE33" s="663" t="s">
        <v>836</v>
      </c>
      <c r="AF33" s="22" t="s">
        <v>835</v>
      </c>
      <c r="AG33" s="42" t="s">
        <v>24</v>
      </c>
      <c r="AH33" s="838" t="s">
        <v>330</v>
      </c>
    </row>
    <row r="34" spans="1:34">
      <c r="A34" s="354">
        <v>22</v>
      </c>
      <c r="B34" s="458" t="s">
        <v>985</v>
      </c>
      <c r="C34" s="432" t="s">
        <v>741</v>
      </c>
      <c r="D34" s="426" t="s">
        <v>885</v>
      </c>
      <c r="E34" s="433" t="s">
        <v>3</v>
      </c>
      <c r="F34" s="473" t="s">
        <v>331</v>
      </c>
      <c r="G34">
        <v>7</v>
      </c>
      <c r="H34" s="139" t="s">
        <v>971</v>
      </c>
      <c r="I34" s="539" t="s">
        <v>788</v>
      </c>
      <c r="J34" s="447" t="s">
        <v>787</v>
      </c>
      <c r="K34" s="430" t="s">
        <v>24</v>
      </c>
      <c r="L34" s="838" t="s">
        <v>331</v>
      </c>
      <c r="M34" s="210" t="s">
        <v>208</v>
      </c>
      <c r="N34" s="139" t="s">
        <v>916</v>
      </c>
      <c r="O34" s="428" t="s">
        <v>872</v>
      </c>
      <c r="P34" s="34" t="s">
        <v>871</v>
      </c>
      <c r="Q34" s="40" t="s">
        <v>24</v>
      </c>
      <c r="R34" s="838" t="s">
        <v>330</v>
      </c>
      <c r="S34" s="210" t="s">
        <v>62</v>
      </c>
      <c r="T34" s="56"/>
      <c r="U34" s="139">
        <v>23</v>
      </c>
      <c r="V34" s="139" t="s">
        <v>916</v>
      </c>
      <c r="W34" s="428" t="s">
        <v>872</v>
      </c>
      <c r="X34" s="34" t="s">
        <v>871</v>
      </c>
      <c r="Y34" s="40" t="s">
        <v>24</v>
      </c>
      <c r="Z34" s="838" t="s">
        <v>330</v>
      </c>
      <c r="AC34" s="440">
        <v>23</v>
      </c>
      <c r="AD34" s="441" t="s">
        <v>910</v>
      </c>
      <c r="AE34" s="663" t="s">
        <v>700</v>
      </c>
      <c r="AF34" s="54" t="s">
        <v>699</v>
      </c>
      <c r="AG34" s="42" t="s">
        <v>24</v>
      </c>
      <c r="AH34" s="838" t="s">
        <v>330</v>
      </c>
    </row>
    <row r="35" spans="1:34" ht="15.75" thickBot="1">
      <c r="A35" s="354">
        <v>23</v>
      </c>
      <c r="B35" s="457" t="s">
        <v>1038</v>
      </c>
      <c r="C35" s="432" t="s">
        <v>1157</v>
      </c>
      <c r="D35" s="426" t="s">
        <v>1110</v>
      </c>
      <c r="E35" s="433" t="s">
        <v>3</v>
      </c>
      <c r="F35" s="473" t="s">
        <v>1243</v>
      </c>
      <c r="G35">
        <v>8</v>
      </c>
      <c r="H35" s="139" t="s">
        <v>982</v>
      </c>
      <c r="I35" s="539" t="s">
        <v>675</v>
      </c>
      <c r="J35" s="447" t="s">
        <v>674</v>
      </c>
      <c r="K35" s="430" t="s">
        <v>24</v>
      </c>
      <c r="L35" s="838" t="s">
        <v>331</v>
      </c>
      <c r="M35" s="210" t="s">
        <v>2</v>
      </c>
      <c r="N35" s="34" t="s">
        <v>1184</v>
      </c>
      <c r="O35" s="429" t="s">
        <v>1200</v>
      </c>
      <c r="P35" s="844" t="s">
        <v>1199</v>
      </c>
      <c r="Q35" s="40" t="s">
        <v>24</v>
      </c>
      <c r="R35" s="838" t="s">
        <v>330</v>
      </c>
      <c r="S35" s="210" t="s">
        <v>104</v>
      </c>
      <c r="T35" s="56"/>
      <c r="U35" s="136">
        <v>24</v>
      </c>
      <c r="V35" s="34" t="s">
        <v>1184</v>
      </c>
      <c r="W35" s="429" t="s">
        <v>1200</v>
      </c>
      <c r="X35" s="844" t="s">
        <v>1199</v>
      </c>
      <c r="Y35" s="40" t="s">
        <v>24</v>
      </c>
      <c r="Z35" s="838" t="s">
        <v>330</v>
      </c>
      <c r="AC35" s="136">
        <v>24</v>
      </c>
      <c r="AD35" s="441" t="s">
        <v>911</v>
      </c>
      <c r="AE35" s="641" t="s">
        <v>866</v>
      </c>
      <c r="AF35" s="54" t="s">
        <v>865</v>
      </c>
      <c r="AG35" s="55" t="s">
        <v>24</v>
      </c>
      <c r="AH35" s="838" t="s">
        <v>330</v>
      </c>
    </row>
    <row r="36" spans="1:34">
      <c r="A36" s="354">
        <v>24</v>
      </c>
      <c r="B36" s="488" t="s">
        <v>961</v>
      </c>
      <c r="C36" s="432"/>
      <c r="D36" s="426" t="s">
        <v>831</v>
      </c>
      <c r="E36" s="433" t="s">
        <v>24</v>
      </c>
      <c r="F36" s="473" t="s">
        <v>333</v>
      </c>
      <c r="G36">
        <v>9</v>
      </c>
      <c r="H36" s="139" t="s">
        <v>996</v>
      </c>
      <c r="I36" s="539" t="s">
        <v>815</v>
      </c>
      <c r="J36" s="447" t="s">
        <v>814</v>
      </c>
      <c r="K36" s="430" t="s">
        <v>24</v>
      </c>
      <c r="L36" s="838" t="s">
        <v>646</v>
      </c>
      <c r="M36" s="210" t="s">
        <v>2</v>
      </c>
      <c r="N36" s="34" t="s">
        <v>1188</v>
      </c>
      <c r="O36" s="845" t="s">
        <v>1198</v>
      </c>
      <c r="P36" s="844" t="s">
        <v>1197</v>
      </c>
      <c r="Q36" s="40" t="s">
        <v>24</v>
      </c>
      <c r="R36" s="838" t="s">
        <v>330</v>
      </c>
      <c r="S36" s="857" t="s">
        <v>163</v>
      </c>
      <c r="T36" s="56"/>
      <c r="U36" s="139">
        <v>25</v>
      </c>
      <c r="V36" s="34" t="s">
        <v>1188</v>
      </c>
      <c r="W36" s="845" t="s">
        <v>1198</v>
      </c>
      <c r="X36" s="844" t="s">
        <v>1197</v>
      </c>
      <c r="Y36" s="40" t="s">
        <v>24</v>
      </c>
      <c r="Z36" s="838" t="s">
        <v>330</v>
      </c>
      <c r="AC36" s="440">
        <v>25</v>
      </c>
      <c r="AD36" s="441" t="s">
        <v>912</v>
      </c>
      <c r="AE36" s="663" t="s">
        <v>663</v>
      </c>
      <c r="AF36" s="22" t="s">
        <v>662</v>
      </c>
      <c r="AG36" s="42" t="s">
        <v>3</v>
      </c>
      <c r="AH36" s="838" t="s">
        <v>330</v>
      </c>
    </row>
    <row r="37" spans="1:34" ht="15.75" thickBot="1">
      <c r="A37" s="354">
        <v>25</v>
      </c>
      <c r="B37" s="458" t="s">
        <v>907</v>
      </c>
      <c r="C37" s="432" t="s">
        <v>838</v>
      </c>
      <c r="D37" s="426" t="s">
        <v>837</v>
      </c>
      <c r="E37" s="433" t="s">
        <v>24</v>
      </c>
      <c r="F37" s="473" t="s">
        <v>330</v>
      </c>
      <c r="G37">
        <v>10</v>
      </c>
      <c r="H37" s="139" t="s">
        <v>1009</v>
      </c>
      <c r="I37" s="540" t="s">
        <v>1130</v>
      </c>
      <c r="J37" s="447" t="s">
        <v>1103</v>
      </c>
      <c r="K37" s="430" t="s">
        <v>24</v>
      </c>
      <c r="L37" s="838" t="s">
        <v>646</v>
      </c>
      <c r="M37" s="210" t="s">
        <v>2</v>
      </c>
      <c r="N37" s="139" t="s">
        <v>918</v>
      </c>
      <c r="O37" s="539" t="s">
        <v>728</v>
      </c>
      <c r="P37" s="447" t="s">
        <v>727</v>
      </c>
      <c r="Q37" s="430" t="s">
        <v>3</v>
      </c>
      <c r="R37" s="430" t="s">
        <v>329</v>
      </c>
      <c r="S37" s="857"/>
      <c r="T37" s="56"/>
      <c r="U37" s="136">
        <v>26</v>
      </c>
      <c r="V37" s="139" t="s">
        <v>918</v>
      </c>
      <c r="W37" s="539" t="s">
        <v>728</v>
      </c>
      <c r="X37" s="447" t="s">
        <v>727</v>
      </c>
      <c r="Y37" s="430" t="s">
        <v>3</v>
      </c>
      <c r="Z37" s="430" t="s">
        <v>329</v>
      </c>
      <c r="AC37" s="136">
        <v>26</v>
      </c>
      <c r="AD37" s="441" t="s">
        <v>913</v>
      </c>
      <c r="AE37" s="663" t="s">
        <v>834</v>
      </c>
      <c r="AF37" s="22" t="s">
        <v>833</v>
      </c>
      <c r="AG37" s="42" t="s">
        <v>3</v>
      </c>
      <c r="AH37" s="838" t="s">
        <v>330</v>
      </c>
    </row>
    <row r="38" spans="1:34">
      <c r="A38" s="354">
        <v>27</v>
      </c>
      <c r="B38" s="458" t="s">
        <v>913</v>
      </c>
      <c r="C38" s="432" t="s">
        <v>834</v>
      </c>
      <c r="D38" s="426" t="s">
        <v>833</v>
      </c>
      <c r="E38" s="433" t="s">
        <v>3</v>
      </c>
      <c r="F38" s="473" t="s">
        <v>330</v>
      </c>
      <c r="G38">
        <v>11</v>
      </c>
      <c r="H38" s="851" t="s">
        <v>1022</v>
      </c>
      <c r="I38" s="539"/>
      <c r="J38" s="447" t="s">
        <v>1111</v>
      </c>
      <c r="K38" s="430" t="s">
        <v>24</v>
      </c>
      <c r="L38" s="838" t="s">
        <v>1243</v>
      </c>
      <c r="M38" s="210" t="s">
        <v>2</v>
      </c>
      <c r="N38" s="139" t="s">
        <v>922</v>
      </c>
      <c r="O38" s="539" t="s">
        <v>850</v>
      </c>
      <c r="P38" s="447" t="s">
        <v>849</v>
      </c>
      <c r="Q38" s="430" t="s">
        <v>3</v>
      </c>
      <c r="R38" s="430" t="s">
        <v>329</v>
      </c>
      <c r="S38" s="210" t="s">
        <v>2</v>
      </c>
      <c r="T38" s="56"/>
      <c r="U38" s="139">
        <v>27</v>
      </c>
      <c r="V38" s="139" t="s">
        <v>922</v>
      </c>
      <c r="W38" s="539" t="s">
        <v>850</v>
      </c>
      <c r="X38" s="447" t="s">
        <v>849</v>
      </c>
      <c r="Y38" s="430" t="s">
        <v>3</v>
      </c>
      <c r="Z38" s="430" t="s">
        <v>329</v>
      </c>
      <c r="AC38" s="440">
        <v>27</v>
      </c>
      <c r="AD38" s="441" t="s">
        <v>914</v>
      </c>
      <c r="AE38" s="663" t="s">
        <v>794</v>
      </c>
      <c r="AF38" s="22" t="s">
        <v>793</v>
      </c>
      <c r="AG38" s="42" t="s">
        <v>24</v>
      </c>
      <c r="AH38" s="838" t="s">
        <v>330</v>
      </c>
    </row>
    <row r="39" spans="1:34" ht="15.75" thickBot="1">
      <c r="A39" s="354">
        <v>28</v>
      </c>
      <c r="B39" s="458" t="s">
        <v>1063</v>
      </c>
      <c r="C39" s="432" t="s">
        <v>1125</v>
      </c>
      <c r="D39" s="426" t="s">
        <v>1124</v>
      </c>
      <c r="E39" s="433" t="s">
        <v>3</v>
      </c>
      <c r="F39" s="473" t="s">
        <v>1243</v>
      </c>
      <c r="G39">
        <v>12</v>
      </c>
      <c r="H39" s="860" t="s">
        <v>1000</v>
      </c>
      <c r="I39" s="861" t="s">
        <v>809</v>
      </c>
      <c r="J39" s="862" t="s">
        <v>808</v>
      </c>
      <c r="K39" s="863" t="s">
        <v>24</v>
      </c>
      <c r="L39" s="863" t="s">
        <v>646</v>
      </c>
      <c r="M39" s="864" t="s">
        <v>2</v>
      </c>
      <c r="N39" s="139" t="s">
        <v>923</v>
      </c>
      <c r="O39" s="539" t="s">
        <v>776</v>
      </c>
      <c r="P39" s="447" t="s">
        <v>775</v>
      </c>
      <c r="Q39" s="430" t="s">
        <v>3</v>
      </c>
      <c r="R39" s="430" t="s">
        <v>329</v>
      </c>
      <c r="S39" s="210" t="s">
        <v>62</v>
      </c>
      <c r="T39" s="56"/>
      <c r="U39" s="136">
        <v>28</v>
      </c>
      <c r="V39" s="139" t="s">
        <v>923</v>
      </c>
      <c r="W39" s="539" t="s">
        <v>776</v>
      </c>
      <c r="X39" s="447" t="s">
        <v>775</v>
      </c>
      <c r="Y39" s="430" t="s">
        <v>3</v>
      </c>
      <c r="Z39" s="430" t="s">
        <v>329</v>
      </c>
      <c r="AC39" s="136">
        <v>28</v>
      </c>
      <c r="AD39" s="441" t="s">
        <v>915</v>
      </c>
      <c r="AE39" s="663" t="s">
        <v>844</v>
      </c>
      <c r="AF39" s="22" t="s">
        <v>843</v>
      </c>
      <c r="AG39" s="42" t="s">
        <v>24</v>
      </c>
      <c r="AH39" s="838" t="s">
        <v>330</v>
      </c>
    </row>
    <row r="40" spans="1:34">
      <c r="A40" s="354">
        <v>29</v>
      </c>
      <c r="B40" s="457" t="s">
        <v>1064</v>
      </c>
      <c r="C40" s="432" t="s">
        <v>807</v>
      </c>
      <c r="D40" s="426" t="s">
        <v>806</v>
      </c>
      <c r="E40" s="433" t="s">
        <v>24</v>
      </c>
      <c r="F40" s="473" t="s">
        <v>1243</v>
      </c>
      <c r="G40">
        <v>13</v>
      </c>
      <c r="H40" s="860" t="s">
        <v>974</v>
      </c>
      <c r="I40" s="861" t="s">
        <v>738</v>
      </c>
      <c r="J40" s="862" t="s">
        <v>737</v>
      </c>
      <c r="K40" s="863" t="s">
        <v>24</v>
      </c>
      <c r="L40" s="863" t="s">
        <v>331</v>
      </c>
      <c r="M40" s="864" t="s">
        <v>2</v>
      </c>
      <c r="N40" s="139" t="s">
        <v>925</v>
      </c>
      <c r="O40" s="539"/>
      <c r="P40" s="447" t="s">
        <v>825</v>
      </c>
      <c r="Q40" s="430" t="s">
        <v>3</v>
      </c>
      <c r="R40" s="430" t="s">
        <v>329</v>
      </c>
      <c r="S40" s="210" t="s">
        <v>104</v>
      </c>
      <c r="T40" s="56"/>
      <c r="U40" s="139">
        <v>29</v>
      </c>
      <c r="V40" s="139" t="s">
        <v>925</v>
      </c>
      <c r="W40" s="539"/>
      <c r="X40" s="447" t="s">
        <v>825</v>
      </c>
      <c r="Y40" s="430" t="s">
        <v>3</v>
      </c>
      <c r="Z40" s="430" t="s">
        <v>329</v>
      </c>
      <c r="AC40" s="440">
        <v>29</v>
      </c>
      <c r="AD40" s="441" t="s">
        <v>916</v>
      </c>
      <c r="AE40" s="663" t="s">
        <v>872</v>
      </c>
      <c r="AF40" s="22" t="s">
        <v>871</v>
      </c>
      <c r="AG40" s="42" t="s">
        <v>24</v>
      </c>
      <c r="AH40" s="838" t="s">
        <v>330</v>
      </c>
    </row>
    <row r="41" spans="1:34" ht="15.75" thickBot="1">
      <c r="A41" s="354">
        <v>30</v>
      </c>
      <c r="B41" s="458" t="s">
        <v>915</v>
      </c>
      <c r="C41" s="432" t="s">
        <v>844</v>
      </c>
      <c r="D41" s="426" t="s">
        <v>843</v>
      </c>
      <c r="E41" s="433" t="s">
        <v>24</v>
      </c>
      <c r="F41" s="473" t="s">
        <v>330</v>
      </c>
      <c r="G41">
        <v>14</v>
      </c>
      <c r="H41" s="865" t="s">
        <v>966</v>
      </c>
      <c r="I41" s="861" t="s">
        <v>790</v>
      </c>
      <c r="J41" s="862" t="s">
        <v>789</v>
      </c>
      <c r="K41" s="863" t="s">
        <v>24</v>
      </c>
      <c r="L41" s="863" t="s">
        <v>333</v>
      </c>
      <c r="M41" s="864" t="s">
        <v>2</v>
      </c>
      <c r="N41" s="846" t="s">
        <v>928</v>
      </c>
      <c r="O41" s="847" t="s">
        <v>730</v>
      </c>
      <c r="P41" s="848" t="s">
        <v>729</v>
      </c>
      <c r="Q41" s="849" t="s">
        <v>3</v>
      </c>
      <c r="R41" s="430" t="s">
        <v>329</v>
      </c>
      <c r="S41" s="857" t="s">
        <v>163</v>
      </c>
      <c r="T41" s="56"/>
      <c r="U41" s="136">
        <v>30</v>
      </c>
      <c r="V41" s="846" t="s">
        <v>928</v>
      </c>
      <c r="W41" s="847" t="s">
        <v>730</v>
      </c>
      <c r="X41" s="848" t="s">
        <v>729</v>
      </c>
      <c r="Y41" s="849" t="s">
        <v>3</v>
      </c>
      <c r="Z41" s="430" t="s">
        <v>329</v>
      </c>
      <c r="AC41" s="136">
        <v>30</v>
      </c>
      <c r="AD41" s="441" t="s">
        <v>917</v>
      </c>
      <c r="AE41" s="663" t="s">
        <v>726</v>
      </c>
      <c r="AF41" s="22" t="s">
        <v>725</v>
      </c>
      <c r="AG41" s="42" t="s">
        <v>3</v>
      </c>
      <c r="AH41" s="838" t="s">
        <v>330</v>
      </c>
    </row>
    <row r="42" spans="1:34">
      <c r="A42" s="354">
        <v>31</v>
      </c>
      <c r="B42" s="488" t="s">
        <v>966</v>
      </c>
      <c r="C42" s="432" t="s">
        <v>790</v>
      </c>
      <c r="D42" s="426" t="s">
        <v>789</v>
      </c>
      <c r="E42" s="433" t="s">
        <v>24</v>
      </c>
      <c r="F42" s="473" t="s">
        <v>333</v>
      </c>
      <c r="G42">
        <v>15</v>
      </c>
      <c r="H42" s="139" t="s">
        <v>995</v>
      </c>
      <c r="I42" s="539" t="s">
        <v>712</v>
      </c>
      <c r="J42" s="447" t="s">
        <v>711</v>
      </c>
      <c r="K42" s="430" t="s">
        <v>24</v>
      </c>
      <c r="L42" s="838" t="s">
        <v>331</v>
      </c>
      <c r="M42" s="210" t="s">
        <v>2</v>
      </c>
      <c r="N42" s="139" t="s">
        <v>929</v>
      </c>
      <c r="O42" s="539" t="s">
        <v>692</v>
      </c>
      <c r="P42" s="447" t="s">
        <v>691</v>
      </c>
      <c r="Q42" s="430" t="s">
        <v>3</v>
      </c>
      <c r="R42" s="430" t="s">
        <v>329</v>
      </c>
      <c r="S42" s="857" t="s">
        <v>208</v>
      </c>
      <c r="T42" s="56"/>
      <c r="U42" s="139">
        <v>31</v>
      </c>
      <c r="V42" s="139" t="s">
        <v>929</v>
      </c>
      <c r="W42" s="539" t="s">
        <v>692</v>
      </c>
      <c r="X42" s="447" t="s">
        <v>691</v>
      </c>
      <c r="Y42" s="430" t="s">
        <v>3</v>
      </c>
      <c r="Z42" s="430" t="s">
        <v>329</v>
      </c>
      <c r="AA42" s="841"/>
      <c r="AB42" s="199"/>
      <c r="AC42" s="440">
        <v>31</v>
      </c>
      <c r="AD42" s="23" t="s">
        <v>1184</v>
      </c>
      <c r="AE42" s="659" t="s">
        <v>1200</v>
      </c>
      <c r="AF42" s="658" t="s">
        <v>1199</v>
      </c>
      <c r="AG42" s="46" t="s">
        <v>24</v>
      </c>
      <c r="AH42" s="838" t="s">
        <v>330</v>
      </c>
    </row>
    <row r="43" spans="1:34" ht="15.75" thickBot="1">
      <c r="A43" s="355">
        <v>32</v>
      </c>
      <c r="B43" s="874" t="s">
        <v>995</v>
      </c>
      <c r="C43" s="868" t="s">
        <v>712</v>
      </c>
      <c r="D43" s="869" t="s">
        <v>711</v>
      </c>
      <c r="E43" s="870" t="s">
        <v>24</v>
      </c>
      <c r="F43" s="944" t="s">
        <v>331</v>
      </c>
      <c r="G43">
        <v>16</v>
      </c>
      <c r="H43" s="851" t="s">
        <v>1064</v>
      </c>
      <c r="I43" s="539" t="s">
        <v>807</v>
      </c>
      <c r="J43" s="447" t="s">
        <v>806</v>
      </c>
      <c r="K43" s="430" t="s">
        <v>24</v>
      </c>
      <c r="L43" s="838" t="s">
        <v>1243</v>
      </c>
      <c r="M43" s="857" t="s">
        <v>2</v>
      </c>
      <c r="N43" s="139" t="s">
        <v>930</v>
      </c>
      <c r="O43" s="539" t="s">
        <v>823</v>
      </c>
      <c r="P43" s="447" t="s">
        <v>822</v>
      </c>
      <c r="Q43" s="430" t="s">
        <v>3</v>
      </c>
      <c r="R43" s="430" t="s">
        <v>329</v>
      </c>
      <c r="S43" s="210" t="s">
        <v>2</v>
      </c>
      <c r="T43" s="56"/>
      <c r="U43" s="136">
        <v>32</v>
      </c>
      <c r="V43" s="139" t="s">
        <v>930</v>
      </c>
      <c r="W43" s="539" t="s">
        <v>823</v>
      </c>
      <c r="X43" s="447" t="s">
        <v>822</v>
      </c>
      <c r="Y43" s="430" t="s">
        <v>3</v>
      </c>
      <c r="Z43" s="430" t="s">
        <v>329</v>
      </c>
      <c r="AC43" s="136">
        <v>32</v>
      </c>
      <c r="AD43" s="22" t="s">
        <v>1188</v>
      </c>
      <c r="AE43" s="640" t="s">
        <v>1198</v>
      </c>
      <c r="AF43" s="657" t="s">
        <v>1197</v>
      </c>
      <c r="AG43" s="42" t="s">
        <v>24</v>
      </c>
      <c r="AH43" s="838" t="s">
        <v>330</v>
      </c>
    </row>
    <row r="44" spans="1:34" ht="15.75" thickBot="1">
      <c r="A44" s="109" t="s">
        <v>24</v>
      </c>
      <c r="B44" s="128">
        <v>16</v>
      </c>
      <c r="C44" s="129"/>
      <c r="D44" s="129"/>
      <c r="E44" s="128"/>
      <c r="F44" s="180"/>
      <c r="G44">
        <v>1</v>
      </c>
      <c r="H44" s="139" t="s">
        <v>888</v>
      </c>
      <c r="I44" s="428" t="s">
        <v>846</v>
      </c>
      <c r="J44" s="34" t="s">
        <v>845</v>
      </c>
      <c r="K44" s="40" t="s">
        <v>3</v>
      </c>
      <c r="L44" s="838" t="s">
        <v>330</v>
      </c>
      <c r="M44" s="210" t="s">
        <v>62</v>
      </c>
      <c r="N44" s="139" t="s">
        <v>931</v>
      </c>
      <c r="O44" s="539" t="s">
        <v>821</v>
      </c>
      <c r="P44" s="447" t="s">
        <v>820</v>
      </c>
      <c r="Q44" s="430" t="s">
        <v>3</v>
      </c>
      <c r="R44" s="430" t="s">
        <v>329</v>
      </c>
      <c r="S44" s="210" t="s">
        <v>62</v>
      </c>
      <c r="T44" s="56"/>
      <c r="U44" s="139">
        <v>33</v>
      </c>
      <c r="V44" s="139" t="s">
        <v>931</v>
      </c>
      <c r="W44" s="539" t="s">
        <v>821</v>
      </c>
      <c r="X44" s="447" t="s">
        <v>820</v>
      </c>
      <c r="Y44" s="430" t="s">
        <v>3</v>
      </c>
      <c r="Z44" s="430" t="s">
        <v>329</v>
      </c>
      <c r="AC44" s="440">
        <v>33</v>
      </c>
      <c r="AD44" s="520" t="s">
        <v>918</v>
      </c>
      <c r="AE44" s="439" t="s">
        <v>728</v>
      </c>
      <c r="AF44" s="351" t="s">
        <v>727</v>
      </c>
      <c r="AG44" s="352" t="s">
        <v>3</v>
      </c>
      <c r="AH44" s="839" t="s">
        <v>329</v>
      </c>
    </row>
    <row r="45" spans="1:34" ht="15.75" thickBot="1">
      <c r="A45" s="110" t="s">
        <v>3</v>
      </c>
      <c r="B45" s="111">
        <v>16</v>
      </c>
      <c r="C45" s="112"/>
      <c r="D45" s="112"/>
      <c r="E45" s="111"/>
      <c r="F45" s="181"/>
      <c r="G45">
        <v>2</v>
      </c>
      <c r="H45" s="139" t="s">
        <v>903</v>
      </c>
      <c r="I45" s="428" t="s">
        <v>720</v>
      </c>
      <c r="J45" s="34" t="s">
        <v>719</v>
      </c>
      <c r="K45" s="40" t="s">
        <v>3</v>
      </c>
      <c r="L45" s="838" t="s">
        <v>330</v>
      </c>
      <c r="M45" s="210" t="s">
        <v>62</v>
      </c>
      <c r="N45" s="139" t="s">
        <v>932</v>
      </c>
      <c r="O45" s="539" t="s">
        <v>756</v>
      </c>
      <c r="P45" s="447" t="s">
        <v>755</v>
      </c>
      <c r="Q45" s="430" t="s">
        <v>3</v>
      </c>
      <c r="R45" s="430" t="s">
        <v>329</v>
      </c>
      <c r="S45" s="210" t="s">
        <v>104</v>
      </c>
      <c r="T45" s="56"/>
      <c r="U45" s="136">
        <v>34</v>
      </c>
      <c r="V45" s="139" t="s">
        <v>932</v>
      </c>
      <c r="W45" s="539" t="s">
        <v>756</v>
      </c>
      <c r="X45" s="447" t="s">
        <v>755</v>
      </c>
      <c r="Y45" s="430" t="s">
        <v>3</v>
      </c>
      <c r="Z45" s="430" t="s">
        <v>329</v>
      </c>
      <c r="AC45" s="136">
        <v>34</v>
      </c>
      <c r="AD45" s="499" t="s">
        <v>920</v>
      </c>
      <c r="AE45" s="432" t="s">
        <v>840</v>
      </c>
      <c r="AF45" s="426" t="s">
        <v>839</v>
      </c>
      <c r="AG45" s="433" t="s">
        <v>24</v>
      </c>
      <c r="AH45" s="839" t="s">
        <v>329</v>
      </c>
    </row>
    <row r="46" spans="1:34" ht="15.75" thickBot="1">
      <c r="A46" s="103"/>
      <c r="B46" s="116"/>
      <c r="C46" s="117"/>
      <c r="D46" s="182"/>
      <c r="E46" s="810" t="s">
        <v>1242</v>
      </c>
      <c r="F46" s="117"/>
      <c r="G46">
        <v>3</v>
      </c>
      <c r="H46" s="139" t="s">
        <v>923</v>
      </c>
      <c r="I46" s="539" t="s">
        <v>776</v>
      </c>
      <c r="J46" s="447" t="s">
        <v>775</v>
      </c>
      <c r="K46" s="430" t="s">
        <v>3</v>
      </c>
      <c r="L46" s="430" t="s">
        <v>329</v>
      </c>
      <c r="M46" s="210" t="s">
        <v>62</v>
      </c>
      <c r="N46" s="139" t="s">
        <v>935</v>
      </c>
      <c r="O46" s="539" t="s">
        <v>758</v>
      </c>
      <c r="P46" s="447" t="s">
        <v>757</v>
      </c>
      <c r="Q46" s="430" t="s">
        <v>3</v>
      </c>
      <c r="R46" s="430" t="s">
        <v>329</v>
      </c>
      <c r="S46" s="857" t="s">
        <v>163</v>
      </c>
      <c r="T46" s="211"/>
      <c r="U46" s="139">
        <v>35</v>
      </c>
      <c r="V46" s="139" t="s">
        <v>935</v>
      </c>
      <c r="W46" s="539" t="s">
        <v>758</v>
      </c>
      <c r="X46" s="447" t="s">
        <v>757</v>
      </c>
      <c r="Y46" s="430" t="s">
        <v>3</v>
      </c>
      <c r="Z46" s="430" t="s">
        <v>329</v>
      </c>
      <c r="AC46" s="440">
        <v>35</v>
      </c>
      <c r="AD46" s="499" t="s">
        <v>921</v>
      </c>
      <c r="AE46" s="432" t="s">
        <v>718</v>
      </c>
      <c r="AF46" s="426" t="s">
        <v>717</v>
      </c>
      <c r="AG46" s="433" t="s">
        <v>24</v>
      </c>
      <c r="AH46" s="839" t="s">
        <v>329</v>
      </c>
    </row>
    <row r="47" spans="1:34" ht="15.75" thickBot="1">
      <c r="A47" s="103"/>
      <c r="B47" s="103"/>
      <c r="C47" s="115"/>
      <c r="D47" s="115"/>
      <c r="E47" s="115" t="s">
        <v>84</v>
      </c>
      <c r="F47" s="115"/>
      <c r="G47">
        <v>4</v>
      </c>
      <c r="H47" s="139" t="s">
        <v>931</v>
      </c>
      <c r="I47" s="539" t="s">
        <v>821</v>
      </c>
      <c r="J47" s="447" t="s">
        <v>820</v>
      </c>
      <c r="K47" s="430" t="s">
        <v>3</v>
      </c>
      <c r="L47" s="430" t="s">
        <v>329</v>
      </c>
      <c r="M47" s="210" t="s">
        <v>62</v>
      </c>
      <c r="N47" s="139" t="s">
        <v>940</v>
      </c>
      <c r="O47" s="539" t="s">
        <v>669</v>
      </c>
      <c r="P47" s="447" t="s">
        <v>668</v>
      </c>
      <c r="Q47" s="430" t="s">
        <v>3</v>
      </c>
      <c r="R47" s="430" t="s">
        <v>329</v>
      </c>
      <c r="S47" s="857" t="s">
        <v>208</v>
      </c>
      <c r="T47" s="211"/>
      <c r="U47" s="136">
        <v>36</v>
      </c>
      <c r="V47" s="139" t="s">
        <v>940</v>
      </c>
      <c r="W47" s="539" t="s">
        <v>669</v>
      </c>
      <c r="X47" s="447" t="s">
        <v>668</v>
      </c>
      <c r="Y47" s="430" t="s">
        <v>3</v>
      </c>
      <c r="Z47" s="430" t="s">
        <v>329</v>
      </c>
      <c r="AC47" s="136">
        <v>36</v>
      </c>
      <c r="AD47" s="499" t="s">
        <v>922</v>
      </c>
      <c r="AE47" s="432" t="s">
        <v>850</v>
      </c>
      <c r="AF47" s="426" t="s">
        <v>849</v>
      </c>
      <c r="AG47" s="433" t="s">
        <v>3</v>
      </c>
      <c r="AH47" s="839" t="s">
        <v>329</v>
      </c>
    </row>
    <row r="48" spans="1:34" ht="47.25" customHeight="1" thickBot="1">
      <c r="A48" s="103"/>
      <c r="B48" s="605"/>
      <c r="C48" s="539"/>
      <c r="D48" s="447"/>
      <c r="E48" s="430"/>
      <c r="F48" s="430"/>
      <c r="G48">
        <v>5</v>
      </c>
      <c r="H48" s="850" t="s">
        <v>944</v>
      </c>
      <c r="I48" s="539" t="s">
        <v>770</v>
      </c>
      <c r="J48" s="447" t="s">
        <v>769</v>
      </c>
      <c r="K48" s="430" t="s">
        <v>3</v>
      </c>
      <c r="L48" s="838" t="s">
        <v>333</v>
      </c>
      <c r="M48" s="210" t="s">
        <v>2</v>
      </c>
      <c r="N48" s="139" t="s">
        <v>921</v>
      </c>
      <c r="O48" s="539" t="s">
        <v>718</v>
      </c>
      <c r="P48" s="447" t="s">
        <v>717</v>
      </c>
      <c r="Q48" s="430" t="s">
        <v>24</v>
      </c>
      <c r="R48" s="430" t="s">
        <v>329</v>
      </c>
      <c r="S48" s="210" t="s">
        <v>2</v>
      </c>
      <c r="T48" s="211"/>
      <c r="U48" s="139">
        <v>37</v>
      </c>
      <c r="V48" s="139" t="s">
        <v>921</v>
      </c>
      <c r="W48" s="539" t="s">
        <v>718</v>
      </c>
      <c r="X48" s="447" t="s">
        <v>717</v>
      </c>
      <c r="Y48" s="430" t="s">
        <v>24</v>
      </c>
      <c r="Z48" s="430" t="s">
        <v>329</v>
      </c>
      <c r="AC48" s="440">
        <v>37</v>
      </c>
      <c r="AD48" s="499" t="s">
        <v>923</v>
      </c>
      <c r="AE48" s="432" t="s">
        <v>776</v>
      </c>
      <c r="AF48" s="426" t="s">
        <v>775</v>
      </c>
      <c r="AG48" s="433" t="s">
        <v>3</v>
      </c>
      <c r="AH48" s="839" t="s">
        <v>329</v>
      </c>
    </row>
    <row r="49" spans="1:34" ht="15.75" thickBot="1">
      <c r="A49" s="103"/>
      <c r="B49" s="103"/>
      <c r="C49" s="115"/>
      <c r="D49" s="115"/>
      <c r="E49" s="121" t="str">
        <f>WLKLS!B7</f>
        <v>RINA PARISYANA</v>
      </c>
      <c r="F49" s="115"/>
      <c r="G49">
        <v>6</v>
      </c>
      <c r="H49" s="850" t="s">
        <v>955</v>
      </c>
      <c r="I49" s="539" t="s">
        <v>852</v>
      </c>
      <c r="J49" s="447" t="s">
        <v>851</v>
      </c>
      <c r="K49" s="430" t="s">
        <v>3</v>
      </c>
      <c r="L49" s="838" t="s">
        <v>333</v>
      </c>
      <c r="M49" s="210" t="s">
        <v>62</v>
      </c>
      <c r="N49" s="139" t="s">
        <v>926</v>
      </c>
      <c r="O49" s="539" t="s">
        <v>706</v>
      </c>
      <c r="P49" s="447" t="s">
        <v>705</v>
      </c>
      <c r="Q49" s="430" t="s">
        <v>24</v>
      </c>
      <c r="R49" s="430" t="s">
        <v>329</v>
      </c>
      <c r="S49" s="210" t="s">
        <v>62</v>
      </c>
      <c r="T49" s="56"/>
      <c r="U49" s="136">
        <v>38</v>
      </c>
      <c r="V49" s="139" t="s">
        <v>926</v>
      </c>
      <c r="W49" s="539" t="s">
        <v>706</v>
      </c>
      <c r="X49" s="447" t="s">
        <v>705</v>
      </c>
      <c r="Y49" s="430" t="s">
        <v>24</v>
      </c>
      <c r="Z49" s="430" t="s">
        <v>329</v>
      </c>
      <c r="AC49" s="136">
        <v>38</v>
      </c>
      <c r="AD49" s="499" t="s">
        <v>924</v>
      </c>
      <c r="AE49" s="432" t="s">
        <v>667</v>
      </c>
      <c r="AF49" s="426" t="s">
        <v>666</v>
      </c>
      <c r="AG49" s="433" t="s">
        <v>3</v>
      </c>
      <c r="AH49" s="839" t="s">
        <v>329</v>
      </c>
    </row>
    <row r="50" spans="1:34" ht="15.75" thickBot="1">
      <c r="A50" s="103"/>
      <c r="B50" s="103"/>
      <c r="C50" s="115"/>
      <c r="D50" s="183"/>
      <c r="E50" s="247" t="str">
        <f>WLKLS!C7</f>
        <v>NIP.199209072024212041</v>
      </c>
      <c r="F50" s="115"/>
      <c r="G50">
        <v>7</v>
      </c>
      <c r="H50" s="139" t="s">
        <v>978</v>
      </c>
      <c r="I50" s="539" t="s">
        <v>743</v>
      </c>
      <c r="J50" s="447" t="s">
        <v>742</v>
      </c>
      <c r="K50" s="430" t="s">
        <v>3</v>
      </c>
      <c r="L50" s="838" t="s">
        <v>331</v>
      </c>
      <c r="M50" s="210" t="s">
        <v>62</v>
      </c>
      <c r="N50" s="139" t="s">
        <v>927</v>
      </c>
      <c r="O50" s="539" t="s">
        <v>786</v>
      </c>
      <c r="P50" s="447" t="s">
        <v>785</v>
      </c>
      <c r="Q50" s="430" t="s">
        <v>24</v>
      </c>
      <c r="R50" s="430" t="s">
        <v>329</v>
      </c>
      <c r="S50" s="210" t="s">
        <v>104</v>
      </c>
      <c r="T50" s="56"/>
      <c r="U50" s="139">
        <v>39</v>
      </c>
      <c r="V50" s="139" t="s">
        <v>927</v>
      </c>
      <c r="W50" s="539" t="s">
        <v>786</v>
      </c>
      <c r="X50" s="447" t="s">
        <v>785</v>
      </c>
      <c r="Y50" s="430" t="s">
        <v>24</v>
      </c>
      <c r="Z50" s="430" t="s">
        <v>329</v>
      </c>
      <c r="AC50" s="440">
        <v>39</v>
      </c>
      <c r="AD50" s="499" t="s">
        <v>925</v>
      </c>
      <c r="AE50" s="432"/>
      <c r="AF50" s="426" t="s">
        <v>825</v>
      </c>
      <c r="AG50" s="433" t="s">
        <v>3</v>
      </c>
      <c r="AH50" s="839" t="s">
        <v>329</v>
      </c>
    </row>
    <row r="51" spans="1:34" ht="14.25" customHeight="1" thickBot="1">
      <c r="A51" s="103"/>
      <c r="B51" s="103"/>
      <c r="C51" s="115"/>
      <c r="D51" s="183"/>
      <c r="E51" s="121"/>
      <c r="F51" s="183"/>
      <c r="G51">
        <v>8</v>
      </c>
      <c r="H51" s="139" t="s">
        <v>1002</v>
      </c>
      <c r="I51" s="540" t="s">
        <v>1133</v>
      </c>
      <c r="J51" s="447" t="s">
        <v>1132</v>
      </c>
      <c r="K51" s="430" t="s">
        <v>3</v>
      </c>
      <c r="L51" s="838" t="s">
        <v>646</v>
      </c>
      <c r="M51" s="210" t="s">
        <v>62</v>
      </c>
      <c r="N51" s="139" t="s">
        <v>934</v>
      </c>
      <c r="O51" s="539" t="s">
        <v>704</v>
      </c>
      <c r="P51" s="447" t="s">
        <v>703</v>
      </c>
      <c r="Q51" s="430" t="s">
        <v>24</v>
      </c>
      <c r="R51" s="430" t="s">
        <v>329</v>
      </c>
      <c r="S51" s="857" t="s">
        <v>163</v>
      </c>
      <c r="T51" s="56"/>
      <c r="U51" s="136">
        <v>40</v>
      </c>
      <c r="V51" s="139" t="s">
        <v>934</v>
      </c>
      <c r="W51" s="539" t="s">
        <v>704</v>
      </c>
      <c r="X51" s="447" t="s">
        <v>703</v>
      </c>
      <c r="Y51" s="430" t="s">
        <v>24</v>
      </c>
      <c r="Z51" s="430" t="s">
        <v>329</v>
      </c>
      <c r="AA51" s="842"/>
      <c r="AB51" s="201"/>
      <c r="AC51" s="136">
        <v>40</v>
      </c>
      <c r="AD51" s="499" t="s">
        <v>926</v>
      </c>
      <c r="AE51" s="432" t="s">
        <v>706</v>
      </c>
      <c r="AF51" s="426" t="s">
        <v>705</v>
      </c>
      <c r="AG51" s="433" t="s">
        <v>24</v>
      </c>
      <c r="AH51" s="839" t="s">
        <v>329</v>
      </c>
    </row>
    <row r="52" spans="1:34" ht="15.75" thickBot="1">
      <c r="A52" s="1018" t="s">
        <v>0</v>
      </c>
      <c r="B52" s="1018"/>
      <c r="C52" s="1018"/>
      <c r="D52" s="1018"/>
      <c r="E52" s="1018"/>
      <c r="F52" s="1018"/>
      <c r="G52">
        <v>9</v>
      </c>
      <c r="H52" s="139" t="s">
        <v>1011</v>
      </c>
      <c r="I52" s="539" t="s">
        <v>1159</v>
      </c>
      <c r="J52" s="447" t="s">
        <v>1113</v>
      </c>
      <c r="K52" s="430" t="s">
        <v>3</v>
      </c>
      <c r="L52" s="838" t="s">
        <v>646</v>
      </c>
      <c r="M52" s="210" t="s">
        <v>62</v>
      </c>
      <c r="N52" s="139" t="s">
        <v>936</v>
      </c>
      <c r="O52" s="539" t="s">
        <v>740</v>
      </c>
      <c r="P52" s="447" t="s">
        <v>739</v>
      </c>
      <c r="Q52" s="430" t="s">
        <v>24</v>
      </c>
      <c r="R52" s="430" t="s">
        <v>329</v>
      </c>
      <c r="S52" s="857" t="s">
        <v>208</v>
      </c>
      <c r="T52" s="56"/>
      <c r="U52" s="139">
        <v>41</v>
      </c>
      <c r="V52" s="139" t="s">
        <v>936</v>
      </c>
      <c r="W52" s="539" t="s">
        <v>740</v>
      </c>
      <c r="X52" s="447" t="s">
        <v>739</v>
      </c>
      <c r="Y52" s="430" t="s">
        <v>24</v>
      </c>
      <c r="Z52" s="430" t="s">
        <v>329</v>
      </c>
      <c r="AC52" s="440">
        <v>41</v>
      </c>
      <c r="AD52" s="499" t="s">
        <v>927</v>
      </c>
      <c r="AE52" s="432" t="s">
        <v>786</v>
      </c>
      <c r="AF52" s="426" t="s">
        <v>785</v>
      </c>
      <c r="AG52" s="433" t="s">
        <v>24</v>
      </c>
      <c r="AH52" s="839" t="s">
        <v>329</v>
      </c>
    </row>
    <row r="53" spans="1:34" ht="15.75" thickBot="1">
      <c r="A53" s="1018" t="s">
        <v>1</v>
      </c>
      <c r="B53" s="1018"/>
      <c r="C53" s="1018"/>
      <c r="D53" s="1018"/>
      <c r="E53" s="1018"/>
      <c r="F53" s="1018"/>
      <c r="G53">
        <v>10</v>
      </c>
      <c r="H53" s="138" t="s">
        <v>1023</v>
      </c>
      <c r="I53" s="540" t="s">
        <v>1137</v>
      </c>
      <c r="J53" s="447" t="s">
        <v>1095</v>
      </c>
      <c r="K53" s="430" t="s">
        <v>3</v>
      </c>
      <c r="L53" s="838" t="s">
        <v>1243</v>
      </c>
      <c r="M53" s="210" t="s">
        <v>62</v>
      </c>
      <c r="N53" s="139" t="s">
        <v>938</v>
      </c>
      <c r="O53" s="539" t="s">
        <v>782</v>
      </c>
      <c r="P53" s="447" t="s">
        <v>781</v>
      </c>
      <c r="Q53" s="430" t="s">
        <v>24</v>
      </c>
      <c r="R53" s="430" t="s">
        <v>329</v>
      </c>
      <c r="S53" s="210"/>
      <c r="T53" s="56"/>
      <c r="U53" s="136">
        <v>42</v>
      </c>
      <c r="V53" s="139" t="s">
        <v>938</v>
      </c>
      <c r="W53" s="539" t="s">
        <v>782</v>
      </c>
      <c r="X53" s="447" t="s">
        <v>781</v>
      </c>
      <c r="Y53" s="430" t="s">
        <v>24</v>
      </c>
      <c r="Z53" s="430" t="s">
        <v>329</v>
      </c>
      <c r="AC53" s="136">
        <v>42</v>
      </c>
      <c r="AD53" s="698" t="s">
        <v>928</v>
      </c>
      <c r="AE53" s="699" t="s">
        <v>730</v>
      </c>
      <c r="AF53" s="700" t="s">
        <v>729</v>
      </c>
      <c r="AG53" s="701" t="s">
        <v>3</v>
      </c>
      <c r="AH53" s="839" t="s">
        <v>329</v>
      </c>
    </row>
    <row r="54" spans="1:34" ht="15.75" thickBot="1">
      <c r="A54" s="1018" t="s">
        <v>4</v>
      </c>
      <c r="B54" s="1018"/>
      <c r="C54" s="1018"/>
      <c r="D54" s="1018"/>
      <c r="E54" s="1018"/>
      <c r="F54" s="1018"/>
      <c r="G54">
        <v>11</v>
      </c>
      <c r="H54" s="138" t="s">
        <v>1039</v>
      </c>
      <c r="I54" s="540" t="s">
        <v>1123</v>
      </c>
      <c r="J54" s="542" t="s">
        <v>1087</v>
      </c>
      <c r="K54" s="430" t="s">
        <v>3</v>
      </c>
      <c r="L54" s="838" t="s">
        <v>1243</v>
      </c>
      <c r="M54" s="210" t="s">
        <v>62</v>
      </c>
      <c r="N54" s="139" t="s">
        <v>939</v>
      </c>
      <c r="O54" s="539" t="s">
        <v>722</v>
      </c>
      <c r="P54" s="447" t="s">
        <v>721</v>
      </c>
      <c r="Q54" s="430" t="s">
        <v>24</v>
      </c>
      <c r="R54" s="430" t="s">
        <v>329</v>
      </c>
      <c r="S54" s="210"/>
      <c r="T54" s="56"/>
      <c r="U54" s="139">
        <v>43</v>
      </c>
      <c r="V54" s="139" t="s">
        <v>939</v>
      </c>
      <c r="W54" s="539" t="s">
        <v>722</v>
      </c>
      <c r="X54" s="447" t="s">
        <v>721</v>
      </c>
      <c r="Y54" s="430" t="s">
        <v>24</v>
      </c>
      <c r="Z54" s="430" t="s">
        <v>329</v>
      </c>
      <c r="AC54" s="440">
        <v>43</v>
      </c>
      <c r="AD54" s="499" t="s">
        <v>929</v>
      </c>
      <c r="AE54" s="432" t="s">
        <v>692</v>
      </c>
      <c r="AF54" s="426" t="s">
        <v>691</v>
      </c>
      <c r="AG54" s="433" t="s">
        <v>3</v>
      </c>
      <c r="AH54" s="839" t="s">
        <v>329</v>
      </c>
    </row>
    <row r="55" spans="1:34" ht="15.75" thickBot="1">
      <c r="A55" s="1019" t="s">
        <v>6</v>
      </c>
      <c r="B55" s="1019"/>
      <c r="C55" s="1019"/>
      <c r="D55" s="1019"/>
      <c r="E55" s="1019"/>
      <c r="F55" s="1019"/>
      <c r="G55">
        <v>12</v>
      </c>
      <c r="H55" s="398" t="s">
        <v>970</v>
      </c>
      <c r="I55" s="832" t="s">
        <v>745</v>
      </c>
      <c r="J55" s="51" t="s">
        <v>744</v>
      </c>
      <c r="K55" s="41" t="s">
        <v>3</v>
      </c>
      <c r="L55" s="41" t="s">
        <v>331</v>
      </c>
      <c r="M55" s="70" t="s">
        <v>62</v>
      </c>
      <c r="N55" s="139" t="s">
        <v>942</v>
      </c>
      <c r="O55" s="539" t="s">
        <v>750</v>
      </c>
      <c r="P55" s="447" t="s">
        <v>749</v>
      </c>
      <c r="Q55" s="430" t="s">
        <v>24</v>
      </c>
      <c r="R55" s="430" t="s">
        <v>329</v>
      </c>
      <c r="S55" s="210"/>
      <c r="T55" s="56"/>
      <c r="U55" s="136">
        <v>44</v>
      </c>
      <c r="V55" s="139" t="s">
        <v>942</v>
      </c>
      <c r="W55" s="539" t="s">
        <v>750</v>
      </c>
      <c r="X55" s="447" t="s">
        <v>749</v>
      </c>
      <c r="Y55" s="430" t="s">
        <v>24</v>
      </c>
      <c r="Z55" s="430" t="s">
        <v>329</v>
      </c>
      <c r="AC55" s="136">
        <v>44</v>
      </c>
      <c r="AD55" s="499" t="s">
        <v>930</v>
      </c>
      <c r="AE55" s="432" t="s">
        <v>823</v>
      </c>
      <c r="AF55" s="426" t="s">
        <v>822</v>
      </c>
      <c r="AG55" s="433" t="s">
        <v>3</v>
      </c>
      <c r="AH55" s="839" t="s">
        <v>329</v>
      </c>
    </row>
    <row r="56" spans="1:34" ht="15.75" thickBot="1">
      <c r="A56" s="1020" t="s">
        <v>7</v>
      </c>
      <c r="B56" s="1020"/>
      <c r="C56" s="1020"/>
      <c r="D56" s="1020"/>
      <c r="E56" s="1020"/>
      <c r="F56" s="1020"/>
      <c r="G56">
        <v>13</v>
      </c>
      <c r="H56" s="398" t="s">
        <v>917</v>
      </c>
      <c r="I56" s="832" t="s">
        <v>726</v>
      </c>
      <c r="J56" s="51" t="s">
        <v>725</v>
      </c>
      <c r="K56" s="41" t="s">
        <v>3</v>
      </c>
      <c r="L56" s="41" t="s">
        <v>330</v>
      </c>
      <c r="M56" s="70" t="s">
        <v>62</v>
      </c>
      <c r="N56" s="850" t="s">
        <v>943</v>
      </c>
      <c r="O56" s="539" t="s">
        <v>778</v>
      </c>
      <c r="P56" s="447" t="s">
        <v>777</v>
      </c>
      <c r="Q56" s="430" t="s">
        <v>3</v>
      </c>
      <c r="R56" s="838" t="s">
        <v>333</v>
      </c>
      <c r="S56" s="210" t="s">
        <v>2</v>
      </c>
      <c r="T56" s="840"/>
      <c r="U56" s="139">
        <v>45</v>
      </c>
      <c r="V56" s="850" t="s">
        <v>943</v>
      </c>
      <c r="W56" s="539" t="s">
        <v>778</v>
      </c>
      <c r="X56" s="447" t="s">
        <v>777</v>
      </c>
      <c r="Y56" s="430" t="s">
        <v>3</v>
      </c>
      <c r="Z56" s="838" t="s">
        <v>333</v>
      </c>
      <c r="AC56" s="440">
        <v>45</v>
      </c>
      <c r="AD56" s="499" t="s">
        <v>931</v>
      </c>
      <c r="AE56" s="432" t="s">
        <v>821</v>
      </c>
      <c r="AF56" s="426" t="s">
        <v>820</v>
      </c>
      <c r="AG56" s="433" t="s">
        <v>3</v>
      </c>
      <c r="AH56" s="839" t="s">
        <v>329</v>
      </c>
    </row>
    <row r="57" spans="1:34" ht="12" customHeight="1" thickTop="1" thickBot="1">
      <c r="A57" s="97"/>
      <c r="B57" s="98"/>
      <c r="C57" s="97"/>
      <c r="D57" s="97"/>
      <c r="E57" s="98"/>
      <c r="F57" s="97"/>
      <c r="G57">
        <v>14</v>
      </c>
      <c r="H57" s="398" t="s">
        <v>892</v>
      </c>
      <c r="I57" s="51"/>
      <c r="J57" s="255" t="s">
        <v>1059</v>
      </c>
      <c r="K57" s="417" t="s">
        <v>3</v>
      </c>
      <c r="L57" s="41" t="s">
        <v>330</v>
      </c>
      <c r="M57" s="70" t="s">
        <v>62</v>
      </c>
      <c r="N57" s="850" t="s">
        <v>944</v>
      </c>
      <c r="O57" s="539" t="s">
        <v>770</v>
      </c>
      <c r="P57" s="447" t="s">
        <v>769</v>
      </c>
      <c r="Q57" s="430" t="s">
        <v>3</v>
      </c>
      <c r="R57" s="838" t="s">
        <v>333</v>
      </c>
      <c r="S57" s="210" t="s">
        <v>62</v>
      </c>
      <c r="T57" s="56"/>
      <c r="U57" s="136">
        <v>46</v>
      </c>
      <c r="V57" s="850" t="s">
        <v>944</v>
      </c>
      <c r="W57" s="539" t="s">
        <v>770</v>
      </c>
      <c r="X57" s="447" t="s">
        <v>769</v>
      </c>
      <c r="Y57" s="430" t="s">
        <v>3</v>
      </c>
      <c r="Z57" s="838" t="s">
        <v>333</v>
      </c>
      <c r="AC57" s="136">
        <v>46</v>
      </c>
      <c r="AD57" s="499" t="s">
        <v>932</v>
      </c>
      <c r="AE57" s="432" t="s">
        <v>756</v>
      </c>
      <c r="AF57" s="426" t="s">
        <v>755</v>
      </c>
      <c r="AG57" s="433" t="s">
        <v>3</v>
      </c>
      <c r="AH57" s="839" t="s">
        <v>329</v>
      </c>
    </row>
    <row r="58" spans="1:34" ht="16.5" thickBot="1">
      <c r="A58" s="1021" t="s">
        <v>1047</v>
      </c>
      <c r="B58" s="1021"/>
      <c r="C58" s="1021"/>
      <c r="D58" s="1021"/>
      <c r="E58" s="1021"/>
      <c r="F58" s="1021"/>
      <c r="G58">
        <v>15</v>
      </c>
      <c r="H58" s="139" t="s">
        <v>1220</v>
      </c>
      <c r="I58" s="539"/>
      <c r="J58" s="447" t="s">
        <v>1218</v>
      </c>
      <c r="K58" s="430" t="s">
        <v>3</v>
      </c>
      <c r="L58" s="838" t="s">
        <v>646</v>
      </c>
      <c r="M58" s="210" t="s">
        <v>62</v>
      </c>
      <c r="N58" s="850" t="s">
        <v>949</v>
      </c>
      <c r="O58" s="539" t="s">
        <v>764</v>
      </c>
      <c r="P58" s="447" t="s">
        <v>763</v>
      </c>
      <c r="Q58" s="430" t="s">
        <v>3</v>
      </c>
      <c r="R58" s="838" t="s">
        <v>333</v>
      </c>
      <c r="S58" s="210" t="s">
        <v>104</v>
      </c>
      <c r="T58" s="211"/>
      <c r="U58" s="139">
        <v>47</v>
      </c>
      <c r="V58" s="850" t="s">
        <v>949</v>
      </c>
      <c r="W58" s="539" t="s">
        <v>764</v>
      </c>
      <c r="X58" s="447" t="s">
        <v>763</v>
      </c>
      <c r="Y58" s="430" t="s">
        <v>3</v>
      </c>
      <c r="Z58" s="838" t="s">
        <v>333</v>
      </c>
      <c r="AC58" s="440">
        <v>47</v>
      </c>
      <c r="AD58" s="499" t="s">
        <v>933</v>
      </c>
      <c r="AE58" s="432"/>
      <c r="AF58" s="426" t="s">
        <v>827</v>
      </c>
      <c r="AG58" s="433" t="s">
        <v>3</v>
      </c>
      <c r="AH58" s="839" t="s">
        <v>329</v>
      </c>
    </row>
    <row r="59" spans="1:34" ht="16.5" thickBot="1">
      <c r="A59" s="1022" t="s">
        <v>1241</v>
      </c>
      <c r="B59" s="1022"/>
      <c r="C59" s="1022"/>
      <c r="D59" s="1022"/>
      <c r="E59" s="1022"/>
      <c r="F59" s="1022"/>
      <c r="G59">
        <v>16</v>
      </c>
      <c r="H59" s="138" t="s">
        <v>1165</v>
      </c>
      <c r="I59" s="852" t="s">
        <v>1166</v>
      </c>
      <c r="J59" s="853" t="s">
        <v>1167</v>
      </c>
      <c r="K59" s="854" t="s">
        <v>3</v>
      </c>
      <c r="L59" s="838" t="s">
        <v>1243</v>
      </c>
      <c r="M59" s="210" t="s">
        <v>62</v>
      </c>
      <c r="N59" s="850" t="s">
        <v>950</v>
      </c>
      <c r="O59" s="539" t="s">
        <v>762</v>
      </c>
      <c r="P59" s="447" t="s">
        <v>761</v>
      </c>
      <c r="Q59" s="430" t="s">
        <v>3</v>
      </c>
      <c r="R59" s="838" t="s">
        <v>333</v>
      </c>
      <c r="S59" s="857" t="s">
        <v>163</v>
      </c>
      <c r="T59" s="211"/>
      <c r="U59" s="136">
        <v>48</v>
      </c>
      <c r="V59" s="850" t="s">
        <v>950</v>
      </c>
      <c r="W59" s="539" t="s">
        <v>762</v>
      </c>
      <c r="X59" s="447" t="s">
        <v>761</v>
      </c>
      <c r="Y59" s="430" t="s">
        <v>3</v>
      </c>
      <c r="Z59" s="838" t="s">
        <v>333</v>
      </c>
      <c r="AC59" s="136">
        <v>48</v>
      </c>
      <c r="AD59" s="499" t="s">
        <v>934</v>
      </c>
      <c r="AE59" s="432" t="s">
        <v>704</v>
      </c>
      <c r="AF59" s="426" t="s">
        <v>703</v>
      </c>
      <c r="AG59" s="433" t="s">
        <v>24</v>
      </c>
      <c r="AH59" s="839" t="s">
        <v>329</v>
      </c>
    </row>
    <row r="60" spans="1:34" ht="8.25" customHeight="1" thickBot="1">
      <c r="A60" s="100"/>
      <c r="B60" s="100"/>
      <c r="C60" s="101"/>
      <c r="D60" s="173"/>
      <c r="E60" s="103"/>
      <c r="F60" s="117"/>
      <c r="G60">
        <v>1</v>
      </c>
      <c r="H60" s="139" t="s">
        <v>894</v>
      </c>
      <c r="I60" s="428" t="s">
        <v>686</v>
      </c>
      <c r="J60" s="34" t="s">
        <v>685</v>
      </c>
      <c r="K60" s="40" t="s">
        <v>24</v>
      </c>
      <c r="L60" s="838" t="s">
        <v>330</v>
      </c>
      <c r="M60" s="210" t="s">
        <v>62</v>
      </c>
      <c r="N60" s="850" t="s">
        <v>951</v>
      </c>
      <c r="O60" s="539" t="s">
        <v>774</v>
      </c>
      <c r="P60" s="447" t="s">
        <v>773</v>
      </c>
      <c r="Q60" s="430" t="s">
        <v>3</v>
      </c>
      <c r="R60" s="838" t="s">
        <v>333</v>
      </c>
      <c r="S60" s="857" t="s">
        <v>208</v>
      </c>
      <c r="T60" s="211"/>
      <c r="U60" s="139">
        <v>49</v>
      </c>
      <c r="V60" s="850" t="s">
        <v>951</v>
      </c>
      <c r="W60" s="539" t="s">
        <v>774</v>
      </c>
      <c r="X60" s="447" t="s">
        <v>773</v>
      </c>
      <c r="Y60" s="430" t="s">
        <v>3</v>
      </c>
      <c r="Z60" s="838" t="s">
        <v>333</v>
      </c>
      <c r="AC60" s="440">
        <v>49</v>
      </c>
      <c r="AD60" s="499" t="s">
        <v>935</v>
      </c>
      <c r="AE60" s="432" t="s">
        <v>758</v>
      </c>
      <c r="AF60" s="426" t="s">
        <v>757</v>
      </c>
      <c r="AG60" s="433" t="s">
        <v>3</v>
      </c>
      <c r="AH60" s="839" t="s">
        <v>329</v>
      </c>
    </row>
    <row r="61" spans="1:34" ht="16.5" thickBot="1">
      <c r="A61" s="1023" t="s">
        <v>13</v>
      </c>
      <c r="B61" s="1024"/>
      <c r="C61" s="1025"/>
      <c r="D61" s="1028" t="s">
        <v>14</v>
      </c>
      <c r="E61" s="1026" t="s">
        <v>15</v>
      </c>
      <c r="F61" s="1028" t="s">
        <v>326</v>
      </c>
      <c r="G61">
        <v>2</v>
      </c>
      <c r="H61" s="139" t="s">
        <v>908</v>
      </c>
      <c r="I61" s="428" t="s">
        <v>802</v>
      </c>
      <c r="J61" s="34" t="s">
        <v>801</v>
      </c>
      <c r="K61" s="40" t="s">
        <v>24</v>
      </c>
      <c r="L61" s="838" t="s">
        <v>330</v>
      </c>
      <c r="M61" s="210" t="s">
        <v>62</v>
      </c>
      <c r="N61" s="850" t="s">
        <v>952</v>
      </c>
      <c r="O61" s="539" t="s">
        <v>768</v>
      </c>
      <c r="P61" s="447" t="s">
        <v>767</v>
      </c>
      <c r="Q61" s="430" t="s">
        <v>3</v>
      </c>
      <c r="R61" s="838" t="s">
        <v>333</v>
      </c>
      <c r="S61" s="210" t="s">
        <v>2</v>
      </c>
      <c r="T61" s="56"/>
      <c r="U61" s="136">
        <v>50</v>
      </c>
      <c r="V61" s="850" t="s">
        <v>952</v>
      </c>
      <c r="W61" s="539" t="s">
        <v>768</v>
      </c>
      <c r="X61" s="447" t="s">
        <v>767</v>
      </c>
      <c r="Y61" s="430" t="s">
        <v>3</v>
      </c>
      <c r="Z61" s="838" t="s">
        <v>333</v>
      </c>
      <c r="AC61" s="136">
        <v>50</v>
      </c>
      <c r="AD61" s="499" t="s">
        <v>936</v>
      </c>
      <c r="AE61" s="432" t="s">
        <v>740</v>
      </c>
      <c r="AF61" s="426" t="s">
        <v>739</v>
      </c>
      <c r="AG61" s="433" t="s">
        <v>24</v>
      </c>
      <c r="AH61" s="839" t="s">
        <v>329</v>
      </c>
    </row>
    <row r="62" spans="1:34" ht="16.5" thickBot="1">
      <c r="A62" s="104" t="s">
        <v>18</v>
      </c>
      <c r="B62" s="104" t="s">
        <v>19</v>
      </c>
      <c r="C62" s="296" t="s">
        <v>20</v>
      </c>
      <c r="D62" s="1029"/>
      <c r="E62" s="1027"/>
      <c r="F62" s="1029"/>
      <c r="G62">
        <v>3</v>
      </c>
      <c r="H62" s="139" t="s">
        <v>916</v>
      </c>
      <c r="I62" s="428" t="s">
        <v>872</v>
      </c>
      <c r="J62" s="34" t="s">
        <v>871</v>
      </c>
      <c r="K62" s="40" t="s">
        <v>24</v>
      </c>
      <c r="L62" s="838" t="s">
        <v>330</v>
      </c>
      <c r="M62" s="210" t="s">
        <v>62</v>
      </c>
      <c r="N62" s="850" t="s">
        <v>955</v>
      </c>
      <c r="O62" s="539" t="s">
        <v>852</v>
      </c>
      <c r="P62" s="447" t="s">
        <v>851</v>
      </c>
      <c r="Q62" s="430" t="s">
        <v>3</v>
      </c>
      <c r="R62" s="838" t="s">
        <v>333</v>
      </c>
      <c r="S62" s="210" t="s">
        <v>62</v>
      </c>
      <c r="T62" s="56"/>
      <c r="U62" s="139">
        <v>51</v>
      </c>
      <c r="V62" s="850" t="s">
        <v>955</v>
      </c>
      <c r="W62" s="539" t="s">
        <v>852</v>
      </c>
      <c r="X62" s="447" t="s">
        <v>851</v>
      </c>
      <c r="Y62" s="430" t="s">
        <v>3</v>
      </c>
      <c r="Z62" s="838" t="s">
        <v>333</v>
      </c>
      <c r="AC62" s="440">
        <v>51</v>
      </c>
      <c r="AD62" s="499" t="s">
        <v>937</v>
      </c>
      <c r="AE62" s="432" t="s">
        <v>696</v>
      </c>
      <c r="AF62" s="426" t="s">
        <v>695</v>
      </c>
      <c r="AG62" s="433" t="s">
        <v>660</v>
      </c>
      <c r="AH62" s="839" t="s">
        <v>329</v>
      </c>
    </row>
    <row r="63" spans="1:34" ht="15.75" thickBot="1">
      <c r="A63" s="871">
        <v>1</v>
      </c>
      <c r="B63" s="221" t="s">
        <v>997</v>
      </c>
      <c r="C63" s="937" t="s">
        <v>1153</v>
      </c>
      <c r="D63" s="875" t="s">
        <v>1106</v>
      </c>
      <c r="E63" s="938" t="s">
        <v>24</v>
      </c>
      <c r="F63" s="939" t="s">
        <v>646</v>
      </c>
      <c r="G63">
        <v>4</v>
      </c>
      <c r="H63" s="139" t="s">
        <v>926</v>
      </c>
      <c r="I63" s="539" t="s">
        <v>706</v>
      </c>
      <c r="J63" s="447" t="s">
        <v>705</v>
      </c>
      <c r="K63" s="430" t="s">
        <v>24</v>
      </c>
      <c r="L63" s="430" t="s">
        <v>329</v>
      </c>
      <c r="M63" s="210" t="s">
        <v>62</v>
      </c>
      <c r="N63" s="850" t="s">
        <v>956</v>
      </c>
      <c r="O63" s="539" t="s">
        <v>760</v>
      </c>
      <c r="P63" s="447" t="s">
        <v>759</v>
      </c>
      <c r="Q63" s="430" t="s">
        <v>3</v>
      </c>
      <c r="R63" s="838" t="s">
        <v>333</v>
      </c>
      <c r="S63" s="210" t="s">
        <v>104</v>
      </c>
      <c r="T63" s="56"/>
      <c r="U63" s="136">
        <v>52</v>
      </c>
      <c r="V63" s="850" t="s">
        <v>956</v>
      </c>
      <c r="W63" s="539" t="s">
        <v>760</v>
      </c>
      <c r="X63" s="447" t="s">
        <v>759</v>
      </c>
      <c r="Y63" s="430" t="s">
        <v>3</v>
      </c>
      <c r="Z63" s="838" t="s">
        <v>333</v>
      </c>
      <c r="AC63" s="136">
        <v>52</v>
      </c>
      <c r="AD63" s="499" t="s">
        <v>938</v>
      </c>
      <c r="AE63" s="432" t="s">
        <v>782</v>
      </c>
      <c r="AF63" s="426" t="s">
        <v>781</v>
      </c>
      <c r="AG63" s="433" t="s">
        <v>24</v>
      </c>
      <c r="AH63" s="839" t="s">
        <v>329</v>
      </c>
    </row>
    <row r="64" spans="1:34" ht="15.75" thickBot="1">
      <c r="A64" s="872">
        <v>2</v>
      </c>
      <c r="B64" s="458" t="s">
        <v>970</v>
      </c>
      <c r="C64" s="432" t="s">
        <v>745</v>
      </c>
      <c r="D64" s="426" t="s">
        <v>744</v>
      </c>
      <c r="E64" s="433" t="s">
        <v>3</v>
      </c>
      <c r="F64" s="473" t="s">
        <v>331</v>
      </c>
      <c r="G64">
        <v>5</v>
      </c>
      <c r="H64" s="850" t="s">
        <v>947</v>
      </c>
      <c r="I64" s="539" t="s">
        <v>881</v>
      </c>
      <c r="J64" s="447" t="s">
        <v>880</v>
      </c>
      <c r="K64" s="430" t="s">
        <v>24</v>
      </c>
      <c r="L64" s="838" t="s">
        <v>333</v>
      </c>
      <c r="M64" s="210" t="s">
        <v>62</v>
      </c>
      <c r="N64" s="850" t="s">
        <v>957</v>
      </c>
      <c r="O64" s="539" t="s">
        <v>854</v>
      </c>
      <c r="P64" s="447" t="s">
        <v>853</v>
      </c>
      <c r="Q64" s="430" t="s">
        <v>3</v>
      </c>
      <c r="R64" s="838" t="s">
        <v>333</v>
      </c>
      <c r="S64" s="857" t="s">
        <v>163</v>
      </c>
      <c r="T64" s="56"/>
      <c r="U64" s="139">
        <v>53</v>
      </c>
      <c r="V64" s="850" t="s">
        <v>957</v>
      </c>
      <c r="W64" s="539" t="s">
        <v>854</v>
      </c>
      <c r="X64" s="447" t="s">
        <v>853</v>
      </c>
      <c r="Y64" s="430" t="s">
        <v>3</v>
      </c>
      <c r="Z64" s="838" t="s">
        <v>333</v>
      </c>
      <c r="AC64" s="440">
        <v>53</v>
      </c>
      <c r="AD64" s="499" t="s">
        <v>939</v>
      </c>
      <c r="AE64" s="432" t="s">
        <v>722</v>
      </c>
      <c r="AF64" s="426" t="s">
        <v>721</v>
      </c>
      <c r="AG64" s="433" t="s">
        <v>24</v>
      </c>
      <c r="AH64" s="839" t="s">
        <v>329</v>
      </c>
    </row>
    <row r="65" spans="1:34" ht="15.75" thickBot="1">
      <c r="A65" s="872">
        <v>3</v>
      </c>
      <c r="B65" s="458" t="s">
        <v>1023</v>
      </c>
      <c r="C65" s="432" t="s">
        <v>1137</v>
      </c>
      <c r="D65" s="426" t="s">
        <v>1095</v>
      </c>
      <c r="E65" s="433" t="s">
        <v>3</v>
      </c>
      <c r="F65" s="473" t="s">
        <v>1243</v>
      </c>
      <c r="G65">
        <v>6</v>
      </c>
      <c r="H65" s="850" t="s">
        <v>962</v>
      </c>
      <c r="I65" s="539" t="s">
        <v>734</v>
      </c>
      <c r="J65" s="447" t="s">
        <v>733</v>
      </c>
      <c r="K65" s="430" t="s">
        <v>24</v>
      </c>
      <c r="L65" s="838" t="s">
        <v>333</v>
      </c>
      <c r="M65" s="210" t="s">
        <v>62</v>
      </c>
      <c r="N65" s="850" t="s">
        <v>958</v>
      </c>
      <c r="O65" s="539" t="s">
        <v>856</v>
      </c>
      <c r="P65" s="447" t="s">
        <v>855</v>
      </c>
      <c r="Q65" s="430" t="s">
        <v>3</v>
      </c>
      <c r="R65" s="838" t="s">
        <v>333</v>
      </c>
      <c r="S65" s="857" t="s">
        <v>208</v>
      </c>
      <c r="T65" s="56"/>
      <c r="U65" s="136">
        <v>54</v>
      </c>
      <c r="V65" s="850" t="s">
        <v>958</v>
      </c>
      <c r="W65" s="539" t="s">
        <v>856</v>
      </c>
      <c r="X65" s="447" t="s">
        <v>855</v>
      </c>
      <c r="Y65" s="430" t="s">
        <v>3</v>
      </c>
      <c r="Z65" s="838" t="s">
        <v>333</v>
      </c>
      <c r="AC65" s="136">
        <v>54</v>
      </c>
      <c r="AD65" s="499" t="s">
        <v>940</v>
      </c>
      <c r="AE65" s="432" t="s">
        <v>669</v>
      </c>
      <c r="AF65" s="426" t="s">
        <v>668</v>
      </c>
      <c r="AG65" s="433" t="s">
        <v>3</v>
      </c>
      <c r="AH65" s="839" t="s">
        <v>329</v>
      </c>
    </row>
    <row r="66" spans="1:34" ht="15.75" thickBot="1">
      <c r="A66" s="872">
        <v>4</v>
      </c>
      <c r="B66" s="457" t="s">
        <v>1024</v>
      </c>
      <c r="C66" s="432" t="s">
        <v>1144</v>
      </c>
      <c r="D66" s="426" t="s">
        <v>1143</v>
      </c>
      <c r="E66" s="433" t="s">
        <v>24</v>
      </c>
      <c r="F66" s="473" t="s">
        <v>1243</v>
      </c>
      <c r="G66">
        <v>7</v>
      </c>
      <c r="H66" s="139" t="s">
        <v>975</v>
      </c>
      <c r="I66" s="539" t="s">
        <v>780</v>
      </c>
      <c r="J66" s="447" t="s">
        <v>779</v>
      </c>
      <c r="K66" s="430" t="s">
        <v>24</v>
      </c>
      <c r="L66" s="838" t="s">
        <v>331</v>
      </c>
      <c r="M66" s="210" t="s">
        <v>62</v>
      </c>
      <c r="N66" s="850" t="s">
        <v>959</v>
      </c>
      <c r="O66" s="539" t="s">
        <v>858</v>
      </c>
      <c r="P66" s="447" t="s">
        <v>857</v>
      </c>
      <c r="Q66" s="430" t="s">
        <v>3</v>
      </c>
      <c r="R66" s="838" t="s">
        <v>333</v>
      </c>
      <c r="S66" s="210"/>
      <c r="T66" s="56"/>
      <c r="U66" s="139">
        <v>55</v>
      </c>
      <c r="V66" s="850" t="s">
        <v>959</v>
      </c>
      <c r="W66" s="539" t="s">
        <v>858</v>
      </c>
      <c r="X66" s="447" t="s">
        <v>857</v>
      </c>
      <c r="Y66" s="430" t="s">
        <v>3</v>
      </c>
      <c r="Z66" s="838" t="s">
        <v>333</v>
      </c>
      <c r="AC66" s="440">
        <v>55</v>
      </c>
      <c r="AD66" s="499" t="s">
        <v>941</v>
      </c>
      <c r="AE66" s="432" t="s">
        <v>842</v>
      </c>
      <c r="AF66" s="426" t="s">
        <v>841</v>
      </c>
      <c r="AG66" s="433" t="s">
        <v>24</v>
      </c>
      <c r="AH66" s="839" t="s">
        <v>329</v>
      </c>
    </row>
    <row r="67" spans="1:34" ht="15.75" thickBot="1">
      <c r="A67" s="872">
        <v>5</v>
      </c>
      <c r="B67" s="458" t="s">
        <v>888</v>
      </c>
      <c r="C67" s="432" t="s">
        <v>846</v>
      </c>
      <c r="D67" s="426" t="s">
        <v>845</v>
      </c>
      <c r="E67" s="433" t="s">
        <v>3</v>
      </c>
      <c r="F67" s="473" t="s">
        <v>330</v>
      </c>
      <c r="G67">
        <v>8</v>
      </c>
      <c r="H67" s="139" t="s">
        <v>983</v>
      </c>
      <c r="I67" s="539" t="s">
        <v>784</v>
      </c>
      <c r="J67" s="447" t="s">
        <v>783</v>
      </c>
      <c r="K67" s="430" t="s">
        <v>24</v>
      </c>
      <c r="L67" s="838" t="s">
        <v>331</v>
      </c>
      <c r="M67" s="210" t="s">
        <v>62</v>
      </c>
      <c r="N67" s="850" t="s">
        <v>960</v>
      </c>
      <c r="O67" s="539" t="s">
        <v>860</v>
      </c>
      <c r="P67" s="447" t="s">
        <v>859</v>
      </c>
      <c r="Q67" s="430" t="s">
        <v>3</v>
      </c>
      <c r="R67" s="838" t="s">
        <v>333</v>
      </c>
      <c r="S67" s="255"/>
      <c r="T67" s="56"/>
      <c r="U67" s="136">
        <v>56</v>
      </c>
      <c r="V67" s="850" t="s">
        <v>960</v>
      </c>
      <c r="W67" s="539" t="s">
        <v>860</v>
      </c>
      <c r="X67" s="447" t="s">
        <v>859</v>
      </c>
      <c r="Y67" s="430" t="s">
        <v>3</v>
      </c>
      <c r="Z67" s="838" t="s">
        <v>333</v>
      </c>
      <c r="AC67" s="136">
        <v>56</v>
      </c>
      <c r="AD67" s="499" t="s">
        <v>942</v>
      </c>
      <c r="AE67" s="432" t="s">
        <v>750</v>
      </c>
      <c r="AF67" s="426" t="s">
        <v>749</v>
      </c>
      <c r="AG67" s="433" t="s">
        <v>24</v>
      </c>
      <c r="AH67" s="839" t="s">
        <v>329</v>
      </c>
    </row>
    <row r="68" spans="1:34">
      <c r="A68" s="872">
        <v>6</v>
      </c>
      <c r="B68" s="458" t="s">
        <v>1001</v>
      </c>
      <c r="C68" s="432" t="s">
        <v>864</v>
      </c>
      <c r="D68" s="426" t="s">
        <v>863</v>
      </c>
      <c r="E68" s="433" t="s">
        <v>24</v>
      </c>
      <c r="F68" s="473" t="s">
        <v>646</v>
      </c>
      <c r="G68">
        <v>9</v>
      </c>
      <c r="H68" s="139" t="s">
        <v>997</v>
      </c>
      <c r="I68" s="539" t="s">
        <v>1153</v>
      </c>
      <c r="J68" s="447" t="s">
        <v>1106</v>
      </c>
      <c r="K68" s="430" t="s">
        <v>24</v>
      </c>
      <c r="L68" s="838" t="s">
        <v>646</v>
      </c>
      <c r="M68" s="210" t="s">
        <v>62</v>
      </c>
      <c r="N68" s="850" t="s">
        <v>964</v>
      </c>
      <c r="O68" s="539" t="s">
        <v>862</v>
      </c>
      <c r="P68" s="447" t="s">
        <v>861</v>
      </c>
      <c r="Q68" s="430" t="s">
        <v>3</v>
      </c>
      <c r="R68" s="838" t="s">
        <v>333</v>
      </c>
      <c r="S68" s="210"/>
      <c r="T68" s="56"/>
      <c r="U68" s="139">
        <v>57</v>
      </c>
      <c r="V68" s="850" t="s">
        <v>964</v>
      </c>
      <c r="W68" s="539" t="s">
        <v>862</v>
      </c>
      <c r="X68" s="447" t="s">
        <v>861</v>
      </c>
      <c r="Y68" s="430" t="s">
        <v>3</v>
      </c>
      <c r="Z68" s="838" t="s">
        <v>333</v>
      </c>
      <c r="AC68" s="440">
        <v>57</v>
      </c>
      <c r="AD68" s="534" t="s">
        <v>943</v>
      </c>
      <c r="AE68" s="439" t="s">
        <v>778</v>
      </c>
      <c r="AF68" s="351" t="s">
        <v>777</v>
      </c>
      <c r="AG68" s="352" t="s">
        <v>3</v>
      </c>
      <c r="AH68" s="838" t="s">
        <v>333</v>
      </c>
    </row>
    <row r="69" spans="1:34" ht="15.75" thickBot="1">
      <c r="A69" s="872">
        <v>7</v>
      </c>
      <c r="B69" s="488" t="s">
        <v>947</v>
      </c>
      <c r="C69" s="432" t="s">
        <v>881</v>
      </c>
      <c r="D69" s="426" t="s">
        <v>880</v>
      </c>
      <c r="E69" s="433" t="s">
        <v>24</v>
      </c>
      <c r="F69" s="473" t="s">
        <v>333</v>
      </c>
      <c r="G69">
        <v>10</v>
      </c>
      <c r="H69" s="139" t="s">
        <v>1010</v>
      </c>
      <c r="I69" s="540" t="s">
        <v>1151</v>
      </c>
      <c r="J69" s="447" t="s">
        <v>1104</v>
      </c>
      <c r="K69" s="430" t="s">
        <v>24</v>
      </c>
      <c r="L69" s="838" t="s">
        <v>646</v>
      </c>
      <c r="M69" s="210" t="s">
        <v>62</v>
      </c>
      <c r="N69" s="850" t="s">
        <v>969</v>
      </c>
      <c r="O69" s="539" t="s">
        <v>772</v>
      </c>
      <c r="P69" s="447" t="s">
        <v>771</v>
      </c>
      <c r="Q69" s="430" t="s">
        <v>3</v>
      </c>
      <c r="R69" s="838" t="s">
        <v>333</v>
      </c>
      <c r="S69" s="210"/>
      <c r="T69" s="56"/>
      <c r="U69" s="136">
        <v>58</v>
      </c>
      <c r="V69" s="850" t="s">
        <v>969</v>
      </c>
      <c r="W69" s="539" t="s">
        <v>772</v>
      </c>
      <c r="X69" s="447" t="s">
        <v>771</v>
      </c>
      <c r="Y69" s="430" t="s">
        <v>3</v>
      </c>
      <c r="Z69" s="838" t="s">
        <v>333</v>
      </c>
      <c r="AC69" s="136">
        <v>58</v>
      </c>
      <c r="AD69" s="535" t="s">
        <v>944</v>
      </c>
      <c r="AE69" s="432" t="s">
        <v>770</v>
      </c>
      <c r="AF69" s="426" t="s">
        <v>769</v>
      </c>
      <c r="AG69" s="433" t="s">
        <v>3</v>
      </c>
      <c r="AH69" s="838" t="s">
        <v>333</v>
      </c>
    </row>
    <row r="70" spans="1:34">
      <c r="A70" s="872">
        <v>8</v>
      </c>
      <c r="B70" s="458" t="s">
        <v>1029</v>
      </c>
      <c r="C70" s="432"/>
      <c r="D70" s="426" t="s">
        <v>715</v>
      </c>
      <c r="E70" s="433" t="s">
        <v>24</v>
      </c>
      <c r="F70" s="473" t="s">
        <v>1243</v>
      </c>
      <c r="G70">
        <v>11</v>
      </c>
      <c r="H70" s="851" t="s">
        <v>1024</v>
      </c>
      <c r="I70" s="540" t="s">
        <v>1144</v>
      </c>
      <c r="J70" s="447" t="s">
        <v>1143</v>
      </c>
      <c r="K70" s="430" t="s">
        <v>24</v>
      </c>
      <c r="L70" s="838" t="s">
        <v>1243</v>
      </c>
      <c r="M70" s="210" t="s">
        <v>62</v>
      </c>
      <c r="N70" s="850" t="s">
        <v>945</v>
      </c>
      <c r="O70" s="539" t="s">
        <v>671</v>
      </c>
      <c r="P70" s="447" t="s">
        <v>670</v>
      </c>
      <c r="Q70" s="430" t="s">
        <v>24</v>
      </c>
      <c r="R70" s="838" t="s">
        <v>333</v>
      </c>
      <c r="S70" s="210" t="s">
        <v>2</v>
      </c>
      <c r="T70" s="56"/>
      <c r="U70" s="139">
        <v>59</v>
      </c>
      <c r="V70" s="850" t="s">
        <v>945</v>
      </c>
      <c r="W70" s="539" t="s">
        <v>671</v>
      </c>
      <c r="X70" s="447" t="s">
        <v>670</v>
      </c>
      <c r="Y70" s="430" t="s">
        <v>24</v>
      </c>
      <c r="Z70" s="838" t="s">
        <v>333</v>
      </c>
      <c r="AC70" s="440">
        <v>59</v>
      </c>
      <c r="AD70" s="535" t="s">
        <v>945</v>
      </c>
      <c r="AE70" s="432" t="s">
        <v>671</v>
      </c>
      <c r="AF70" s="426" t="s">
        <v>670</v>
      </c>
      <c r="AG70" s="433" t="s">
        <v>24</v>
      </c>
      <c r="AH70" s="838" t="s">
        <v>333</v>
      </c>
    </row>
    <row r="71" spans="1:34" ht="15.75" thickBot="1">
      <c r="A71" s="872">
        <v>9</v>
      </c>
      <c r="B71" s="457" t="s">
        <v>1030</v>
      </c>
      <c r="C71" s="432"/>
      <c r="D71" s="426" t="s">
        <v>716</v>
      </c>
      <c r="E71" s="433" t="s">
        <v>24</v>
      </c>
      <c r="F71" s="473" t="s">
        <v>1243</v>
      </c>
      <c r="G71">
        <v>12</v>
      </c>
      <c r="H71" s="860" t="s">
        <v>1035</v>
      </c>
      <c r="I71" s="862"/>
      <c r="J71" s="862" t="s">
        <v>1114</v>
      </c>
      <c r="K71" s="863" t="s">
        <v>24</v>
      </c>
      <c r="L71" s="863" t="s">
        <v>1243</v>
      </c>
      <c r="M71" s="864" t="s">
        <v>62</v>
      </c>
      <c r="N71" s="850" t="s">
        <v>947</v>
      </c>
      <c r="O71" s="539" t="s">
        <v>881</v>
      </c>
      <c r="P71" s="447" t="s">
        <v>880</v>
      </c>
      <c r="Q71" s="430" t="s">
        <v>24</v>
      </c>
      <c r="R71" s="838" t="s">
        <v>333</v>
      </c>
      <c r="S71" s="210" t="s">
        <v>62</v>
      </c>
      <c r="T71" s="56"/>
      <c r="U71" s="136">
        <v>60</v>
      </c>
      <c r="V71" s="850" t="s">
        <v>947</v>
      </c>
      <c r="W71" s="539" t="s">
        <v>881</v>
      </c>
      <c r="X71" s="447" t="s">
        <v>880</v>
      </c>
      <c r="Y71" s="430" t="s">
        <v>24</v>
      </c>
      <c r="Z71" s="838" t="s">
        <v>333</v>
      </c>
      <c r="AC71" s="136">
        <v>60</v>
      </c>
      <c r="AD71" s="535" t="s">
        <v>946</v>
      </c>
      <c r="AE71" s="432" t="s">
        <v>848</v>
      </c>
      <c r="AF71" s="426" t="s">
        <v>847</v>
      </c>
      <c r="AG71" s="433" t="s">
        <v>3</v>
      </c>
      <c r="AH71" s="838" t="s">
        <v>333</v>
      </c>
    </row>
    <row r="72" spans="1:34">
      <c r="A72" s="872">
        <v>10</v>
      </c>
      <c r="B72" s="458" t="s">
        <v>892</v>
      </c>
      <c r="C72" s="433"/>
      <c r="D72" s="442" t="s">
        <v>1059</v>
      </c>
      <c r="E72" s="443" t="s">
        <v>3</v>
      </c>
      <c r="F72" s="473" t="s">
        <v>330</v>
      </c>
      <c r="G72">
        <v>13</v>
      </c>
      <c r="H72" s="860" t="s">
        <v>1001</v>
      </c>
      <c r="I72" s="861" t="s">
        <v>864</v>
      </c>
      <c r="J72" s="862" t="s">
        <v>863</v>
      </c>
      <c r="K72" s="863" t="s">
        <v>24</v>
      </c>
      <c r="L72" s="863" t="s">
        <v>646</v>
      </c>
      <c r="M72" s="864" t="s">
        <v>62</v>
      </c>
      <c r="N72" s="850" t="s">
        <v>948</v>
      </c>
      <c r="O72" s="539" t="s">
        <v>673</v>
      </c>
      <c r="P72" s="447" t="s">
        <v>672</v>
      </c>
      <c r="Q72" s="430" t="s">
        <v>24</v>
      </c>
      <c r="R72" s="838" t="s">
        <v>333</v>
      </c>
      <c r="S72" s="210" t="s">
        <v>104</v>
      </c>
      <c r="T72" s="56"/>
      <c r="U72" s="139">
        <v>61</v>
      </c>
      <c r="V72" s="850" t="s">
        <v>948</v>
      </c>
      <c r="W72" s="539" t="s">
        <v>673</v>
      </c>
      <c r="X72" s="447" t="s">
        <v>672</v>
      </c>
      <c r="Y72" s="430" t="s">
        <v>24</v>
      </c>
      <c r="Z72" s="838" t="s">
        <v>333</v>
      </c>
      <c r="AC72" s="440">
        <v>61</v>
      </c>
      <c r="AD72" s="535" t="s">
        <v>947</v>
      </c>
      <c r="AE72" s="432" t="s">
        <v>881</v>
      </c>
      <c r="AF72" s="426" t="s">
        <v>880</v>
      </c>
      <c r="AG72" s="433" t="s">
        <v>24</v>
      </c>
      <c r="AH72" s="838" t="s">
        <v>333</v>
      </c>
    </row>
    <row r="73" spans="1:34" ht="15.75" thickBot="1">
      <c r="A73" s="872">
        <v>11</v>
      </c>
      <c r="B73" s="458" t="s">
        <v>975</v>
      </c>
      <c r="C73" s="432" t="s">
        <v>780</v>
      </c>
      <c r="D73" s="426" t="s">
        <v>779</v>
      </c>
      <c r="E73" s="433" t="s">
        <v>24</v>
      </c>
      <c r="F73" s="473" t="s">
        <v>331</v>
      </c>
      <c r="G73">
        <v>14</v>
      </c>
      <c r="H73" s="860" t="s">
        <v>911</v>
      </c>
      <c r="I73" s="861" t="s">
        <v>866</v>
      </c>
      <c r="J73" s="862" t="s">
        <v>865</v>
      </c>
      <c r="K73" s="863" t="s">
        <v>24</v>
      </c>
      <c r="L73" s="863" t="s">
        <v>330</v>
      </c>
      <c r="M73" s="864" t="s">
        <v>62</v>
      </c>
      <c r="N73" s="850" t="s">
        <v>953</v>
      </c>
      <c r="O73" s="539" t="s">
        <v>736</v>
      </c>
      <c r="P73" s="447" t="s">
        <v>735</v>
      </c>
      <c r="Q73" s="430" t="s">
        <v>24</v>
      </c>
      <c r="R73" s="838" t="s">
        <v>333</v>
      </c>
      <c r="S73" s="857" t="s">
        <v>163</v>
      </c>
      <c r="T73" s="211"/>
      <c r="U73" s="136">
        <v>62</v>
      </c>
      <c r="V73" s="850" t="s">
        <v>953</v>
      </c>
      <c r="W73" s="539" t="s">
        <v>736</v>
      </c>
      <c r="X73" s="447" t="s">
        <v>735</v>
      </c>
      <c r="Y73" s="430" t="s">
        <v>24</v>
      </c>
      <c r="Z73" s="838" t="s">
        <v>333</v>
      </c>
      <c r="AC73" s="136">
        <v>62</v>
      </c>
      <c r="AD73" s="535" t="s">
        <v>948</v>
      </c>
      <c r="AE73" s="432" t="s">
        <v>673</v>
      </c>
      <c r="AF73" s="426" t="s">
        <v>672</v>
      </c>
      <c r="AG73" s="433" t="s">
        <v>24</v>
      </c>
      <c r="AH73" s="838" t="s">
        <v>333</v>
      </c>
    </row>
    <row r="74" spans="1:34">
      <c r="A74" s="872">
        <v>12</v>
      </c>
      <c r="B74" s="458" t="s">
        <v>894</v>
      </c>
      <c r="C74" s="432" t="s">
        <v>686</v>
      </c>
      <c r="D74" s="426" t="s">
        <v>685</v>
      </c>
      <c r="E74" s="433" t="s">
        <v>24</v>
      </c>
      <c r="F74" s="473" t="s">
        <v>330</v>
      </c>
      <c r="G74">
        <v>15</v>
      </c>
      <c r="H74" s="138" t="s">
        <v>1029</v>
      </c>
      <c r="I74" s="539"/>
      <c r="J74" s="447" t="s">
        <v>715</v>
      </c>
      <c r="K74" s="430" t="s">
        <v>24</v>
      </c>
      <c r="L74" s="838" t="s">
        <v>1243</v>
      </c>
      <c r="M74" s="210" t="s">
        <v>62</v>
      </c>
      <c r="N74" s="850" t="s">
        <v>954</v>
      </c>
      <c r="O74" s="539" t="s">
        <v>708</v>
      </c>
      <c r="P74" s="447" t="s">
        <v>707</v>
      </c>
      <c r="Q74" s="430" t="s">
        <v>24</v>
      </c>
      <c r="R74" s="838" t="s">
        <v>333</v>
      </c>
      <c r="S74" s="857" t="s">
        <v>208</v>
      </c>
      <c r="T74" s="56"/>
      <c r="U74" s="139">
        <v>63</v>
      </c>
      <c r="V74" s="850" t="s">
        <v>954</v>
      </c>
      <c r="W74" s="539" t="s">
        <v>708</v>
      </c>
      <c r="X74" s="447" t="s">
        <v>707</v>
      </c>
      <c r="Y74" s="430" t="s">
        <v>24</v>
      </c>
      <c r="Z74" s="838" t="s">
        <v>333</v>
      </c>
      <c r="AC74" s="440">
        <v>63</v>
      </c>
      <c r="AD74" s="535" t="s">
        <v>949</v>
      </c>
      <c r="AE74" s="432" t="s">
        <v>764</v>
      </c>
      <c r="AF74" s="426" t="s">
        <v>763</v>
      </c>
      <c r="AG74" s="433" t="s">
        <v>3</v>
      </c>
      <c r="AH74" s="838" t="s">
        <v>333</v>
      </c>
    </row>
    <row r="75" spans="1:34" ht="15.75" thickBot="1">
      <c r="A75" s="872">
        <v>13</v>
      </c>
      <c r="B75" s="458" t="s">
        <v>923</v>
      </c>
      <c r="C75" s="432" t="s">
        <v>776</v>
      </c>
      <c r="D75" s="426" t="s">
        <v>775</v>
      </c>
      <c r="E75" s="433" t="s">
        <v>3</v>
      </c>
      <c r="F75" s="473" t="s">
        <v>329</v>
      </c>
      <c r="G75">
        <v>16</v>
      </c>
      <c r="H75" s="851" t="s">
        <v>1030</v>
      </c>
      <c r="I75" s="539"/>
      <c r="J75" s="447" t="s">
        <v>716</v>
      </c>
      <c r="K75" s="430" t="s">
        <v>24</v>
      </c>
      <c r="L75" s="838" t="s">
        <v>1243</v>
      </c>
      <c r="M75" s="210" t="s">
        <v>62</v>
      </c>
      <c r="N75" s="850" t="s">
        <v>961</v>
      </c>
      <c r="O75" s="539"/>
      <c r="P75" s="447" t="s">
        <v>831</v>
      </c>
      <c r="Q75" s="430" t="s">
        <v>24</v>
      </c>
      <c r="R75" s="838" t="s">
        <v>333</v>
      </c>
      <c r="S75" s="210" t="s">
        <v>2</v>
      </c>
      <c r="T75" s="138"/>
      <c r="U75" s="136">
        <v>64</v>
      </c>
      <c r="V75" s="850" t="s">
        <v>961</v>
      </c>
      <c r="W75" s="539"/>
      <c r="X75" s="447" t="s">
        <v>831</v>
      </c>
      <c r="Y75" s="430" t="s">
        <v>24</v>
      </c>
      <c r="Z75" s="838" t="s">
        <v>333</v>
      </c>
      <c r="AC75" s="136">
        <v>64</v>
      </c>
      <c r="AD75" s="535" t="s">
        <v>950</v>
      </c>
      <c r="AE75" s="432" t="s">
        <v>762</v>
      </c>
      <c r="AF75" s="426" t="s">
        <v>761</v>
      </c>
      <c r="AG75" s="433" t="s">
        <v>3</v>
      </c>
      <c r="AH75" s="838" t="s">
        <v>333</v>
      </c>
    </row>
    <row r="76" spans="1:34">
      <c r="A76" s="872">
        <v>14</v>
      </c>
      <c r="B76" s="458" t="s">
        <v>978</v>
      </c>
      <c r="C76" s="432" t="s">
        <v>743</v>
      </c>
      <c r="D76" s="426" t="s">
        <v>742</v>
      </c>
      <c r="E76" s="433" t="s">
        <v>3</v>
      </c>
      <c r="F76" s="473" t="s">
        <v>331</v>
      </c>
      <c r="G76">
        <v>1</v>
      </c>
      <c r="H76" s="139" t="s">
        <v>891</v>
      </c>
      <c r="I76" s="428" t="s">
        <v>817</v>
      </c>
      <c r="J76" s="833" t="s">
        <v>816</v>
      </c>
      <c r="K76" s="40" t="s">
        <v>3</v>
      </c>
      <c r="L76" s="838" t="s">
        <v>330</v>
      </c>
      <c r="M76" s="210" t="s">
        <v>104</v>
      </c>
      <c r="N76" s="850" t="s">
        <v>962</v>
      </c>
      <c r="O76" s="539" t="s">
        <v>734</v>
      </c>
      <c r="P76" s="447" t="s">
        <v>733</v>
      </c>
      <c r="Q76" s="430" t="s">
        <v>24</v>
      </c>
      <c r="R76" s="838" t="s">
        <v>333</v>
      </c>
      <c r="S76" s="210" t="s">
        <v>62</v>
      </c>
      <c r="T76" s="211"/>
      <c r="U76" s="139">
        <v>65</v>
      </c>
      <c r="V76" s="850" t="s">
        <v>962</v>
      </c>
      <c r="W76" s="539" t="s">
        <v>734</v>
      </c>
      <c r="X76" s="447" t="s">
        <v>733</v>
      </c>
      <c r="Y76" s="430" t="s">
        <v>24</v>
      </c>
      <c r="Z76" s="838" t="s">
        <v>333</v>
      </c>
      <c r="AC76" s="440">
        <v>65</v>
      </c>
      <c r="AD76" s="535" t="s">
        <v>951</v>
      </c>
      <c r="AE76" s="432" t="s">
        <v>774</v>
      </c>
      <c r="AF76" s="426" t="s">
        <v>773</v>
      </c>
      <c r="AG76" s="433" t="s">
        <v>3</v>
      </c>
      <c r="AH76" s="838" t="s">
        <v>333</v>
      </c>
    </row>
    <row r="77" spans="1:34" ht="15.75" thickBot="1">
      <c r="A77" s="872">
        <v>15</v>
      </c>
      <c r="B77" s="458" t="s">
        <v>926</v>
      </c>
      <c r="C77" s="432" t="s">
        <v>706</v>
      </c>
      <c r="D77" s="426" t="s">
        <v>705</v>
      </c>
      <c r="E77" s="433" t="s">
        <v>24</v>
      </c>
      <c r="F77" s="473" t="s">
        <v>329</v>
      </c>
      <c r="G77">
        <v>2</v>
      </c>
      <c r="H77" s="139" t="s">
        <v>904</v>
      </c>
      <c r="I77" s="428" t="s">
        <v>724</v>
      </c>
      <c r="J77" s="34" t="s">
        <v>723</v>
      </c>
      <c r="K77" s="40" t="s">
        <v>3</v>
      </c>
      <c r="L77" s="838" t="s">
        <v>330</v>
      </c>
      <c r="M77" s="210" t="s">
        <v>104</v>
      </c>
      <c r="N77" s="850" t="s">
        <v>965</v>
      </c>
      <c r="O77" s="539" t="s">
        <v>792</v>
      </c>
      <c r="P77" s="447" t="s">
        <v>791</v>
      </c>
      <c r="Q77" s="539" t="s">
        <v>24</v>
      </c>
      <c r="R77" s="838" t="s">
        <v>333</v>
      </c>
      <c r="S77" s="210" t="s">
        <v>104</v>
      </c>
      <c r="T77" s="211"/>
      <c r="U77" s="136">
        <v>66</v>
      </c>
      <c r="V77" s="850" t="s">
        <v>965</v>
      </c>
      <c r="W77" s="539" t="s">
        <v>792</v>
      </c>
      <c r="X77" s="447" t="s">
        <v>791</v>
      </c>
      <c r="Y77" s="539" t="s">
        <v>24</v>
      </c>
      <c r="Z77" s="838" t="s">
        <v>333</v>
      </c>
      <c r="AC77" s="136">
        <v>66</v>
      </c>
      <c r="AD77" s="535" t="s">
        <v>952</v>
      </c>
      <c r="AE77" s="432" t="s">
        <v>768</v>
      </c>
      <c r="AF77" s="426" t="s">
        <v>767</v>
      </c>
      <c r="AG77" s="433" t="s">
        <v>3</v>
      </c>
      <c r="AH77" s="838" t="s">
        <v>333</v>
      </c>
    </row>
    <row r="78" spans="1:34">
      <c r="A78" s="872">
        <v>16</v>
      </c>
      <c r="B78" s="488" t="s">
        <v>955</v>
      </c>
      <c r="C78" s="432" t="s">
        <v>852</v>
      </c>
      <c r="D78" s="426" t="s">
        <v>851</v>
      </c>
      <c r="E78" s="433" t="s">
        <v>3</v>
      </c>
      <c r="F78" s="473" t="s">
        <v>333</v>
      </c>
      <c r="G78">
        <v>3</v>
      </c>
      <c r="H78" s="139" t="s">
        <v>925</v>
      </c>
      <c r="I78" s="539"/>
      <c r="J78" s="447" t="s">
        <v>825</v>
      </c>
      <c r="K78" s="430" t="s">
        <v>3</v>
      </c>
      <c r="L78" s="430" t="s">
        <v>329</v>
      </c>
      <c r="M78" s="210" t="s">
        <v>104</v>
      </c>
      <c r="N78" s="850" t="s">
        <v>967</v>
      </c>
      <c r="O78" s="539" t="s">
        <v>710</v>
      </c>
      <c r="P78" s="447" t="s">
        <v>709</v>
      </c>
      <c r="Q78" s="430" t="s">
        <v>24</v>
      </c>
      <c r="R78" s="838" t="s">
        <v>333</v>
      </c>
      <c r="S78" s="857" t="s">
        <v>163</v>
      </c>
      <c r="T78" s="211"/>
      <c r="U78" s="139">
        <v>67</v>
      </c>
      <c r="V78" s="850" t="s">
        <v>967</v>
      </c>
      <c r="W78" s="539" t="s">
        <v>710</v>
      </c>
      <c r="X78" s="447" t="s">
        <v>709</v>
      </c>
      <c r="Y78" s="430" t="s">
        <v>24</v>
      </c>
      <c r="Z78" s="838" t="s">
        <v>333</v>
      </c>
      <c r="AC78" s="440">
        <v>67</v>
      </c>
      <c r="AD78" s="535" t="s">
        <v>953</v>
      </c>
      <c r="AE78" s="432" t="s">
        <v>736</v>
      </c>
      <c r="AF78" s="426" t="s">
        <v>735</v>
      </c>
      <c r="AG78" s="433" t="s">
        <v>24</v>
      </c>
      <c r="AH78" s="838" t="s">
        <v>333</v>
      </c>
    </row>
    <row r="79" spans="1:34" ht="15.75" thickBot="1">
      <c r="A79" s="872">
        <v>17</v>
      </c>
      <c r="B79" s="458" t="s">
        <v>983</v>
      </c>
      <c r="C79" s="432" t="s">
        <v>784</v>
      </c>
      <c r="D79" s="426" t="s">
        <v>783</v>
      </c>
      <c r="E79" s="433" t="s">
        <v>24</v>
      </c>
      <c r="F79" s="473" t="s">
        <v>331</v>
      </c>
      <c r="G79">
        <v>4</v>
      </c>
      <c r="H79" s="139" t="s">
        <v>932</v>
      </c>
      <c r="I79" s="539" t="s">
        <v>756</v>
      </c>
      <c r="J79" s="447" t="s">
        <v>755</v>
      </c>
      <c r="K79" s="430" t="s">
        <v>3</v>
      </c>
      <c r="L79" s="430" t="s">
        <v>329</v>
      </c>
      <c r="M79" s="210" t="s">
        <v>104</v>
      </c>
      <c r="N79" s="850" t="s">
        <v>968</v>
      </c>
      <c r="O79" s="539" t="s">
        <v>732</v>
      </c>
      <c r="P79" s="447" t="s">
        <v>731</v>
      </c>
      <c r="Q79" s="430" t="s">
        <v>24</v>
      </c>
      <c r="R79" s="838" t="s">
        <v>333</v>
      </c>
      <c r="S79" s="857" t="s">
        <v>208</v>
      </c>
      <c r="T79" s="56"/>
      <c r="U79" s="136">
        <v>68</v>
      </c>
      <c r="V79" s="850" t="s">
        <v>968</v>
      </c>
      <c r="W79" s="539" t="s">
        <v>732</v>
      </c>
      <c r="X79" s="447" t="s">
        <v>731</v>
      </c>
      <c r="Y79" s="430" t="s">
        <v>24</v>
      </c>
      <c r="Z79" s="838" t="s">
        <v>333</v>
      </c>
      <c r="AC79" s="136">
        <v>68</v>
      </c>
      <c r="AD79" s="535" t="s">
        <v>954</v>
      </c>
      <c r="AE79" s="432" t="s">
        <v>708</v>
      </c>
      <c r="AF79" s="426" t="s">
        <v>707</v>
      </c>
      <c r="AG79" s="433" t="s">
        <v>24</v>
      </c>
      <c r="AH79" s="838" t="s">
        <v>333</v>
      </c>
    </row>
    <row r="80" spans="1:34">
      <c r="A80" s="872">
        <v>18</v>
      </c>
      <c r="B80" s="458" t="s">
        <v>1035</v>
      </c>
      <c r="C80" s="433"/>
      <c r="D80" s="426" t="s">
        <v>1114</v>
      </c>
      <c r="E80" s="433" t="s">
        <v>24</v>
      </c>
      <c r="F80" s="473" t="s">
        <v>1243</v>
      </c>
      <c r="G80">
        <v>5</v>
      </c>
      <c r="H80" s="850" t="s">
        <v>949</v>
      </c>
      <c r="I80" s="539" t="s">
        <v>764</v>
      </c>
      <c r="J80" s="447" t="s">
        <v>763</v>
      </c>
      <c r="K80" s="430" t="s">
        <v>3</v>
      </c>
      <c r="L80" s="838" t="s">
        <v>333</v>
      </c>
      <c r="M80" s="210" t="s">
        <v>104</v>
      </c>
      <c r="N80" s="139" t="s">
        <v>972</v>
      </c>
      <c r="O80" s="539" t="s">
        <v>876</v>
      </c>
      <c r="P80" s="447" t="s">
        <v>875</v>
      </c>
      <c r="Q80" s="430" t="s">
        <v>3</v>
      </c>
      <c r="R80" s="838" t="s">
        <v>331</v>
      </c>
      <c r="S80" s="210" t="s">
        <v>2</v>
      </c>
      <c r="T80" s="56"/>
      <c r="U80" s="139">
        <v>69</v>
      </c>
      <c r="V80" s="139" t="s">
        <v>972</v>
      </c>
      <c r="W80" s="539" t="s">
        <v>876</v>
      </c>
      <c r="X80" s="447" t="s">
        <v>875</v>
      </c>
      <c r="Y80" s="430" t="s">
        <v>3</v>
      </c>
      <c r="Z80" s="838" t="s">
        <v>331</v>
      </c>
      <c r="AC80" s="440">
        <v>69</v>
      </c>
      <c r="AD80" s="535" t="s">
        <v>955</v>
      </c>
      <c r="AE80" s="432" t="s">
        <v>852</v>
      </c>
      <c r="AF80" s="426" t="s">
        <v>851</v>
      </c>
      <c r="AG80" s="433" t="s">
        <v>3</v>
      </c>
      <c r="AH80" s="838" t="s">
        <v>333</v>
      </c>
    </row>
    <row r="81" spans="1:34" ht="15.75" thickBot="1">
      <c r="A81" s="872">
        <v>19</v>
      </c>
      <c r="B81" s="458" t="s">
        <v>1010</v>
      </c>
      <c r="C81" s="432" t="s">
        <v>1151</v>
      </c>
      <c r="D81" s="426" t="s">
        <v>1104</v>
      </c>
      <c r="E81" s="433" t="s">
        <v>24</v>
      </c>
      <c r="F81" s="473" t="s">
        <v>646</v>
      </c>
      <c r="G81">
        <v>6</v>
      </c>
      <c r="H81" s="850" t="s">
        <v>956</v>
      </c>
      <c r="I81" s="539" t="s">
        <v>760</v>
      </c>
      <c r="J81" s="447" t="s">
        <v>759</v>
      </c>
      <c r="K81" s="430" t="s">
        <v>3</v>
      </c>
      <c r="L81" s="838" t="s">
        <v>333</v>
      </c>
      <c r="M81" s="210" t="s">
        <v>104</v>
      </c>
      <c r="N81" s="139" t="s">
        <v>978</v>
      </c>
      <c r="O81" s="539" t="s">
        <v>743</v>
      </c>
      <c r="P81" s="447" t="s">
        <v>742</v>
      </c>
      <c r="Q81" s="430" t="s">
        <v>3</v>
      </c>
      <c r="R81" s="838" t="s">
        <v>331</v>
      </c>
      <c r="S81" s="210" t="s">
        <v>62</v>
      </c>
      <c r="T81" s="56"/>
      <c r="U81" s="136">
        <v>70</v>
      </c>
      <c r="V81" s="139" t="s">
        <v>978</v>
      </c>
      <c r="W81" s="539" t="s">
        <v>743</v>
      </c>
      <c r="X81" s="447" t="s">
        <v>742</v>
      </c>
      <c r="Y81" s="430" t="s">
        <v>3</v>
      </c>
      <c r="Z81" s="838" t="s">
        <v>331</v>
      </c>
      <c r="AC81" s="136">
        <v>70</v>
      </c>
      <c r="AD81" s="535" t="s">
        <v>956</v>
      </c>
      <c r="AE81" s="432" t="s">
        <v>760</v>
      </c>
      <c r="AF81" s="426" t="s">
        <v>759</v>
      </c>
      <c r="AG81" s="433" t="s">
        <v>3</v>
      </c>
      <c r="AH81" s="838" t="s">
        <v>333</v>
      </c>
    </row>
    <row r="82" spans="1:34">
      <c r="A82" s="872">
        <v>20</v>
      </c>
      <c r="B82" s="458" t="s">
        <v>931</v>
      </c>
      <c r="C82" s="432" t="s">
        <v>821</v>
      </c>
      <c r="D82" s="426" t="s">
        <v>820</v>
      </c>
      <c r="E82" s="433" t="s">
        <v>3</v>
      </c>
      <c r="F82" s="473" t="s">
        <v>329</v>
      </c>
      <c r="G82">
        <v>7</v>
      </c>
      <c r="H82" s="139" t="s">
        <v>984</v>
      </c>
      <c r="I82" s="447"/>
      <c r="J82" s="447" t="s">
        <v>1115</v>
      </c>
      <c r="K82" s="430" t="s">
        <v>3</v>
      </c>
      <c r="L82" s="838" t="s">
        <v>331</v>
      </c>
      <c r="M82" s="210" t="s">
        <v>104</v>
      </c>
      <c r="N82" s="139" t="s">
        <v>984</v>
      </c>
      <c r="O82" s="447"/>
      <c r="P82" s="447" t="s">
        <v>1115</v>
      </c>
      <c r="Q82" s="430" t="s">
        <v>3</v>
      </c>
      <c r="R82" s="838" t="s">
        <v>331</v>
      </c>
      <c r="S82" s="210" t="s">
        <v>104</v>
      </c>
      <c r="T82" s="56"/>
      <c r="U82" s="139">
        <v>71</v>
      </c>
      <c r="V82" s="139" t="s">
        <v>984</v>
      </c>
      <c r="W82" s="447"/>
      <c r="X82" s="447" t="s">
        <v>1115</v>
      </c>
      <c r="Y82" s="430" t="s">
        <v>3</v>
      </c>
      <c r="Z82" s="838" t="s">
        <v>331</v>
      </c>
      <c r="AC82" s="440">
        <v>71</v>
      </c>
      <c r="AD82" s="535" t="s">
        <v>957</v>
      </c>
      <c r="AE82" s="432" t="s">
        <v>854</v>
      </c>
      <c r="AF82" s="426" t="s">
        <v>853</v>
      </c>
      <c r="AG82" s="433" t="s">
        <v>3</v>
      </c>
      <c r="AH82" s="838" t="s">
        <v>333</v>
      </c>
    </row>
    <row r="83" spans="1:34" ht="15.75" thickBot="1">
      <c r="A83" s="872">
        <v>21</v>
      </c>
      <c r="B83" s="458" t="s">
        <v>1039</v>
      </c>
      <c r="C83" s="432" t="s">
        <v>1123</v>
      </c>
      <c r="D83" s="515" t="s">
        <v>1087</v>
      </c>
      <c r="E83" s="433" t="s">
        <v>3</v>
      </c>
      <c r="F83" s="473" t="s">
        <v>1243</v>
      </c>
      <c r="G83">
        <v>8</v>
      </c>
      <c r="H83" s="139" t="s">
        <v>1005</v>
      </c>
      <c r="I83" s="539" t="s">
        <v>1148</v>
      </c>
      <c r="J83" s="447" t="s">
        <v>1102</v>
      </c>
      <c r="K83" s="430" t="s">
        <v>3</v>
      </c>
      <c r="L83" s="838" t="s">
        <v>646</v>
      </c>
      <c r="M83" s="210" t="s">
        <v>104</v>
      </c>
      <c r="N83" s="139" t="s">
        <v>986</v>
      </c>
      <c r="O83" s="539" t="s">
        <v>874</v>
      </c>
      <c r="P83" s="447" t="s">
        <v>873</v>
      </c>
      <c r="Q83" s="430" t="s">
        <v>3</v>
      </c>
      <c r="R83" s="838" t="s">
        <v>331</v>
      </c>
      <c r="S83" s="857" t="s">
        <v>163</v>
      </c>
      <c r="T83" s="56"/>
      <c r="U83" s="136">
        <v>72</v>
      </c>
      <c r="V83" s="139" t="s">
        <v>986</v>
      </c>
      <c r="W83" s="539" t="s">
        <v>874</v>
      </c>
      <c r="X83" s="447" t="s">
        <v>873</v>
      </c>
      <c r="Y83" s="430" t="s">
        <v>3</v>
      </c>
      <c r="Z83" s="838" t="s">
        <v>331</v>
      </c>
      <c r="AC83" s="136">
        <v>72</v>
      </c>
      <c r="AD83" s="535" t="s">
        <v>958</v>
      </c>
      <c r="AE83" s="432" t="s">
        <v>856</v>
      </c>
      <c r="AF83" s="426" t="s">
        <v>855</v>
      </c>
      <c r="AG83" s="433" t="s">
        <v>3</v>
      </c>
      <c r="AH83" s="838" t="s">
        <v>333</v>
      </c>
    </row>
    <row r="84" spans="1:34">
      <c r="A84" s="872">
        <v>22</v>
      </c>
      <c r="B84" s="458" t="s">
        <v>903</v>
      </c>
      <c r="C84" s="432" t="s">
        <v>720</v>
      </c>
      <c r="D84" s="426" t="s">
        <v>719</v>
      </c>
      <c r="E84" s="433" t="s">
        <v>3</v>
      </c>
      <c r="F84" s="473" t="s">
        <v>330</v>
      </c>
      <c r="G84">
        <v>9</v>
      </c>
      <c r="H84" s="139" t="s">
        <v>1017</v>
      </c>
      <c r="I84" s="540" t="s">
        <v>1146</v>
      </c>
      <c r="J84" s="447" t="s">
        <v>1145</v>
      </c>
      <c r="K84" s="430" t="s">
        <v>3</v>
      </c>
      <c r="L84" s="838" t="s">
        <v>646</v>
      </c>
      <c r="M84" s="210" t="s">
        <v>104</v>
      </c>
      <c r="N84" s="139" t="s">
        <v>993</v>
      </c>
      <c r="O84" s="541" t="s">
        <v>1058</v>
      </c>
      <c r="P84" s="210" t="s">
        <v>1057</v>
      </c>
      <c r="Q84" s="56" t="s">
        <v>3</v>
      </c>
      <c r="R84" s="838" t="s">
        <v>331</v>
      </c>
      <c r="S84" s="857" t="s">
        <v>208</v>
      </c>
      <c r="T84" s="56"/>
      <c r="U84" s="139">
        <v>73</v>
      </c>
      <c r="V84" s="139" t="s">
        <v>993</v>
      </c>
      <c r="W84" s="541" t="s">
        <v>1058</v>
      </c>
      <c r="X84" s="210" t="s">
        <v>1057</v>
      </c>
      <c r="Y84" s="56" t="s">
        <v>3</v>
      </c>
      <c r="Z84" s="838" t="s">
        <v>331</v>
      </c>
      <c r="AC84" s="440">
        <v>73</v>
      </c>
      <c r="AD84" s="535" t="s">
        <v>959</v>
      </c>
      <c r="AE84" s="432" t="s">
        <v>858</v>
      </c>
      <c r="AF84" s="426" t="s">
        <v>857</v>
      </c>
      <c r="AG84" s="433" t="s">
        <v>3</v>
      </c>
      <c r="AH84" s="838" t="s">
        <v>333</v>
      </c>
    </row>
    <row r="85" spans="1:34" ht="15.75" thickBot="1">
      <c r="A85" s="872">
        <v>23</v>
      </c>
      <c r="B85" s="458" t="s">
        <v>1011</v>
      </c>
      <c r="C85" s="432" t="s">
        <v>1159</v>
      </c>
      <c r="D85" s="426" t="s">
        <v>1113</v>
      </c>
      <c r="E85" s="433" t="s">
        <v>3</v>
      </c>
      <c r="F85" s="473" t="s">
        <v>646</v>
      </c>
      <c r="G85">
        <v>10</v>
      </c>
      <c r="H85" s="851" t="s">
        <v>1028</v>
      </c>
      <c r="I85" s="447"/>
      <c r="J85" s="447" t="s">
        <v>1092</v>
      </c>
      <c r="K85" s="430" t="s">
        <v>3</v>
      </c>
      <c r="L85" s="838" t="s">
        <v>1243</v>
      </c>
      <c r="M85" s="210" t="s">
        <v>104</v>
      </c>
      <c r="N85" s="139" t="s">
        <v>971</v>
      </c>
      <c r="O85" s="539" t="s">
        <v>788</v>
      </c>
      <c r="P85" s="447" t="s">
        <v>787</v>
      </c>
      <c r="Q85" s="430" t="s">
        <v>24</v>
      </c>
      <c r="R85" s="838" t="s">
        <v>331</v>
      </c>
      <c r="S85" s="210" t="s">
        <v>208</v>
      </c>
      <c r="T85" s="56"/>
      <c r="U85" s="136">
        <v>74</v>
      </c>
      <c r="V85" s="139" t="s">
        <v>971</v>
      </c>
      <c r="W85" s="539" t="s">
        <v>788</v>
      </c>
      <c r="X85" s="447" t="s">
        <v>787</v>
      </c>
      <c r="Y85" s="430" t="s">
        <v>24</v>
      </c>
      <c r="Z85" s="838" t="s">
        <v>331</v>
      </c>
      <c r="AC85" s="136">
        <v>74</v>
      </c>
      <c r="AD85" s="535" t="s">
        <v>960</v>
      </c>
      <c r="AE85" s="432" t="s">
        <v>860</v>
      </c>
      <c r="AF85" s="426" t="s">
        <v>859</v>
      </c>
      <c r="AG85" s="433" t="s">
        <v>3</v>
      </c>
      <c r="AH85" s="838" t="s">
        <v>333</v>
      </c>
    </row>
    <row r="86" spans="1:34">
      <c r="A86" s="872">
        <v>24</v>
      </c>
      <c r="B86" s="458" t="s">
        <v>1012</v>
      </c>
      <c r="C86" s="432" t="s">
        <v>1158</v>
      </c>
      <c r="D86" s="426" t="s">
        <v>1112</v>
      </c>
      <c r="E86" s="433" t="s">
        <v>3</v>
      </c>
      <c r="F86" s="473" t="s">
        <v>646</v>
      </c>
      <c r="G86">
        <v>11</v>
      </c>
      <c r="H86" s="851" t="s">
        <v>1040</v>
      </c>
      <c r="I86" s="540" t="s">
        <v>1121</v>
      </c>
      <c r="J86" s="447" t="s">
        <v>1085</v>
      </c>
      <c r="K86" s="430" t="s">
        <v>3</v>
      </c>
      <c r="L86" s="838" t="s">
        <v>1243</v>
      </c>
      <c r="M86" s="210" t="s">
        <v>104</v>
      </c>
      <c r="N86" s="139" t="s">
        <v>975</v>
      </c>
      <c r="O86" s="539" t="s">
        <v>780</v>
      </c>
      <c r="P86" s="447" t="s">
        <v>779</v>
      </c>
      <c r="Q86" s="430" t="s">
        <v>24</v>
      </c>
      <c r="R86" s="838" t="s">
        <v>331</v>
      </c>
      <c r="S86" s="210" t="s">
        <v>62</v>
      </c>
      <c r="T86" s="56"/>
      <c r="U86" s="139">
        <v>75</v>
      </c>
      <c r="V86" s="139" t="s">
        <v>975</v>
      </c>
      <c r="W86" s="539" t="s">
        <v>780</v>
      </c>
      <c r="X86" s="447" t="s">
        <v>779</v>
      </c>
      <c r="Y86" s="430" t="s">
        <v>24</v>
      </c>
      <c r="Z86" s="838" t="s">
        <v>331</v>
      </c>
      <c r="AC86" s="440">
        <v>75</v>
      </c>
      <c r="AD86" s="535" t="s">
        <v>961</v>
      </c>
      <c r="AE86" s="432"/>
      <c r="AF86" s="426" t="s">
        <v>831</v>
      </c>
      <c r="AG86" s="433" t="s">
        <v>24</v>
      </c>
      <c r="AH86" s="838" t="s">
        <v>333</v>
      </c>
    </row>
    <row r="87" spans="1:34" ht="15.75" thickBot="1">
      <c r="A87" s="872">
        <v>25</v>
      </c>
      <c r="B87" s="458" t="s">
        <v>908</v>
      </c>
      <c r="C87" s="432" t="s">
        <v>802</v>
      </c>
      <c r="D87" s="426" t="s">
        <v>801</v>
      </c>
      <c r="E87" s="433" t="s">
        <v>24</v>
      </c>
      <c r="F87" s="473" t="s">
        <v>330</v>
      </c>
      <c r="G87">
        <v>12</v>
      </c>
      <c r="H87" s="398" t="s">
        <v>990</v>
      </c>
      <c r="I87" s="832" t="s">
        <v>747</v>
      </c>
      <c r="J87" s="51" t="s">
        <v>746</v>
      </c>
      <c r="K87" s="41" t="s">
        <v>3</v>
      </c>
      <c r="L87" s="41" t="s">
        <v>331</v>
      </c>
      <c r="M87" s="70" t="s">
        <v>104</v>
      </c>
      <c r="N87" s="139" t="s">
        <v>976</v>
      </c>
      <c r="O87" s="540" t="s">
        <v>1056</v>
      </c>
      <c r="P87" s="447" t="s">
        <v>1055</v>
      </c>
      <c r="Q87" s="430" t="s">
        <v>24</v>
      </c>
      <c r="R87" s="838" t="s">
        <v>331</v>
      </c>
      <c r="S87" s="210" t="s">
        <v>104</v>
      </c>
      <c r="T87" s="56"/>
      <c r="U87" s="136">
        <v>76</v>
      </c>
      <c r="V87" s="139" t="s">
        <v>976</v>
      </c>
      <c r="W87" s="540" t="s">
        <v>1056</v>
      </c>
      <c r="X87" s="447" t="s">
        <v>1055</v>
      </c>
      <c r="Y87" s="430" t="s">
        <v>24</v>
      </c>
      <c r="Z87" s="838" t="s">
        <v>331</v>
      </c>
      <c r="AC87" s="136">
        <v>76</v>
      </c>
      <c r="AD87" s="535" t="s">
        <v>962</v>
      </c>
      <c r="AE87" s="432" t="s">
        <v>734</v>
      </c>
      <c r="AF87" s="426" t="s">
        <v>733</v>
      </c>
      <c r="AG87" s="433" t="s">
        <v>24</v>
      </c>
      <c r="AH87" s="838" t="s">
        <v>333</v>
      </c>
    </row>
    <row r="88" spans="1:34">
      <c r="A88" s="872">
        <v>26</v>
      </c>
      <c r="B88" s="488" t="s">
        <v>962</v>
      </c>
      <c r="C88" s="432" t="s">
        <v>734</v>
      </c>
      <c r="D88" s="426" t="s">
        <v>733</v>
      </c>
      <c r="E88" s="433" t="s">
        <v>24</v>
      </c>
      <c r="F88" s="473" t="s">
        <v>333</v>
      </c>
      <c r="G88">
        <v>13</v>
      </c>
      <c r="H88" s="398" t="s">
        <v>924</v>
      </c>
      <c r="I88" s="832" t="s">
        <v>667</v>
      </c>
      <c r="J88" s="51" t="s">
        <v>666</v>
      </c>
      <c r="K88" s="41" t="s">
        <v>3</v>
      </c>
      <c r="L88" s="41" t="s">
        <v>329</v>
      </c>
      <c r="M88" s="70" t="s">
        <v>104</v>
      </c>
      <c r="N88" s="139" t="s">
        <v>977</v>
      </c>
      <c r="O88" s="539"/>
      <c r="P88" s="447" t="s">
        <v>830</v>
      </c>
      <c r="Q88" s="430" t="s">
        <v>24</v>
      </c>
      <c r="R88" s="838" t="s">
        <v>331</v>
      </c>
      <c r="S88" s="857" t="s">
        <v>163</v>
      </c>
      <c r="T88" s="56"/>
      <c r="U88" s="139">
        <v>77</v>
      </c>
      <c r="V88" s="139" t="s">
        <v>977</v>
      </c>
      <c r="W88" s="539"/>
      <c r="X88" s="447" t="s">
        <v>830</v>
      </c>
      <c r="Y88" s="430" t="s">
        <v>24</v>
      </c>
      <c r="Z88" s="838" t="s">
        <v>331</v>
      </c>
      <c r="AC88" s="440">
        <v>77</v>
      </c>
      <c r="AD88" s="535" t="s">
        <v>963</v>
      </c>
      <c r="AE88" s="432"/>
      <c r="AF88" s="426" t="s">
        <v>832</v>
      </c>
      <c r="AG88" s="433" t="s">
        <v>24</v>
      </c>
      <c r="AH88" s="838" t="s">
        <v>333</v>
      </c>
    </row>
    <row r="89" spans="1:34" ht="15.75" thickBot="1">
      <c r="A89" s="872">
        <v>27</v>
      </c>
      <c r="B89" s="458" t="s">
        <v>1220</v>
      </c>
      <c r="C89" s="432"/>
      <c r="D89" s="426" t="s">
        <v>1218</v>
      </c>
      <c r="E89" s="433" t="s">
        <v>3</v>
      </c>
      <c r="F89" s="473" t="s">
        <v>646</v>
      </c>
      <c r="G89">
        <v>14</v>
      </c>
      <c r="H89" s="398" t="s">
        <v>886</v>
      </c>
      <c r="I89" s="832" t="s">
        <v>819</v>
      </c>
      <c r="J89" s="51" t="s">
        <v>818</v>
      </c>
      <c r="K89" s="41" t="s">
        <v>3</v>
      </c>
      <c r="L89" s="41" t="s">
        <v>330</v>
      </c>
      <c r="M89" s="70" t="s">
        <v>104</v>
      </c>
      <c r="N89" s="139" t="s">
        <v>979</v>
      </c>
      <c r="O89" s="539" t="s">
        <v>796</v>
      </c>
      <c r="P89" s="447" t="s">
        <v>795</v>
      </c>
      <c r="Q89" s="430" t="s">
        <v>24</v>
      </c>
      <c r="R89" s="838" t="s">
        <v>331</v>
      </c>
      <c r="S89" s="857" t="s">
        <v>2</v>
      </c>
      <c r="T89" s="56"/>
      <c r="U89" s="136">
        <v>78</v>
      </c>
      <c r="V89" s="139" t="s">
        <v>979</v>
      </c>
      <c r="W89" s="539" t="s">
        <v>796</v>
      </c>
      <c r="X89" s="447" t="s">
        <v>795</v>
      </c>
      <c r="Y89" s="430" t="s">
        <v>24</v>
      </c>
      <c r="Z89" s="838" t="s">
        <v>331</v>
      </c>
      <c r="AC89" s="136">
        <v>78</v>
      </c>
      <c r="AD89" s="535" t="s">
        <v>964</v>
      </c>
      <c r="AE89" s="432" t="s">
        <v>862</v>
      </c>
      <c r="AF89" s="426" t="s">
        <v>861</v>
      </c>
      <c r="AG89" s="433" t="s">
        <v>3</v>
      </c>
      <c r="AH89" s="838" t="s">
        <v>333</v>
      </c>
    </row>
    <row r="90" spans="1:34">
      <c r="A90" s="872">
        <v>28</v>
      </c>
      <c r="B90" s="458" t="s">
        <v>911</v>
      </c>
      <c r="C90" s="432" t="s">
        <v>866</v>
      </c>
      <c r="D90" s="426" t="s">
        <v>865</v>
      </c>
      <c r="E90" s="433" t="s">
        <v>24</v>
      </c>
      <c r="F90" s="473" t="s">
        <v>330</v>
      </c>
      <c r="G90">
        <v>15</v>
      </c>
      <c r="H90" s="139" t="s">
        <v>918</v>
      </c>
      <c r="I90" s="539" t="s">
        <v>728</v>
      </c>
      <c r="J90" s="447" t="s">
        <v>727</v>
      </c>
      <c r="K90" s="430" t="s">
        <v>3</v>
      </c>
      <c r="L90" s="430" t="s">
        <v>329</v>
      </c>
      <c r="M90" s="857" t="s">
        <v>104</v>
      </c>
      <c r="N90" s="139" t="s">
        <v>982</v>
      </c>
      <c r="O90" s="539" t="s">
        <v>675</v>
      </c>
      <c r="P90" s="447" t="s">
        <v>674</v>
      </c>
      <c r="Q90" s="430" t="s">
        <v>24</v>
      </c>
      <c r="R90" s="838" t="s">
        <v>331</v>
      </c>
      <c r="S90" s="210" t="s">
        <v>2</v>
      </c>
      <c r="T90" s="56"/>
      <c r="U90" s="139">
        <v>79</v>
      </c>
      <c r="V90" s="139" t="s">
        <v>982</v>
      </c>
      <c r="W90" s="539" t="s">
        <v>675</v>
      </c>
      <c r="X90" s="447" t="s">
        <v>674</v>
      </c>
      <c r="Y90" s="430" t="s">
        <v>24</v>
      </c>
      <c r="Z90" s="838" t="s">
        <v>331</v>
      </c>
      <c r="AC90" s="440">
        <v>79</v>
      </c>
      <c r="AD90" s="535" t="s">
        <v>965</v>
      </c>
      <c r="AE90" s="432" t="s">
        <v>792</v>
      </c>
      <c r="AF90" s="426" t="s">
        <v>791</v>
      </c>
      <c r="AG90" s="432" t="s">
        <v>24</v>
      </c>
      <c r="AH90" s="838" t="s">
        <v>333</v>
      </c>
    </row>
    <row r="91" spans="1:34" ht="15.75" thickBot="1">
      <c r="A91" s="872">
        <v>29</v>
      </c>
      <c r="B91" s="458" t="s">
        <v>992</v>
      </c>
      <c r="C91" s="432" t="s">
        <v>694</v>
      </c>
      <c r="D91" s="426" t="s">
        <v>693</v>
      </c>
      <c r="E91" s="433" t="s">
        <v>3</v>
      </c>
      <c r="F91" s="473" t="s">
        <v>331</v>
      </c>
      <c r="G91">
        <v>16</v>
      </c>
      <c r="H91" s="138" t="s">
        <v>1061</v>
      </c>
      <c r="I91" s="539" t="s">
        <v>1138</v>
      </c>
      <c r="J91" s="447" t="s">
        <v>1096</v>
      </c>
      <c r="K91" s="430" t="s">
        <v>3</v>
      </c>
      <c r="L91" s="838" t="s">
        <v>1243</v>
      </c>
      <c r="M91" s="210" t="s">
        <v>104</v>
      </c>
      <c r="N91" s="139" t="s">
        <v>983</v>
      </c>
      <c r="O91" s="539" t="s">
        <v>784</v>
      </c>
      <c r="P91" s="447" t="s">
        <v>783</v>
      </c>
      <c r="Q91" s="430" t="s">
        <v>24</v>
      </c>
      <c r="R91" s="838" t="s">
        <v>331</v>
      </c>
      <c r="S91" s="210" t="s">
        <v>62</v>
      </c>
      <c r="T91" s="211"/>
      <c r="U91" s="136">
        <v>80</v>
      </c>
      <c r="V91" s="139" t="s">
        <v>983</v>
      </c>
      <c r="W91" s="539" t="s">
        <v>784</v>
      </c>
      <c r="X91" s="447" t="s">
        <v>783</v>
      </c>
      <c r="Y91" s="430" t="s">
        <v>24</v>
      </c>
      <c r="Z91" s="838" t="s">
        <v>331</v>
      </c>
      <c r="AC91" s="136">
        <v>80</v>
      </c>
      <c r="AD91" s="535" t="s">
        <v>966</v>
      </c>
      <c r="AE91" s="432" t="s">
        <v>790</v>
      </c>
      <c r="AF91" s="426" t="s">
        <v>789</v>
      </c>
      <c r="AG91" s="433" t="s">
        <v>24</v>
      </c>
      <c r="AH91" s="838" t="s">
        <v>333</v>
      </c>
    </row>
    <row r="92" spans="1:34">
      <c r="A92" s="872">
        <v>30</v>
      </c>
      <c r="B92" s="458" t="s">
        <v>916</v>
      </c>
      <c r="C92" s="432" t="s">
        <v>872</v>
      </c>
      <c r="D92" s="426" t="s">
        <v>871</v>
      </c>
      <c r="E92" s="433" t="s">
        <v>24</v>
      </c>
      <c r="F92" s="473" t="s">
        <v>330</v>
      </c>
      <c r="G92">
        <v>1</v>
      </c>
      <c r="H92" s="139" t="s">
        <v>897</v>
      </c>
      <c r="I92" s="428" t="s">
        <v>688</v>
      </c>
      <c r="J92" s="34" t="s">
        <v>687</v>
      </c>
      <c r="K92" s="40" t="s">
        <v>24</v>
      </c>
      <c r="L92" s="838" t="s">
        <v>330</v>
      </c>
      <c r="M92" s="210" t="s">
        <v>104</v>
      </c>
      <c r="N92" s="139" t="s">
        <v>988</v>
      </c>
      <c r="O92" s="539" t="s">
        <v>677</v>
      </c>
      <c r="P92" s="447" t="s">
        <v>676</v>
      </c>
      <c r="Q92" s="430" t="s">
        <v>24</v>
      </c>
      <c r="R92" s="838" t="s">
        <v>331</v>
      </c>
      <c r="S92" s="210" t="s">
        <v>104</v>
      </c>
      <c r="T92" s="211"/>
      <c r="U92" s="139">
        <v>81</v>
      </c>
      <c r="V92" s="139" t="s">
        <v>988</v>
      </c>
      <c r="W92" s="539" t="s">
        <v>677</v>
      </c>
      <c r="X92" s="447" t="s">
        <v>676</v>
      </c>
      <c r="Y92" s="430" t="s">
        <v>24</v>
      </c>
      <c r="Z92" s="838" t="s">
        <v>331</v>
      </c>
      <c r="AC92" s="440">
        <v>81</v>
      </c>
      <c r="AD92" s="535" t="s">
        <v>967</v>
      </c>
      <c r="AE92" s="432" t="s">
        <v>710</v>
      </c>
      <c r="AF92" s="426" t="s">
        <v>709</v>
      </c>
      <c r="AG92" s="433" t="s">
        <v>24</v>
      </c>
      <c r="AH92" s="838" t="s">
        <v>333</v>
      </c>
    </row>
    <row r="93" spans="1:34" ht="15.75" thickBot="1">
      <c r="A93" s="872">
        <v>31</v>
      </c>
      <c r="B93" s="458" t="s">
        <v>1165</v>
      </c>
      <c r="C93" s="943" t="s">
        <v>1166</v>
      </c>
      <c r="D93" s="426" t="s">
        <v>1167</v>
      </c>
      <c r="E93" s="433" t="s">
        <v>3</v>
      </c>
      <c r="F93" s="473" t="s">
        <v>1243</v>
      </c>
      <c r="G93">
        <v>2</v>
      </c>
      <c r="H93" s="139" t="s">
        <v>909</v>
      </c>
      <c r="I93" s="428" t="s">
        <v>836</v>
      </c>
      <c r="J93" s="34" t="s">
        <v>835</v>
      </c>
      <c r="K93" s="40" t="s">
        <v>24</v>
      </c>
      <c r="L93" s="838" t="s">
        <v>330</v>
      </c>
      <c r="M93" s="210" t="s">
        <v>104</v>
      </c>
      <c r="N93" s="139" t="s">
        <v>989</v>
      </c>
      <c r="O93" s="539"/>
      <c r="P93" s="447" t="s">
        <v>829</v>
      </c>
      <c r="Q93" s="430" t="s">
        <v>24</v>
      </c>
      <c r="R93" s="838" t="s">
        <v>331</v>
      </c>
      <c r="S93" s="857" t="s">
        <v>163</v>
      </c>
      <c r="T93" s="211"/>
      <c r="U93" s="136">
        <v>82</v>
      </c>
      <c r="V93" s="139" t="s">
        <v>989</v>
      </c>
      <c r="W93" s="539"/>
      <c r="X93" s="447" t="s">
        <v>829</v>
      </c>
      <c r="Y93" s="430" t="s">
        <v>24</v>
      </c>
      <c r="Z93" s="838" t="s">
        <v>331</v>
      </c>
      <c r="AC93" s="136">
        <v>82</v>
      </c>
      <c r="AD93" s="535" t="s">
        <v>968</v>
      </c>
      <c r="AE93" s="432" t="s">
        <v>732</v>
      </c>
      <c r="AF93" s="426" t="s">
        <v>731</v>
      </c>
      <c r="AG93" s="433" t="s">
        <v>24</v>
      </c>
      <c r="AH93" s="838" t="s">
        <v>333</v>
      </c>
    </row>
    <row r="94" spans="1:34" ht="15.75" thickBot="1">
      <c r="A94" s="872">
        <v>32</v>
      </c>
      <c r="B94" s="458" t="s">
        <v>917</v>
      </c>
      <c r="C94" s="432" t="s">
        <v>726</v>
      </c>
      <c r="D94" s="426" t="s">
        <v>725</v>
      </c>
      <c r="E94" s="433" t="s">
        <v>3</v>
      </c>
      <c r="F94" s="473" t="s">
        <v>330</v>
      </c>
      <c r="G94">
        <v>3</v>
      </c>
      <c r="H94" s="34" t="s">
        <v>1184</v>
      </c>
      <c r="I94" s="429" t="s">
        <v>1200</v>
      </c>
      <c r="J94" s="844" t="s">
        <v>1199</v>
      </c>
      <c r="K94" s="40" t="s">
        <v>24</v>
      </c>
      <c r="L94" s="838" t="s">
        <v>330</v>
      </c>
      <c r="M94" s="210" t="s">
        <v>104</v>
      </c>
      <c r="N94" s="139" t="s">
        <v>994</v>
      </c>
      <c r="O94" s="539"/>
      <c r="P94" s="447" t="s">
        <v>828</v>
      </c>
      <c r="Q94" s="430" t="s">
        <v>24</v>
      </c>
      <c r="R94" s="838" t="s">
        <v>331</v>
      </c>
      <c r="S94" s="857" t="s">
        <v>208</v>
      </c>
      <c r="T94" s="56"/>
      <c r="U94" s="139">
        <v>83</v>
      </c>
      <c r="V94" s="139" t="s">
        <v>994</v>
      </c>
      <c r="W94" s="539"/>
      <c r="X94" s="447" t="s">
        <v>828</v>
      </c>
      <c r="Y94" s="430" t="s">
        <v>24</v>
      </c>
      <c r="Z94" s="838" t="s">
        <v>331</v>
      </c>
      <c r="AC94" s="440">
        <v>83</v>
      </c>
      <c r="AD94" s="535" t="s">
        <v>969</v>
      </c>
      <c r="AE94" s="432" t="s">
        <v>772</v>
      </c>
      <c r="AF94" s="426" t="s">
        <v>771</v>
      </c>
      <c r="AG94" s="433" t="s">
        <v>3</v>
      </c>
      <c r="AH94" s="838" t="s">
        <v>333</v>
      </c>
    </row>
    <row r="95" spans="1:34" ht="15.75" thickBot="1">
      <c r="A95" s="873"/>
      <c r="B95" s="874"/>
      <c r="C95" s="868"/>
      <c r="D95" s="869"/>
      <c r="E95" s="870"/>
      <c r="F95" s="944"/>
      <c r="G95">
        <v>4</v>
      </c>
      <c r="H95" s="139" t="s">
        <v>927</v>
      </c>
      <c r="I95" s="539" t="s">
        <v>786</v>
      </c>
      <c r="J95" s="447" t="s">
        <v>785</v>
      </c>
      <c r="K95" s="430" t="s">
        <v>24</v>
      </c>
      <c r="L95" s="430" t="s">
        <v>329</v>
      </c>
      <c r="M95" s="210" t="s">
        <v>104</v>
      </c>
      <c r="N95" s="139" t="s">
        <v>995</v>
      </c>
      <c r="O95" s="539" t="s">
        <v>712</v>
      </c>
      <c r="P95" s="447" t="s">
        <v>711</v>
      </c>
      <c r="Q95" s="430" t="s">
        <v>24</v>
      </c>
      <c r="R95" s="838" t="s">
        <v>331</v>
      </c>
      <c r="S95" s="210"/>
      <c r="T95" s="56"/>
      <c r="U95" s="136">
        <v>84</v>
      </c>
      <c r="V95" s="139" t="s">
        <v>995</v>
      </c>
      <c r="W95" s="539" t="s">
        <v>712</v>
      </c>
      <c r="X95" s="447" t="s">
        <v>711</v>
      </c>
      <c r="Y95" s="430" t="s">
        <v>24</v>
      </c>
      <c r="Z95" s="838" t="s">
        <v>331</v>
      </c>
      <c r="AC95" s="136">
        <v>84</v>
      </c>
      <c r="AD95" s="520" t="s">
        <v>970</v>
      </c>
      <c r="AE95" s="439" t="s">
        <v>745</v>
      </c>
      <c r="AF95" s="351" t="s">
        <v>744</v>
      </c>
      <c r="AG95" s="352" t="s">
        <v>3</v>
      </c>
      <c r="AH95" s="838" t="s">
        <v>331</v>
      </c>
    </row>
    <row r="96" spans="1:34">
      <c r="A96" s="109" t="s">
        <v>24</v>
      </c>
      <c r="B96" s="128">
        <v>16</v>
      </c>
      <c r="C96" s="129"/>
      <c r="D96" s="129"/>
      <c r="E96" s="128"/>
      <c r="F96" s="180"/>
      <c r="G96">
        <v>5</v>
      </c>
      <c r="H96" s="850" t="s">
        <v>948</v>
      </c>
      <c r="I96" s="539" t="s">
        <v>673</v>
      </c>
      <c r="J96" s="447" t="s">
        <v>672</v>
      </c>
      <c r="K96" s="430" t="s">
        <v>24</v>
      </c>
      <c r="L96" s="838" t="s">
        <v>333</v>
      </c>
      <c r="M96" s="210" t="s">
        <v>104</v>
      </c>
      <c r="N96" s="139" t="s">
        <v>998</v>
      </c>
      <c r="O96" s="540" t="s">
        <v>1127</v>
      </c>
      <c r="P96" s="447" t="s">
        <v>1088</v>
      </c>
      <c r="Q96" s="430" t="s">
        <v>3</v>
      </c>
      <c r="R96" s="838" t="s">
        <v>646</v>
      </c>
      <c r="S96" s="210" t="s">
        <v>2</v>
      </c>
      <c r="T96" s="56"/>
      <c r="U96" s="139">
        <v>85</v>
      </c>
      <c r="V96" s="139" t="s">
        <v>998</v>
      </c>
      <c r="W96" s="540" t="s">
        <v>1127</v>
      </c>
      <c r="X96" s="447" t="s">
        <v>1088</v>
      </c>
      <c r="Y96" s="430" t="s">
        <v>3</v>
      </c>
      <c r="Z96" s="838" t="s">
        <v>646</v>
      </c>
      <c r="AC96" s="440">
        <v>85</v>
      </c>
      <c r="AD96" s="499" t="s">
        <v>971</v>
      </c>
      <c r="AE96" s="432" t="s">
        <v>788</v>
      </c>
      <c r="AF96" s="426" t="s">
        <v>787</v>
      </c>
      <c r="AG96" s="433" t="s">
        <v>24</v>
      </c>
      <c r="AH96" s="838" t="s">
        <v>331</v>
      </c>
    </row>
    <row r="97" spans="1:34" ht="15.75" thickBot="1">
      <c r="A97" s="110" t="s">
        <v>3</v>
      </c>
      <c r="B97" s="111">
        <v>16</v>
      </c>
      <c r="C97" s="112"/>
      <c r="D97" s="112"/>
      <c r="E97" s="111"/>
      <c r="F97" s="181"/>
      <c r="G97">
        <v>6</v>
      </c>
      <c r="H97" s="850" t="s">
        <v>965</v>
      </c>
      <c r="I97" s="539" t="s">
        <v>792</v>
      </c>
      <c r="J97" s="447" t="s">
        <v>791</v>
      </c>
      <c r="K97" s="539" t="s">
        <v>24</v>
      </c>
      <c r="L97" s="838" t="s">
        <v>333</v>
      </c>
      <c r="M97" s="210" t="s">
        <v>104</v>
      </c>
      <c r="N97" s="139" t="s">
        <v>1002</v>
      </c>
      <c r="O97" s="540" t="s">
        <v>1133</v>
      </c>
      <c r="P97" s="447" t="s">
        <v>1132</v>
      </c>
      <c r="Q97" s="430" t="s">
        <v>3</v>
      </c>
      <c r="R97" s="838" t="s">
        <v>646</v>
      </c>
      <c r="S97" s="210" t="s">
        <v>62</v>
      </c>
      <c r="T97" s="56"/>
      <c r="U97" s="136">
        <v>86</v>
      </c>
      <c r="V97" s="139" t="s">
        <v>1002</v>
      </c>
      <c r="W97" s="540" t="s">
        <v>1133</v>
      </c>
      <c r="X97" s="447" t="s">
        <v>1132</v>
      </c>
      <c r="Y97" s="430" t="s">
        <v>3</v>
      </c>
      <c r="Z97" s="838" t="s">
        <v>646</v>
      </c>
      <c r="AC97" s="136">
        <v>86</v>
      </c>
      <c r="AD97" s="499" t="s">
        <v>972</v>
      </c>
      <c r="AE97" s="432" t="s">
        <v>876</v>
      </c>
      <c r="AF97" s="426" t="s">
        <v>875</v>
      </c>
      <c r="AG97" s="433" t="s">
        <v>3</v>
      </c>
      <c r="AH97" s="838" t="s">
        <v>331</v>
      </c>
    </row>
    <row r="98" spans="1:34">
      <c r="A98" s="103"/>
      <c r="B98" s="116"/>
      <c r="C98" s="117"/>
      <c r="D98" s="182"/>
      <c r="E98" s="810" t="s">
        <v>1242</v>
      </c>
      <c r="F98" s="117"/>
      <c r="G98">
        <v>7</v>
      </c>
      <c r="H98" s="139" t="s">
        <v>976</v>
      </c>
      <c r="I98" s="540" t="s">
        <v>1056</v>
      </c>
      <c r="J98" s="447" t="s">
        <v>1055</v>
      </c>
      <c r="K98" s="430" t="s">
        <v>24</v>
      </c>
      <c r="L98" s="838" t="s">
        <v>331</v>
      </c>
      <c r="M98" s="210" t="s">
        <v>104</v>
      </c>
      <c r="N98" s="139" t="s">
        <v>1005</v>
      </c>
      <c r="O98" s="539" t="s">
        <v>1148</v>
      </c>
      <c r="P98" s="447" t="s">
        <v>1102</v>
      </c>
      <c r="Q98" s="430" t="s">
        <v>3</v>
      </c>
      <c r="R98" s="838" t="s">
        <v>646</v>
      </c>
      <c r="S98" s="210" t="s">
        <v>104</v>
      </c>
      <c r="T98" s="56"/>
      <c r="U98" s="139">
        <v>87</v>
      </c>
      <c r="V98" s="139" t="s">
        <v>1005</v>
      </c>
      <c r="W98" s="539" t="s">
        <v>1148</v>
      </c>
      <c r="X98" s="447" t="s">
        <v>1102</v>
      </c>
      <c r="Y98" s="430" t="s">
        <v>3</v>
      </c>
      <c r="Z98" s="838" t="s">
        <v>646</v>
      </c>
      <c r="AC98" s="440">
        <v>87</v>
      </c>
      <c r="AD98" s="499" t="s">
        <v>973</v>
      </c>
      <c r="AE98" s="432" t="s">
        <v>800</v>
      </c>
      <c r="AF98" s="426" t="s">
        <v>799</v>
      </c>
      <c r="AG98" s="433" t="s">
        <v>3</v>
      </c>
      <c r="AH98" s="838" t="s">
        <v>331</v>
      </c>
    </row>
    <row r="99" spans="1:34" ht="15.75" thickBot="1">
      <c r="A99" s="103"/>
      <c r="B99" s="103"/>
      <c r="C99" s="115"/>
      <c r="D99" s="115"/>
      <c r="E99" s="115" t="s">
        <v>84</v>
      </c>
      <c r="F99" s="115"/>
      <c r="G99">
        <v>8</v>
      </c>
      <c r="H99" s="139" t="s">
        <v>988</v>
      </c>
      <c r="I99" s="539" t="s">
        <v>677</v>
      </c>
      <c r="J99" s="447" t="s">
        <v>676</v>
      </c>
      <c r="K99" s="430" t="s">
        <v>24</v>
      </c>
      <c r="L99" s="838" t="s">
        <v>331</v>
      </c>
      <c r="M99" s="210" t="s">
        <v>104</v>
      </c>
      <c r="N99" s="139" t="s">
        <v>1006</v>
      </c>
      <c r="O99" s="540" t="s">
        <v>1156</v>
      </c>
      <c r="P99" s="447" t="s">
        <v>1109</v>
      </c>
      <c r="Q99" s="430" t="s">
        <v>3</v>
      </c>
      <c r="R99" s="838" t="s">
        <v>646</v>
      </c>
      <c r="S99" s="857" t="s">
        <v>163</v>
      </c>
      <c r="T99" s="840"/>
      <c r="U99" s="136">
        <v>88</v>
      </c>
      <c r="V99" s="139" t="s">
        <v>1006</v>
      </c>
      <c r="W99" s="540" t="s">
        <v>1156</v>
      </c>
      <c r="X99" s="447" t="s">
        <v>1109</v>
      </c>
      <c r="Y99" s="430" t="s">
        <v>3</v>
      </c>
      <c r="Z99" s="838" t="s">
        <v>646</v>
      </c>
      <c r="AC99" s="136">
        <v>88</v>
      </c>
      <c r="AD99" s="499" t="s">
        <v>974</v>
      </c>
      <c r="AE99" s="432" t="s">
        <v>738</v>
      </c>
      <c r="AF99" s="426" t="s">
        <v>737</v>
      </c>
      <c r="AG99" s="433" t="s">
        <v>24</v>
      </c>
      <c r="AH99" s="838" t="s">
        <v>331</v>
      </c>
    </row>
    <row r="100" spans="1:34">
      <c r="A100" s="103"/>
      <c r="B100" s="210"/>
      <c r="C100" s="605"/>
      <c r="D100" s="115"/>
      <c r="E100" s="115"/>
      <c r="F100" s="115"/>
      <c r="G100">
        <v>9</v>
      </c>
      <c r="H100" s="139" t="s">
        <v>999</v>
      </c>
      <c r="I100" s="539" t="s">
        <v>681</v>
      </c>
      <c r="J100" s="447" t="s">
        <v>680</v>
      </c>
      <c r="K100" s="430" t="s">
        <v>24</v>
      </c>
      <c r="L100" s="838" t="s">
        <v>646</v>
      </c>
      <c r="M100" s="210" t="s">
        <v>104</v>
      </c>
      <c r="N100" s="139" t="s">
        <v>1007</v>
      </c>
      <c r="O100" s="540" t="s">
        <v>1135</v>
      </c>
      <c r="P100" s="447" t="s">
        <v>1094</v>
      </c>
      <c r="Q100" s="430" t="s">
        <v>3</v>
      </c>
      <c r="R100" s="838" t="s">
        <v>646</v>
      </c>
      <c r="S100" s="857" t="s">
        <v>208</v>
      </c>
      <c r="T100" s="56"/>
      <c r="U100" s="139">
        <v>89</v>
      </c>
      <c r="V100" s="139" t="s">
        <v>1007</v>
      </c>
      <c r="W100" s="540" t="s">
        <v>1135</v>
      </c>
      <c r="X100" s="447" t="s">
        <v>1094</v>
      </c>
      <c r="Y100" s="430" t="s">
        <v>3</v>
      </c>
      <c r="Z100" s="838" t="s">
        <v>646</v>
      </c>
      <c r="AC100" s="440">
        <v>89</v>
      </c>
      <c r="AD100" s="499" t="s">
        <v>975</v>
      </c>
      <c r="AE100" s="432" t="s">
        <v>780</v>
      </c>
      <c r="AF100" s="426" t="s">
        <v>779</v>
      </c>
      <c r="AG100" s="433" t="s">
        <v>24</v>
      </c>
      <c r="AH100" s="838" t="s">
        <v>331</v>
      </c>
    </row>
    <row r="101" spans="1:34" ht="30.75" customHeight="1" thickBot="1">
      <c r="A101" s="103"/>
      <c r="B101" s="103"/>
      <c r="C101" s="115"/>
      <c r="D101" s="115"/>
      <c r="E101" s="115"/>
      <c r="F101" s="115"/>
      <c r="G101">
        <v>10</v>
      </c>
      <c r="H101" s="139" t="s">
        <v>1013</v>
      </c>
      <c r="I101" s="447"/>
      <c r="J101" s="447" t="s">
        <v>1126</v>
      </c>
      <c r="K101" s="430" t="s">
        <v>24</v>
      </c>
      <c r="L101" s="838" t="s">
        <v>646</v>
      </c>
      <c r="M101" s="210" t="s">
        <v>104</v>
      </c>
      <c r="N101" s="139" t="s">
        <v>1008</v>
      </c>
      <c r="O101" s="540" t="s">
        <v>1128</v>
      </c>
      <c r="P101" s="447" t="s">
        <v>1089</v>
      </c>
      <c r="Q101" s="430" t="s">
        <v>3</v>
      </c>
      <c r="R101" s="838" t="s">
        <v>646</v>
      </c>
      <c r="S101" s="210" t="s">
        <v>2</v>
      </c>
      <c r="T101" s="56"/>
      <c r="U101" s="136">
        <v>90</v>
      </c>
      <c r="V101" s="139" t="s">
        <v>1008</v>
      </c>
      <c r="W101" s="540" t="s">
        <v>1128</v>
      </c>
      <c r="X101" s="447" t="s">
        <v>1089</v>
      </c>
      <c r="Y101" s="430" t="s">
        <v>3</v>
      </c>
      <c r="Z101" s="838" t="s">
        <v>646</v>
      </c>
      <c r="AC101" s="136">
        <v>90</v>
      </c>
      <c r="AD101" s="499" t="s">
        <v>976</v>
      </c>
      <c r="AE101" s="514" t="s">
        <v>1056</v>
      </c>
      <c r="AF101" s="426" t="s">
        <v>1055</v>
      </c>
      <c r="AG101" s="433" t="s">
        <v>24</v>
      </c>
      <c r="AH101" s="838" t="s">
        <v>331</v>
      </c>
    </row>
    <row r="102" spans="1:34">
      <c r="E102" s="121" t="str">
        <f>WLKLS!B8</f>
        <v>NUNUNG NURHAYANI, S.Pd</v>
      </c>
      <c r="G102">
        <v>11</v>
      </c>
      <c r="H102" s="138" t="s">
        <v>1025</v>
      </c>
      <c r="I102" s="539" t="s">
        <v>811</v>
      </c>
      <c r="J102" s="447" t="s">
        <v>810</v>
      </c>
      <c r="K102" s="430" t="s">
        <v>24</v>
      </c>
      <c r="L102" s="838" t="s">
        <v>1243</v>
      </c>
      <c r="M102" s="210" t="s">
        <v>104</v>
      </c>
      <c r="N102" s="139" t="s">
        <v>1011</v>
      </c>
      <c r="O102" s="539" t="s">
        <v>1159</v>
      </c>
      <c r="P102" s="447" t="s">
        <v>1113</v>
      </c>
      <c r="Q102" s="430" t="s">
        <v>3</v>
      </c>
      <c r="R102" s="838" t="s">
        <v>646</v>
      </c>
      <c r="S102" s="210" t="s">
        <v>62</v>
      </c>
      <c r="T102" s="56"/>
      <c r="U102" s="139">
        <v>91</v>
      </c>
      <c r="V102" s="139" t="s">
        <v>1011</v>
      </c>
      <c r="W102" s="539" t="s">
        <v>1159</v>
      </c>
      <c r="X102" s="447" t="s">
        <v>1113</v>
      </c>
      <c r="Y102" s="430" t="s">
        <v>3</v>
      </c>
      <c r="Z102" s="838" t="s">
        <v>646</v>
      </c>
      <c r="AC102" s="440">
        <v>91</v>
      </c>
      <c r="AD102" s="499" t="s">
        <v>977</v>
      </c>
      <c r="AE102" s="432"/>
      <c r="AF102" s="426" t="s">
        <v>830</v>
      </c>
      <c r="AG102" s="433" t="s">
        <v>24</v>
      </c>
      <c r="AH102" s="838" t="s">
        <v>331</v>
      </c>
    </row>
    <row r="103" spans="1:34" ht="15.75" thickBot="1">
      <c r="E103" s="185" t="str">
        <f>WLKLS!C8</f>
        <v>NIP. 196807211992032006</v>
      </c>
      <c r="G103">
        <v>12</v>
      </c>
      <c r="H103" s="860" t="s">
        <v>1015</v>
      </c>
      <c r="I103" s="866" t="s">
        <v>1129</v>
      </c>
      <c r="J103" s="862" t="s">
        <v>1090</v>
      </c>
      <c r="K103" s="863" t="s">
        <v>24</v>
      </c>
      <c r="L103" s="863" t="s">
        <v>646</v>
      </c>
      <c r="M103" s="864" t="s">
        <v>104</v>
      </c>
      <c r="N103" s="139" t="s">
        <v>1017</v>
      </c>
      <c r="O103" s="540" t="s">
        <v>1146</v>
      </c>
      <c r="P103" s="447" t="s">
        <v>1145</v>
      </c>
      <c r="Q103" s="430" t="s">
        <v>3</v>
      </c>
      <c r="R103" s="838" t="s">
        <v>646</v>
      </c>
      <c r="S103" s="210" t="s">
        <v>104</v>
      </c>
      <c r="T103" s="56"/>
      <c r="U103" s="136">
        <v>92</v>
      </c>
      <c r="V103" s="139" t="s">
        <v>1017</v>
      </c>
      <c r="W103" s="540" t="s">
        <v>1146</v>
      </c>
      <c r="X103" s="447" t="s">
        <v>1145</v>
      </c>
      <c r="Y103" s="430" t="s">
        <v>3</v>
      </c>
      <c r="Z103" s="838" t="s">
        <v>646</v>
      </c>
      <c r="AC103" s="136">
        <v>92</v>
      </c>
      <c r="AD103" s="499" t="s">
        <v>978</v>
      </c>
      <c r="AE103" s="432" t="s">
        <v>743</v>
      </c>
      <c r="AF103" s="426" t="s">
        <v>742</v>
      </c>
      <c r="AG103" s="433" t="s">
        <v>3</v>
      </c>
      <c r="AH103" s="838" t="s">
        <v>331</v>
      </c>
    </row>
    <row r="104" spans="1:34">
      <c r="A104" s="1018" t="s">
        <v>0</v>
      </c>
      <c r="B104" s="1018"/>
      <c r="C104" s="1018"/>
      <c r="D104" s="1018"/>
      <c r="E104" s="1018"/>
      <c r="F104" s="1018"/>
      <c r="G104">
        <v>13</v>
      </c>
      <c r="H104" s="860" t="s">
        <v>920</v>
      </c>
      <c r="I104" s="861" t="s">
        <v>840</v>
      </c>
      <c r="J104" s="862" t="s">
        <v>839</v>
      </c>
      <c r="K104" s="863" t="s">
        <v>24</v>
      </c>
      <c r="L104" s="863" t="s">
        <v>329</v>
      </c>
      <c r="M104" s="864" t="s">
        <v>104</v>
      </c>
      <c r="N104" s="139" t="s">
        <v>1018</v>
      </c>
      <c r="O104" s="539" t="s">
        <v>1140</v>
      </c>
      <c r="P104" s="447" t="s">
        <v>1098</v>
      </c>
      <c r="Q104" s="430" t="s">
        <v>3</v>
      </c>
      <c r="R104" s="838" t="s">
        <v>646</v>
      </c>
      <c r="S104" s="857" t="s">
        <v>163</v>
      </c>
      <c r="T104" s="56"/>
      <c r="U104" s="139">
        <v>93</v>
      </c>
      <c r="V104" s="139" t="s">
        <v>1018</v>
      </c>
      <c r="W104" s="539" t="s">
        <v>1140</v>
      </c>
      <c r="X104" s="447" t="s">
        <v>1098</v>
      </c>
      <c r="Y104" s="430" t="s">
        <v>3</v>
      </c>
      <c r="Z104" s="838" t="s">
        <v>646</v>
      </c>
      <c r="AC104" s="440">
        <v>93</v>
      </c>
      <c r="AD104" s="499" t="s">
        <v>979</v>
      </c>
      <c r="AE104" s="432" t="s">
        <v>796</v>
      </c>
      <c r="AF104" s="426" t="s">
        <v>795</v>
      </c>
      <c r="AG104" s="433" t="s">
        <v>24</v>
      </c>
      <c r="AH104" s="838" t="s">
        <v>331</v>
      </c>
    </row>
    <row r="105" spans="1:34" ht="15.75" thickBot="1">
      <c r="A105" s="1018" t="s">
        <v>1</v>
      </c>
      <c r="B105" s="1018"/>
      <c r="C105" s="1018"/>
      <c r="D105" s="1018"/>
      <c r="E105" s="1018"/>
      <c r="F105" s="1018"/>
      <c r="G105">
        <v>14</v>
      </c>
      <c r="H105" s="860" t="s">
        <v>895</v>
      </c>
      <c r="I105" s="861" t="s">
        <v>870</v>
      </c>
      <c r="J105" s="862" t="s">
        <v>869</v>
      </c>
      <c r="K105" s="863" t="s">
        <v>24</v>
      </c>
      <c r="L105" s="863" t="s">
        <v>330</v>
      </c>
      <c r="M105" s="864" t="s">
        <v>104</v>
      </c>
      <c r="N105" s="139" t="s">
        <v>1020</v>
      </c>
      <c r="O105" s="539" t="s">
        <v>1141</v>
      </c>
      <c r="P105" s="447" t="s">
        <v>1099</v>
      </c>
      <c r="Q105" s="430" t="s">
        <v>3</v>
      </c>
      <c r="R105" s="838" t="s">
        <v>646</v>
      </c>
      <c r="S105" s="857" t="s">
        <v>208</v>
      </c>
      <c r="T105" s="56"/>
      <c r="U105" s="136">
        <v>94</v>
      </c>
      <c r="V105" s="139" t="s">
        <v>1020</v>
      </c>
      <c r="W105" s="539" t="s">
        <v>1141</v>
      </c>
      <c r="X105" s="447" t="s">
        <v>1099</v>
      </c>
      <c r="Y105" s="430" t="s">
        <v>3</v>
      </c>
      <c r="Z105" s="838" t="s">
        <v>646</v>
      </c>
      <c r="AC105" s="136">
        <v>94</v>
      </c>
      <c r="AD105" s="499" t="s">
        <v>981</v>
      </c>
      <c r="AE105" s="432" t="s">
        <v>766</v>
      </c>
      <c r="AF105" s="426" t="s">
        <v>765</v>
      </c>
      <c r="AG105" s="433" t="s">
        <v>3</v>
      </c>
      <c r="AH105" s="838" t="s">
        <v>331</v>
      </c>
    </row>
    <row r="106" spans="1:34">
      <c r="A106" s="1018" t="s">
        <v>4</v>
      </c>
      <c r="B106" s="1018"/>
      <c r="C106" s="1018"/>
      <c r="D106" s="1018"/>
      <c r="E106" s="1018"/>
      <c r="F106" s="1018"/>
      <c r="G106">
        <v>15</v>
      </c>
      <c r="H106" s="860" t="s">
        <v>900</v>
      </c>
      <c r="I106" s="861"/>
      <c r="J106" s="862" t="s">
        <v>684</v>
      </c>
      <c r="K106" s="863" t="s">
        <v>24</v>
      </c>
      <c r="L106" s="863" t="s">
        <v>330</v>
      </c>
      <c r="M106" s="864" t="s">
        <v>104</v>
      </c>
      <c r="N106" s="139" t="s">
        <v>1220</v>
      </c>
      <c r="O106" s="539"/>
      <c r="P106" s="447" t="s">
        <v>1218</v>
      </c>
      <c r="Q106" s="430" t="s">
        <v>3</v>
      </c>
      <c r="R106" s="838" t="s">
        <v>646</v>
      </c>
      <c r="S106" s="818"/>
      <c r="T106" s="56"/>
      <c r="U106" s="139">
        <v>95</v>
      </c>
      <c r="V106" s="139" t="s">
        <v>1220</v>
      </c>
      <c r="W106" s="539"/>
      <c r="X106" s="447" t="s">
        <v>1218</v>
      </c>
      <c r="Y106" s="430" t="s">
        <v>3</v>
      </c>
      <c r="Z106" s="838" t="s">
        <v>646</v>
      </c>
      <c r="AC106" s="440">
        <v>95</v>
      </c>
      <c r="AD106" s="499" t="s">
        <v>982</v>
      </c>
      <c r="AE106" s="432" t="s">
        <v>675</v>
      </c>
      <c r="AF106" s="426" t="s">
        <v>674</v>
      </c>
      <c r="AG106" s="433" t="s">
        <v>24</v>
      </c>
      <c r="AH106" s="838" t="s">
        <v>331</v>
      </c>
    </row>
    <row r="107" spans="1:34" ht="15.75" thickBot="1">
      <c r="A107" s="1019" t="s">
        <v>6</v>
      </c>
      <c r="B107" s="1019"/>
      <c r="C107" s="1019"/>
      <c r="D107" s="1019"/>
      <c r="E107" s="1019"/>
      <c r="F107" s="1019"/>
      <c r="G107">
        <v>16</v>
      </c>
      <c r="H107" s="138" t="s">
        <v>1033</v>
      </c>
      <c r="I107" s="539" t="s">
        <v>1142</v>
      </c>
      <c r="J107" s="447" t="s">
        <v>1100</v>
      </c>
      <c r="K107" s="430" t="s">
        <v>24</v>
      </c>
      <c r="L107" s="838" t="s">
        <v>1243</v>
      </c>
      <c r="M107" s="210" t="s">
        <v>104</v>
      </c>
      <c r="N107" s="139" t="s">
        <v>996</v>
      </c>
      <c r="O107" s="539" t="s">
        <v>815</v>
      </c>
      <c r="P107" s="447" t="s">
        <v>814</v>
      </c>
      <c r="Q107" s="430" t="s">
        <v>24</v>
      </c>
      <c r="R107" s="838" t="s">
        <v>646</v>
      </c>
      <c r="S107" s="210" t="s">
        <v>2</v>
      </c>
      <c r="T107" s="211"/>
      <c r="U107" s="136">
        <v>96</v>
      </c>
      <c r="V107" s="139" t="s">
        <v>996</v>
      </c>
      <c r="W107" s="539" t="s">
        <v>815</v>
      </c>
      <c r="X107" s="447" t="s">
        <v>814</v>
      </c>
      <c r="Y107" s="430" t="s">
        <v>24</v>
      </c>
      <c r="Z107" s="838" t="s">
        <v>646</v>
      </c>
      <c r="AC107" s="136">
        <v>96</v>
      </c>
      <c r="AD107" s="499" t="s">
        <v>983</v>
      </c>
      <c r="AE107" s="432" t="s">
        <v>784</v>
      </c>
      <c r="AF107" s="426" t="s">
        <v>783</v>
      </c>
      <c r="AG107" s="433" t="s">
        <v>24</v>
      </c>
      <c r="AH107" s="838" t="s">
        <v>331</v>
      </c>
    </row>
    <row r="108" spans="1:34" ht="15.75" thickBot="1">
      <c r="A108" s="1020" t="s">
        <v>7</v>
      </c>
      <c r="B108" s="1020"/>
      <c r="C108" s="1020"/>
      <c r="D108" s="1020"/>
      <c r="E108" s="1020"/>
      <c r="F108" s="1020"/>
      <c r="G108">
        <v>1</v>
      </c>
      <c r="H108" s="139" t="s">
        <v>896</v>
      </c>
      <c r="I108" s="428" t="s">
        <v>878</v>
      </c>
      <c r="J108" s="447" t="s">
        <v>877</v>
      </c>
      <c r="K108" s="40" t="s">
        <v>3</v>
      </c>
      <c r="L108" s="838" t="s">
        <v>330</v>
      </c>
      <c r="M108" s="210" t="s">
        <v>163</v>
      </c>
      <c r="N108" s="139" t="s">
        <v>997</v>
      </c>
      <c r="O108" s="539" t="s">
        <v>1153</v>
      </c>
      <c r="P108" s="447" t="s">
        <v>1106</v>
      </c>
      <c r="Q108" s="430" t="s">
        <v>24</v>
      </c>
      <c r="R108" s="838" t="s">
        <v>646</v>
      </c>
      <c r="S108" s="210" t="s">
        <v>62</v>
      </c>
      <c r="T108" s="211"/>
      <c r="U108" s="139">
        <v>97</v>
      </c>
      <c r="V108" s="139" t="s">
        <v>997</v>
      </c>
      <c r="W108" s="539" t="s">
        <v>1153</v>
      </c>
      <c r="X108" s="447" t="s">
        <v>1106</v>
      </c>
      <c r="Y108" s="430" t="s">
        <v>24</v>
      </c>
      <c r="Z108" s="838" t="s">
        <v>646</v>
      </c>
      <c r="AC108" s="440">
        <v>97</v>
      </c>
      <c r="AD108" s="499" t="s">
        <v>984</v>
      </c>
      <c r="AE108" s="426"/>
      <c r="AF108" s="426" t="s">
        <v>1115</v>
      </c>
      <c r="AG108" s="433" t="s">
        <v>3</v>
      </c>
      <c r="AH108" s="838" t="s">
        <v>331</v>
      </c>
    </row>
    <row r="109" spans="1:34" ht="16.5" thickTop="1" thickBot="1">
      <c r="A109" s="97"/>
      <c r="B109" s="98"/>
      <c r="C109" s="97"/>
      <c r="D109" s="97"/>
      <c r="E109" s="98"/>
      <c r="F109" s="97"/>
      <c r="G109">
        <v>2</v>
      </c>
      <c r="H109" s="139" t="s">
        <v>905</v>
      </c>
      <c r="I109" s="428"/>
      <c r="J109" s="34" t="s">
        <v>826</v>
      </c>
      <c r="K109" s="40" t="s">
        <v>3</v>
      </c>
      <c r="L109" s="838" t="s">
        <v>330</v>
      </c>
      <c r="M109" s="210" t="s">
        <v>163</v>
      </c>
      <c r="N109" s="139" t="s">
        <v>999</v>
      </c>
      <c r="O109" s="539" t="s">
        <v>681</v>
      </c>
      <c r="P109" s="447" t="s">
        <v>680</v>
      </c>
      <c r="Q109" s="430" t="s">
        <v>24</v>
      </c>
      <c r="R109" s="838" t="s">
        <v>646</v>
      </c>
      <c r="S109" s="210" t="s">
        <v>104</v>
      </c>
      <c r="T109" s="211"/>
      <c r="U109" s="136">
        <v>98</v>
      </c>
      <c r="V109" s="139" t="s">
        <v>999</v>
      </c>
      <c r="W109" s="539" t="s">
        <v>681</v>
      </c>
      <c r="X109" s="447" t="s">
        <v>680</v>
      </c>
      <c r="Y109" s="430" t="s">
        <v>24</v>
      </c>
      <c r="Z109" s="838" t="s">
        <v>646</v>
      </c>
      <c r="AC109" s="136">
        <v>98</v>
      </c>
      <c r="AD109" s="499" t="s">
        <v>985</v>
      </c>
      <c r="AE109" s="432" t="s">
        <v>741</v>
      </c>
      <c r="AF109" s="426" t="s">
        <v>885</v>
      </c>
      <c r="AG109" s="433" t="s">
        <v>3</v>
      </c>
      <c r="AH109" s="838" t="s">
        <v>331</v>
      </c>
    </row>
    <row r="110" spans="1:34" ht="15.75">
      <c r="A110" s="1021" t="s">
        <v>1048</v>
      </c>
      <c r="B110" s="1021"/>
      <c r="C110" s="1021"/>
      <c r="D110" s="1021"/>
      <c r="E110" s="1021"/>
      <c r="F110" s="1021"/>
      <c r="G110">
        <v>3</v>
      </c>
      <c r="H110" s="846" t="s">
        <v>928</v>
      </c>
      <c r="I110" s="847" t="s">
        <v>730</v>
      </c>
      <c r="J110" s="848" t="s">
        <v>729</v>
      </c>
      <c r="K110" s="849" t="s">
        <v>3</v>
      </c>
      <c r="L110" s="430" t="s">
        <v>329</v>
      </c>
      <c r="M110" s="857" t="s">
        <v>163</v>
      </c>
      <c r="N110" s="139" t="s">
        <v>1003</v>
      </c>
      <c r="O110" s="539" t="s">
        <v>679</v>
      </c>
      <c r="P110" s="447" t="s">
        <v>678</v>
      </c>
      <c r="Q110" s="430" t="s">
        <v>24</v>
      </c>
      <c r="R110" s="838" t="s">
        <v>646</v>
      </c>
      <c r="S110" s="857" t="s">
        <v>163</v>
      </c>
      <c r="T110" s="56"/>
      <c r="U110" s="139">
        <v>99</v>
      </c>
      <c r="V110" s="139" t="s">
        <v>1003</v>
      </c>
      <c r="W110" s="539" t="s">
        <v>679</v>
      </c>
      <c r="X110" s="447" t="s">
        <v>678</v>
      </c>
      <c r="Y110" s="430" t="s">
        <v>24</v>
      </c>
      <c r="Z110" s="838" t="s">
        <v>646</v>
      </c>
      <c r="AC110" s="440">
        <v>99</v>
      </c>
      <c r="AD110" s="499" t="s">
        <v>986</v>
      </c>
      <c r="AE110" s="432" t="s">
        <v>874</v>
      </c>
      <c r="AF110" s="426" t="s">
        <v>873</v>
      </c>
      <c r="AG110" s="433" t="s">
        <v>3</v>
      </c>
      <c r="AH110" s="838" t="s">
        <v>331</v>
      </c>
    </row>
    <row r="111" spans="1:34" ht="16.5" thickBot="1">
      <c r="A111" s="1022" t="s">
        <v>1241</v>
      </c>
      <c r="B111" s="1022"/>
      <c r="C111" s="1022"/>
      <c r="D111" s="1022"/>
      <c r="E111" s="1022"/>
      <c r="F111" s="1022"/>
      <c r="G111">
        <v>4</v>
      </c>
      <c r="H111" s="139" t="s">
        <v>935</v>
      </c>
      <c r="I111" s="539" t="s">
        <v>758</v>
      </c>
      <c r="J111" s="447" t="s">
        <v>757</v>
      </c>
      <c r="K111" s="430" t="s">
        <v>3</v>
      </c>
      <c r="L111" s="430" t="s">
        <v>329</v>
      </c>
      <c r="M111" s="857" t="s">
        <v>163</v>
      </c>
      <c r="N111" s="139" t="s">
        <v>1004</v>
      </c>
      <c r="O111" s="541" t="s">
        <v>1120</v>
      </c>
      <c r="P111" s="210" t="s">
        <v>1119</v>
      </c>
      <c r="Q111" s="56" t="s">
        <v>24</v>
      </c>
      <c r="R111" s="838" t="s">
        <v>646</v>
      </c>
      <c r="S111" s="857" t="s">
        <v>208</v>
      </c>
      <c r="T111" s="56"/>
      <c r="U111" s="136">
        <v>100</v>
      </c>
      <c r="V111" s="139" t="s">
        <v>1004</v>
      </c>
      <c r="W111" s="541" t="s">
        <v>1120</v>
      </c>
      <c r="X111" s="210" t="s">
        <v>1119</v>
      </c>
      <c r="Y111" s="56" t="s">
        <v>24</v>
      </c>
      <c r="Z111" s="838" t="s">
        <v>646</v>
      </c>
      <c r="AC111" s="136">
        <v>100</v>
      </c>
      <c r="AD111" s="499" t="s">
        <v>987</v>
      </c>
      <c r="AE111" s="432" t="s">
        <v>702</v>
      </c>
      <c r="AF111" s="426" t="s">
        <v>701</v>
      </c>
      <c r="AG111" s="433" t="s">
        <v>24</v>
      </c>
      <c r="AH111" s="838" t="s">
        <v>331</v>
      </c>
    </row>
    <row r="112" spans="1:34" ht="15.75" thickBot="1">
      <c r="A112" s="100"/>
      <c r="B112" s="100"/>
      <c r="C112" s="101"/>
      <c r="D112" s="173"/>
      <c r="E112" s="103"/>
      <c r="F112" s="117"/>
      <c r="G112">
        <v>5</v>
      </c>
      <c r="H112" s="850" t="s">
        <v>950</v>
      </c>
      <c r="I112" s="539" t="s">
        <v>762</v>
      </c>
      <c r="J112" s="447" t="s">
        <v>761</v>
      </c>
      <c r="K112" s="430" t="s">
        <v>3</v>
      </c>
      <c r="L112" s="838" t="s">
        <v>333</v>
      </c>
      <c r="M112" s="857" t="s">
        <v>163</v>
      </c>
      <c r="N112" s="139" t="s">
        <v>1009</v>
      </c>
      <c r="O112" s="540" t="s">
        <v>1130</v>
      </c>
      <c r="P112" s="447" t="s">
        <v>1103</v>
      </c>
      <c r="Q112" s="430" t="s">
        <v>24</v>
      </c>
      <c r="R112" s="838" t="s">
        <v>646</v>
      </c>
      <c r="S112" s="210" t="s">
        <v>2</v>
      </c>
      <c r="T112" s="56"/>
      <c r="U112" s="139">
        <v>101</v>
      </c>
      <c r="V112" s="139" t="s">
        <v>1009</v>
      </c>
      <c r="W112" s="540" t="s">
        <v>1130</v>
      </c>
      <c r="X112" s="447" t="s">
        <v>1103</v>
      </c>
      <c r="Y112" s="430" t="s">
        <v>24</v>
      </c>
      <c r="Z112" s="838" t="s">
        <v>646</v>
      </c>
      <c r="AC112" s="440">
        <v>101</v>
      </c>
      <c r="AD112" s="499" t="s">
        <v>988</v>
      </c>
      <c r="AE112" s="432" t="s">
        <v>677</v>
      </c>
      <c r="AF112" s="426" t="s">
        <v>676</v>
      </c>
      <c r="AG112" s="433" t="s">
        <v>24</v>
      </c>
      <c r="AH112" s="838" t="s">
        <v>331</v>
      </c>
    </row>
    <row r="113" spans="1:34" ht="16.5" thickBot="1">
      <c r="A113" s="1023" t="s">
        <v>13</v>
      </c>
      <c r="B113" s="1024"/>
      <c r="C113" s="1025"/>
      <c r="D113" s="1028" t="s">
        <v>14</v>
      </c>
      <c r="E113" s="1026" t="s">
        <v>15</v>
      </c>
      <c r="F113" s="1028" t="s">
        <v>326</v>
      </c>
      <c r="G113">
        <v>6</v>
      </c>
      <c r="H113" s="850" t="s">
        <v>957</v>
      </c>
      <c r="I113" s="539" t="s">
        <v>854</v>
      </c>
      <c r="J113" s="447" t="s">
        <v>853</v>
      </c>
      <c r="K113" s="430" t="s">
        <v>3</v>
      </c>
      <c r="L113" s="838" t="s">
        <v>333</v>
      </c>
      <c r="M113" s="857" t="s">
        <v>163</v>
      </c>
      <c r="N113" s="139" t="s">
        <v>1010</v>
      </c>
      <c r="O113" s="540" t="s">
        <v>1151</v>
      </c>
      <c r="P113" s="447" t="s">
        <v>1104</v>
      </c>
      <c r="Q113" s="430" t="s">
        <v>24</v>
      </c>
      <c r="R113" s="838" t="s">
        <v>646</v>
      </c>
      <c r="S113" s="210" t="s">
        <v>62</v>
      </c>
      <c r="T113" s="56"/>
      <c r="U113" s="136">
        <v>102</v>
      </c>
      <c r="V113" s="139" t="s">
        <v>1010</v>
      </c>
      <c r="W113" s="540" t="s">
        <v>1151</v>
      </c>
      <c r="X113" s="447" t="s">
        <v>1104</v>
      </c>
      <c r="Y113" s="430" t="s">
        <v>24</v>
      </c>
      <c r="Z113" s="838" t="s">
        <v>646</v>
      </c>
      <c r="AA113" s="842"/>
      <c r="AB113" s="200"/>
      <c r="AC113" s="136">
        <v>102</v>
      </c>
      <c r="AD113" s="499" t="s">
        <v>989</v>
      </c>
      <c r="AE113" s="432"/>
      <c r="AF113" s="426" t="s">
        <v>829</v>
      </c>
      <c r="AG113" s="433" t="s">
        <v>24</v>
      </c>
      <c r="AH113" s="838" t="s">
        <v>331</v>
      </c>
    </row>
    <row r="114" spans="1:34" ht="16.5" thickBot="1">
      <c r="A114" s="104" t="s">
        <v>18</v>
      </c>
      <c r="B114" s="104" t="s">
        <v>19</v>
      </c>
      <c r="C114" s="104" t="s">
        <v>20</v>
      </c>
      <c r="D114" s="1029"/>
      <c r="E114" s="1027"/>
      <c r="F114" s="1029"/>
      <c r="G114">
        <v>7</v>
      </c>
      <c r="H114" s="139" t="s">
        <v>986</v>
      </c>
      <c r="I114" s="539" t="s">
        <v>874</v>
      </c>
      <c r="J114" s="447" t="s">
        <v>873</v>
      </c>
      <c r="K114" s="430" t="s">
        <v>3</v>
      </c>
      <c r="L114" s="838" t="s">
        <v>331</v>
      </c>
      <c r="M114" s="857" t="s">
        <v>163</v>
      </c>
      <c r="N114" s="139" t="s">
        <v>1013</v>
      </c>
      <c r="O114" s="447"/>
      <c r="P114" s="447" t="s">
        <v>1126</v>
      </c>
      <c r="Q114" s="430" t="s">
        <v>24</v>
      </c>
      <c r="R114" s="838" t="s">
        <v>646</v>
      </c>
      <c r="S114" s="210" t="s">
        <v>104</v>
      </c>
      <c r="T114" s="56"/>
      <c r="U114" s="139">
        <v>103</v>
      </c>
      <c r="V114" s="139" t="s">
        <v>1013</v>
      </c>
      <c r="W114" s="447"/>
      <c r="X114" s="447" t="s">
        <v>1126</v>
      </c>
      <c r="Y114" s="430" t="s">
        <v>24</v>
      </c>
      <c r="Z114" s="838" t="s">
        <v>646</v>
      </c>
      <c r="AC114" s="440">
        <v>103</v>
      </c>
      <c r="AD114" s="499" t="s">
        <v>990</v>
      </c>
      <c r="AE114" s="432" t="s">
        <v>747</v>
      </c>
      <c r="AF114" s="426" t="s">
        <v>746</v>
      </c>
      <c r="AG114" s="433" t="s">
        <v>3</v>
      </c>
      <c r="AH114" s="838" t="s">
        <v>331</v>
      </c>
    </row>
    <row r="115" spans="1:34" ht="15.75" thickBot="1">
      <c r="A115" s="357">
        <v>1</v>
      </c>
      <c r="B115" s="221" t="s">
        <v>918</v>
      </c>
      <c r="C115" s="937" t="s">
        <v>728</v>
      </c>
      <c r="D115" s="875" t="s">
        <v>727</v>
      </c>
      <c r="E115" s="938" t="s">
        <v>3</v>
      </c>
      <c r="F115" s="939" t="s">
        <v>329</v>
      </c>
      <c r="G115">
        <v>8</v>
      </c>
      <c r="H115" s="139" t="s">
        <v>1006</v>
      </c>
      <c r="I115" s="540" t="s">
        <v>1156</v>
      </c>
      <c r="J115" s="447" t="s">
        <v>1109</v>
      </c>
      <c r="K115" s="430" t="s">
        <v>3</v>
      </c>
      <c r="L115" s="838" t="s">
        <v>646</v>
      </c>
      <c r="M115" s="857" t="s">
        <v>163</v>
      </c>
      <c r="N115" s="139" t="s">
        <v>1014</v>
      </c>
      <c r="O115" s="539" t="s">
        <v>813</v>
      </c>
      <c r="P115" s="447" t="s">
        <v>812</v>
      </c>
      <c r="Q115" s="430" t="s">
        <v>24</v>
      </c>
      <c r="R115" s="838" t="s">
        <v>646</v>
      </c>
      <c r="S115" s="857" t="s">
        <v>163</v>
      </c>
      <c r="T115" s="56"/>
      <c r="U115" s="136">
        <v>104</v>
      </c>
      <c r="V115" s="139" t="s">
        <v>1014</v>
      </c>
      <c r="W115" s="539" t="s">
        <v>813</v>
      </c>
      <c r="X115" s="447" t="s">
        <v>812</v>
      </c>
      <c r="Y115" s="430" t="s">
        <v>24</v>
      </c>
      <c r="Z115" s="838" t="s">
        <v>646</v>
      </c>
      <c r="AC115" s="136">
        <v>104</v>
      </c>
      <c r="AD115" s="499" t="s">
        <v>991</v>
      </c>
      <c r="AE115" s="432" t="s">
        <v>698</v>
      </c>
      <c r="AF115" s="426" t="s">
        <v>697</v>
      </c>
      <c r="AG115" s="433" t="s">
        <v>3</v>
      </c>
      <c r="AH115" s="838" t="s">
        <v>331</v>
      </c>
    </row>
    <row r="116" spans="1:34">
      <c r="A116" s="358">
        <v>2</v>
      </c>
      <c r="B116" s="458" t="s">
        <v>886</v>
      </c>
      <c r="C116" s="432" t="s">
        <v>819</v>
      </c>
      <c r="D116" s="426" t="s">
        <v>818</v>
      </c>
      <c r="E116" s="433" t="s">
        <v>3</v>
      </c>
      <c r="F116" s="473" t="s">
        <v>330</v>
      </c>
      <c r="G116">
        <v>9</v>
      </c>
      <c r="H116" s="139" t="s">
        <v>1018</v>
      </c>
      <c r="I116" s="539" t="s">
        <v>1140</v>
      </c>
      <c r="J116" s="447" t="s">
        <v>1098</v>
      </c>
      <c r="K116" s="430" t="s">
        <v>3</v>
      </c>
      <c r="L116" s="838" t="s">
        <v>646</v>
      </c>
      <c r="M116" s="857" t="s">
        <v>163</v>
      </c>
      <c r="N116" s="139" t="s">
        <v>1016</v>
      </c>
      <c r="O116" s="539" t="s">
        <v>1139</v>
      </c>
      <c r="P116" s="447" t="s">
        <v>1097</v>
      </c>
      <c r="Q116" s="430" t="s">
        <v>24</v>
      </c>
      <c r="R116" s="838" t="s">
        <v>646</v>
      </c>
      <c r="S116" s="857" t="s">
        <v>208</v>
      </c>
      <c r="T116" s="56"/>
      <c r="U116" s="139">
        <v>105</v>
      </c>
      <c r="V116" s="139" t="s">
        <v>1016</v>
      </c>
      <c r="W116" s="539" t="s">
        <v>1139</v>
      </c>
      <c r="X116" s="447" t="s">
        <v>1097</v>
      </c>
      <c r="Y116" s="430" t="s">
        <v>24</v>
      </c>
      <c r="Z116" s="838" t="s">
        <v>646</v>
      </c>
      <c r="AC116" s="440">
        <v>105</v>
      </c>
      <c r="AD116" s="499" t="s">
        <v>992</v>
      </c>
      <c r="AE116" s="432" t="s">
        <v>694</v>
      </c>
      <c r="AF116" s="426" t="s">
        <v>693</v>
      </c>
      <c r="AG116" s="433" t="s">
        <v>3</v>
      </c>
      <c r="AH116" s="838" t="s">
        <v>331</v>
      </c>
    </row>
    <row r="117" spans="1:34" ht="15.75" thickBot="1">
      <c r="A117" s="358">
        <v>3</v>
      </c>
      <c r="B117" s="458" t="s">
        <v>999</v>
      </c>
      <c r="C117" s="432" t="s">
        <v>681</v>
      </c>
      <c r="D117" s="426" t="s">
        <v>680</v>
      </c>
      <c r="E117" s="433" t="s">
        <v>24</v>
      </c>
      <c r="F117" s="473" t="s">
        <v>646</v>
      </c>
      <c r="G117">
        <v>10</v>
      </c>
      <c r="H117" s="138" t="s">
        <v>1031</v>
      </c>
      <c r="I117" s="539" t="s">
        <v>1150</v>
      </c>
      <c r="J117" s="447" t="s">
        <v>1149</v>
      </c>
      <c r="K117" s="430" t="s">
        <v>3</v>
      </c>
      <c r="L117" s="838" t="s">
        <v>1243</v>
      </c>
      <c r="M117" s="857" t="s">
        <v>163</v>
      </c>
      <c r="N117" s="139" t="s">
        <v>1019</v>
      </c>
      <c r="O117" s="539" t="s">
        <v>683</v>
      </c>
      <c r="P117" s="447" t="s">
        <v>682</v>
      </c>
      <c r="Q117" s="430" t="s">
        <v>24</v>
      </c>
      <c r="R117" s="838" t="s">
        <v>646</v>
      </c>
      <c r="U117" s="136">
        <v>106</v>
      </c>
      <c r="V117" s="139" t="s">
        <v>1019</v>
      </c>
      <c r="W117" s="539" t="s">
        <v>683</v>
      </c>
      <c r="X117" s="447" t="s">
        <v>682</v>
      </c>
      <c r="Y117" s="430" t="s">
        <v>24</v>
      </c>
      <c r="Z117" s="838" t="s">
        <v>646</v>
      </c>
      <c r="AA117" s="843"/>
      <c r="AB117" s="65"/>
      <c r="AC117" s="136">
        <v>106</v>
      </c>
      <c r="AD117" s="499" t="s">
        <v>993</v>
      </c>
      <c r="AE117" s="513" t="s">
        <v>1058</v>
      </c>
      <c r="AF117" s="442" t="s">
        <v>1057</v>
      </c>
      <c r="AG117" s="443" t="s">
        <v>3</v>
      </c>
      <c r="AH117" s="838" t="s">
        <v>331</v>
      </c>
    </row>
    <row r="118" spans="1:34">
      <c r="A118" s="358">
        <v>4</v>
      </c>
      <c r="B118" s="458" t="s">
        <v>920</v>
      </c>
      <c r="C118" s="432" t="s">
        <v>840</v>
      </c>
      <c r="D118" s="426" t="s">
        <v>839</v>
      </c>
      <c r="E118" s="433" t="s">
        <v>24</v>
      </c>
      <c r="F118" s="473" t="s">
        <v>329</v>
      </c>
      <c r="G118">
        <v>11</v>
      </c>
      <c r="H118" s="138" t="s">
        <v>1041</v>
      </c>
      <c r="I118" s="539" t="s">
        <v>1147</v>
      </c>
      <c r="J118" s="447" t="s">
        <v>1101</v>
      </c>
      <c r="K118" s="430" t="s">
        <v>3</v>
      </c>
      <c r="L118" s="838" t="s">
        <v>1243</v>
      </c>
      <c r="M118" s="857" t="s">
        <v>163</v>
      </c>
      <c r="N118" s="138" t="s">
        <v>1021</v>
      </c>
      <c r="O118" s="447"/>
      <c r="P118" s="447" t="s">
        <v>1136</v>
      </c>
      <c r="Q118" s="430" t="s">
        <v>3</v>
      </c>
      <c r="R118" s="838" t="s">
        <v>1243</v>
      </c>
      <c r="S118" s="210" t="s">
        <v>2</v>
      </c>
      <c r="T118" s="56"/>
      <c r="U118" s="139">
        <v>107</v>
      </c>
      <c r="V118" s="138" t="s">
        <v>1021</v>
      </c>
      <c r="W118" s="447"/>
      <c r="X118" s="447" t="s">
        <v>1136</v>
      </c>
      <c r="Y118" s="430" t="s">
        <v>3</v>
      </c>
      <c r="Z118" s="838" t="s">
        <v>1243</v>
      </c>
      <c r="AC118" s="440">
        <v>107</v>
      </c>
      <c r="AD118" s="499" t="s">
        <v>994</v>
      </c>
      <c r="AE118" s="432"/>
      <c r="AF118" s="426" t="s">
        <v>828</v>
      </c>
      <c r="AG118" s="433" t="s">
        <v>24</v>
      </c>
      <c r="AH118" s="838" t="s">
        <v>331</v>
      </c>
    </row>
    <row r="119" spans="1:34" ht="15.75" thickBot="1">
      <c r="A119" s="358">
        <v>5</v>
      </c>
      <c r="B119" s="458" t="s">
        <v>1025</v>
      </c>
      <c r="C119" s="432" t="s">
        <v>811</v>
      </c>
      <c r="D119" s="426" t="s">
        <v>810</v>
      </c>
      <c r="E119" s="433" t="s">
        <v>24</v>
      </c>
      <c r="F119" s="473" t="s">
        <v>1243</v>
      </c>
      <c r="G119">
        <v>12</v>
      </c>
      <c r="H119" s="860" t="s">
        <v>933</v>
      </c>
      <c r="I119" s="861"/>
      <c r="J119" s="862" t="s">
        <v>827</v>
      </c>
      <c r="K119" s="863" t="s">
        <v>3</v>
      </c>
      <c r="L119" s="863" t="s">
        <v>329</v>
      </c>
      <c r="M119" s="864" t="s">
        <v>163</v>
      </c>
      <c r="N119" s="138" t="s">
        <v>1023</v>
      </c>
      <c r="O119" s="540" t="s">
        <v>1137</v>
      </c>
      <c r="P119" s="447" t="s">
        <v>1095</v>
      </c>
      <c r="Q119" s="430" t="s">
        <v>3</v>
      </c>
      <c r="R119" s="838" t="s">
        <v>1243</v>
      </c>
      <c r="S119" s="210" t="s">
        <v>62</v>
      </c>
      <c r="T119" s="56"/>
      <c r="U119" s="136">
        <v>108</v>
      </c>
      <c r="V119" s="138" t="s">
        <v>1023</v>
      </c>
      <c r="W119" s="540" t="s">
        <v>1137</v>
      </c>
      <c r="X119" s="447" t="s">
        <v>1095</v>
      </c>
      <c r="Y119" s="430" t="s">
        <v>3</v>
      </c>
      <c r="Z119" s="838" t="s">
        <v>1243</v>
      </c>
      <c r="AC119" s="136">
        <v>108</v>
      </c>
      <c r="AD119" s="499" t="s">
        <v>995</v>
      </c>
      <c r="AE119" s="432" t="s">
        <v>712</v>
      </c>
      <c r="AF119" s="426" t="s">
        <v>711</v>
      </c>
      <c r="AG119" s="433" t="s">
        <v>24</v>
      </c>
      <c r="AH119" s="838" t="s">
        <v>331</v>
      </c>
    </row>
    <row r="120" spans="1:34">
      <c r="A120" s="358">
        <v>6</v>
      </c>
      <c r="B120" s="488" t="s">
        <v>948</v>
      </c>
      <c r="C120" s="432" t="s">
        <v>673</v>
      </c>
      <c r="D120" s="426" t="s">
        <v>672</v>
      </c>
      <c r="E120" s="433" t="s">
        <v>24</v>
      </c>
      <c r="F120" s="473" t="s">
        <v>333</v>
      </c>
      <c r="G120">
        <v>13</v>
      </c>
      <c r="H120" s="858" t="s">
        <v>1036</v>
      </c>
      <c r="I120" s="859" t="s">
        <v>1122</v>
      </c>
      <c r="J120" s="255" t="s">
        <v>1086</v>
      </c>
      <c r="K120" s="417" t="s">
        <v>3</v>
      </c>
      <c r="L120" s="41" t="s">
        <v>1243</v>
      </c>
      <c r="M120" s="70" t="s">
        <v>163</v>
      </c>
      <c r="N120" s="851" t="s">
        <v>1028</v>
      </c>
      <c r="O120" s="447"/>
      <c r="P120" s="447" t="s">
        <v>1092</v>
      </c>
      <c r="Q120" s="430" t="s">
        <v>3</v>
      </c>
      <c r="R120" s="838" t="s">
        <v>1243</v>
      </c>
      <c r="S120" s="210" t="s">
        <v>104</v>
      </c>
      <c r="T120" s="56"/>
      <c r="U120" s="139">
        <v>109</v>
      </c>
      <c r="V120" s="851" t="s">
        <v>1028</v>
      </c>
      <c r="W120" s="447"/>
      <c r="X120" s="447" t="s">
        <v>1092</v>
      </c>
      <c r="Y120" s="430" t="s">
        <v>3</v>
      </c>
      <c r="Z120" s="838" t="s">
        <v>1243</v>
      </c>
      <c r="AC120" s="440">
        <v>109</v>
      </c>
      <c r="AD120" s="530" t="s">
        <v>996</v>
      </c>
      <c r="AE120" s="516" t="s">
        <v>815</v>
      </c>
      <c r="AF120" s="471" t="s">
        <v>814</v>
      </c>
      <c r="AG120" s="517" t="s">
        <v>24</v>
      </c>
      <c r="AH120" s="838" t="s">
        <v>646</v>
      </c>
    </row>
    <row r="121" spans="1:34" ht="15.75" thickBot="1">
      <c r="A121" s="358">
        <v>7</v>
      </c>
      <c r="B121" s="457" t="s">
        <v>1028</v>
      </c>
      <c r="C121" s="433"/>
      <c r="D121" s="426" t="s">
        <v>1092</v>
      </c>
      <c r="E121" s="433" t="s">
        <v>3</v>
      </c>
      <c r="F121" s="473" t="s">
        <v>1243</v>
      </c>
      <c r="G121">
        <v>14</v>
      </c>
      <c r="H121" s="398" t="s">
        <v>1012</v>
      </c>
      <c r="I121" s="832" t="s">
        <v>1158</v>
      </c>
      <c r="J121" s="51" t="s">
        <v>1112</v>
      </c>
      <c r="K121" s="41" t="s">
        <v>3</v>
      </c>
      <c r="L121" s="41" t="s">
        <v>646</v>
      </c>
      <c r="M121" s="70" t="s">
        <v>163</v>
      </c>
      <c r="N121" s="138" t="s">
        <v>1031</v>
      </c>
      <c r="O121" s="539" t="s">
        <v>1150</v>
      </c>
      <c r="P121" s="447" t="s">
        <v>1149</v>
      </c>
      <c r="Q121" s="430" t="s">
        <v>3</v>
      </c>
      <c r="R121" s="838" t="s">
        <v>1243</v>
      </c>
      <c r="S121" s="857" t="s">
        <v>163</v>
      </c>
      <c r="T121" s="211"/>
      <c r="U121" s="136">
        <v>110</v>
      </c>
      <c r="V121" s="138" t="s">
        <v>1031</v>
      </c>
      <c r="W121" s="539" t="s">
        <v>1150</v>
      </c>
      <c r="X121" s="447" t="s">
        <v>1149</v>
      </c>
      <c r="Y121" s="430" t="s">
        <v>3</v>
      </c>
      <c r="Z121" s="838" t="s">
        <v>1243</v>
      </c>
      <c r="AC121" s="136">
        <v>110</v>
      </c>
      <c r="AD121" s="499" t="s">
        <v>997</v>
      </c>
      <c r="AE121" s="432" t="s">
        <v>1153</v>
      </c>
      <c r="AF121" s="426" t="s">
        <v>1106</v>
      </c>
      <c r="AG121" s="433" t="s">
        <v>24</v>
      </c>
      <c r="AH121" s="838" t="s">
        <v>646</v>
      </c>
    </row>
    <row r="122" spans="1:34">
      <c r="A122" s="358">
        <v>8</v>
      </c>
      <c r="B122" s="488" t="s">
        <v>949</v>
      </c>
      <c r="C122" s="432" t="s">
        <v>764</v>
      </c>
      <c r="D122" s="426" t="s">
        <v>763</v>
      </c>
      <c r="E122" s="433" t="s">
        <v>3</v>
      </c>
      <c r="F122" s="473" t="s">
        <v>333</v>
      </c>
      <c r="G122">
        <v>15</v>
      </c>
      <c r="H122" s="398" t="s">
        <v>991</v>
      </c>
      <c r="I122" s="832" t="s">
        <v>698</v>
      </c>
      <c r="J122" s="51" t="s">
        <v>697</v>
      </c>
      <c r="K122" s="41" t="s">
        <v>3</v>
      </c>
      <c r="L122" s="41" t="s">
        <v>331</v>
      </c>
      <c r="M122" s="70" t="s">
        <v>163</v>
      </c>
      <c r="N122" s="138" t="s">
        <v>1037</v>
      </c>
      <c r="O122" s="539" t="s">
        <v>690</v>
      </c>
      <c r="P122" s="447" t="s">
        <v>689</v>
      </c>
      <c r="Q122" s="430" t="s">
        <v>3</v>
      </c>
      <c r="R122" s="838" t="s">
        <v>1243</v>
      </c>
      <c r="S122" s="857" t="s">
        <v>208</v>
      </c>
      <c r="T122" s="211"/>
      <c r="U122" s="139">
        <v>111</v>
      </c>
      <c r="V122" s="138" t="s">
        <v>1037</v>
      </c>
      <c r="W122" s="539" t="s">
        <v>690</v>
      </c>
      <c r="X122" s="447" t="s">
        <v>689</v>
      </c>
      <c r="Y122" s="430" t="s">
        <v>3</v>
      </c>
      <c r="Z122" s="838" t="s">
        <v>1243</v>
      </c>
      <c r="AC122" s="440">
        <v>111</v>
      </c>
      <c r="AD122" s="499" t="s">
        <v>998</v>
      </c>
      <c r="AE122" s="514" t="s">
        <v>1127</v>
      </c>
      <c r="AF122" s="426" t="s">
        <v>1088</v>
      </c>
      <c r="AG122" s="433" t="s">
        <v>3</v>
      </c>
      <c r="AH122" s="838" t="s">
        <v>646</v>
      </c>
    </row>
    <row r="123" spans="1:34" ht="15.75" thickBot="1">
      <c r="A123" s="358">
        <v>9</v>
      </c>
      <c r="B123" s="458" t="s">
        <v>891</v>
      </c>
      <c r="C123" s="432" t="s">
        <v>817</v>
      </c>
      <c r="D123" s="515" t="s">
        <v>816</v>
      </c>
      <c r="E123" s="433" t="s">
        <v>3</v>
      </c>
      <c r="F123" s="473" t="s">
        <v>330</v>
      </c>
      <c r="G123">
        <v>16</v>
      </c>
      <c r="H123" s="139" t="s">
        <v>893</v>
      </c>
      <c r="I123" s="428" t="s">
        <v>661</v>
      </c>
      <c r="J123" s="34" t="s">
        <v>659</v>
      </c>
      <c r="K123" s="40" t="s">
        <v>660</v>
      </c>
      <c r="L123" s="838" t="s">
        <v>330</v>
      </c>
      <c r="M123" s="210" t="s">
        <v>163</v>
      </c>
      <c r="N123" s="851" t="s">
        <v>1038</v>
      </c>
      <c r="O123" s="539" t="s">
        <v>1157</v>
      </c>
      <c r="P123" s="447" t="s">
        <v>1110</v>
      </c>
      <c r="Q123" s="430" t="s">
        <v>3</v>
      </c>
      <c r="R123" s="838" t="s">
        <v>1243</v>
      </c>
      <c r="S123" s="210" t="s">
        <v>2</v>
      </c>
      <c r="T123" s="211"/>
      <c r="U123" s="136">
        <v>112</v>
      </c>
      <c r="V123" s="851" t="s">
        <v>1038</v>
      </c>
      <c r="W123" s="539" t="s">
        <v>1157</v>
      </c>
      <c r="X123" s="447" t="s">
        <v>1110</v>
      </c>
      <c r="Y123" s="430" t="s">
        <v>3</v>
      </c>
      <c r="Z123" s="838" t="s">
        <v>1243</v>
      </c>
      <c r="AC123" s="136">
        <v>112</v>
      </c>
      <c r="AD123" s="499" t="s">
        <v>999</v>
      </c>
      <c r="AE123" s="432" t="s">
        <v>681</v>
      </c>
      <c r="AF123" s="426" t="s">
        <v>680</v>
      </c>
      <c r="AG123" s="433" t="s">
        <v>24</v>
      </c>
      <c r="AH123" s="838" t="s">
        <v>646</v>
      </c>
    </row>
    <row r="124" spans="1:34">
      <c r="A124" s="358">
        <v>10</v>
      </c>
      <c r="B124" s="458" t="s">
        <v>976</v>
      </c>
      <c r="C124" s="432" t="s">
        <v>1056</v>
      </c>
      <c r="D124" s="426" t="s">
        <v>1055</v>
      </c>
      <c r="E124" s="433" t="s">
        <v>24</v>
      </c>
      <c r="F124" s="473" t="s">
        <v>331</v>
      </c>
      <c r="G124">
        <v>1</v>
      </c>
      <c r="H124" s="139" t="s">
        <v>902</v>
      </c>
      <c r="I124" s="428" t="s">
        <v>868</v>
      </c>
      <c r="J124" s="34" t="s">
        <v>867</v>
      </c>
      <c r="K124" s="40" t="s">
        <v>24</v>
      </c>
      <c r="L124" s="838" t="s">
        <v>330</v>
      </c>
      <c r="M124" s="857" t="s">
        <v>163</v>
      </c>
      <c r="N124" s="138" t="s">
        <v>1039</v>
      </c>
      <c r="O124" s="540" t="s">
        <v>1123</v>
      </c>
      <c r="P124" s="542" t="s">
        <v>1087</v>
      </c>
      <c r="Q124" s="430" t="s">
        <v>3</v>
      </c>
      <c r="R124" s="838" t="s">
        <v>1243</v>
      </c>
      <c r="S124" s="210" t="s">
        <v>62</v>
      </c>
      <c r="T124" s="56"/>
      <c r="U124" s="139">
        <v>113</v>
      </c>
      <c r="V124" s="138" t="s">
        <v>1039</v>
      </c>
      <c r="W124" s="540" t="s">
        <v>1123</v>
      </c>
      <c r="X124" s="542" t="s">
        <v>1087</v>
      </c>
      <c r="Y124" s="430" t="s">
        <v>3</v>
      </c>
      <c r="Z124" s="838" t="s">
        <v>1243</v>
      </c>
      <c r="AC124" s="440">
        <v>113</v>
      </c>
      <c r="AD124" s="499" t="s">
        <v>1000</v>
      </c>
      <c r="AE124" s="432" t="s">
        <v>809</v>
      </c>
      <c r="AF124" s="426" t="s">
        <v>808</v>
      </c>
      <c r="AG124" s="433" t="s">
        <v>24</v>
      </c>
      <c r="AH124" s="838" t="s">
        <v>646</v>
      </c>
    </row>
    <row r="125" spans="1:34" ht="15.75" thickBot="1">
      <c r="A125" s="358">
        <v>11</v>
      </c>
      <c r="B125" s="458" t="s">
        <v>1005</v>
      </c>
      <c r="C125" s="432" t="s">
        <v>1148</v>
      </c>
      <c r="D125" s="426" t="s">
        <v>1102</v>
      </c>
      <c r="E125" s="433" t="s">
        <v>3</v>
      </c>
      <c r="F125" s="473" t="s">
        <v>646</v>
      </c>
      <c r="G125">
        <v>2</v>
      </c>
      <c r="H125" s="139" t="s">
        <v>910</v>
      </c>
      <c r="I125" s="428" t="s">
        <v>700</v>
      </c>
      <c r="J125" s="447" t="s">
        <v>699</v>
      </c>
      <c r="K125" s="40" t="s">
        <v>24</v>
      </c>
      <c r="L125" s="838" t="s">
        <v>330</v>
      </c>
      <c r="M125" s="857" t="s">
        <v>163</v>
      </c>
      <c r="N125" s="851" t="s">
        <v>1040</v>
      </c>
      <c r="O125" s="540" t="s">
        <v>1121</v>
      </c>
      <c r="P125" s="447" t="s">
        <v>1085</v>
      </c>
      <c r="Q125" s="430" t="s">
        <v>3</v>
      </c>
      <c r="R125" s="838" t="s">
        <v>1243</v>
      </c>
      <c r="S125" s="210" t="s">
        <v>104</v>
      </c>
      <c r="T125" s="56"/>
      <c r="U125" s="136">
        <v>114</v>
      </c>
      <c r="V125" s="851" t="s">
        <v>1040</v>
      </c>
      <c r="W125" s="540" t="s">
        <v>1121</v>
      </c>
      <c r="X125" s="447" t="s">
        <v>1085</v>
      </c>
      <c r="Y125" s="430" t="s">
        <v>3</v>
      </c>
      <c r="Z125" s="838" t="s">
        <v>1243</v>
      </c>
      <c r="AC125" s="136">
        <v>114</v>
      </c>
      <c r="AD125" s="499" t="s">
        <v>1001</v>
      </c>
      <c r="AE125" s="432" t="s">
        <v>864</v>
      </c>
      <c r="AF125" s="426" t="s">
        <v>863</v>
      </c>
      <c r="AG125" s="433" t="s">
        <v>24</v>
      </c>
      <c r="AH125" s="838" t="s">
        <v>646</v>
      </c>
    </row>
    <row r="126" spans="1:34">
      <c r="A126" s="358">
        <v>12</v>
      </c>
      <c r="B126" s="458" t="s">
        <v>924</v>
      </c>
      <c r="C126" s="432" t="s">
        <v>667</v>
      </c>
      <c r="D126" s="426" t="s">
        <v>666</v>
      </c>
      <c r="E126" s="433" t="s">
        <v>3</v>
      </c>
      <c r="F126" s="473" t="s">
        <v>329</v>
      </c>
      <c r="G126">
        <v>3</v>
      </c>
      <c r="H126" s="34" t="s">
        <v>1188</v>
      </c>
      <c r="I126" s="845" t="s">
        <v>1198</v>
      </c>
      <c r="J126" s="844" t="s">
        <v>1197</v>
      </c>
      <c r="K126" s="40" t="s">
        <v>24</v>
      </c>
      <c r="L126" s="838" t="s">
        <v>330</v>
      </c>
      <c r="M126" s="857" t="s">
        <v>163</v>
      </c>
      <c r="N126" s="138" t="s">
        <v>1041</v>
      </c>
      <c r="O126" s="539" t="s">
        <v>1147</v>
      </c>
      <c r="P126" s="447" t="s">
        <v>1101</v>
      </c>
      <c r="Q126" s="430" t="s">
        <v>3</v>
      </c>
      <c r="R126" s="838" t="s">
        <v>1243</v>
      </c>
      <c r="S126" s="857" t="s">
        <v>163</v>
      </c>
      <c r="T126" s="56"/>
      <c r="U126" s="139">
        <v>115</v>
      </c>
      <c r="V126" s="138" t="s">
        <v>1041</v>
      </c>
      <c r="W126" s="539" t="s">
        <v>1147</v>
      </c>
      <c r="X126" s="447" t="s">
        <v>1101</v>
      </c>
      <c r="Y126" s="430" t="s">
        <v>3</v>
      </c>
      <c r="Z126" s="838" t="s">
        <v>1243</v>
      </c>
      <c r="AC126" s="440">
        <v>115</v>
      </c>
      <c r="AD126" s="499" t="s">
        <v>1002</v>
      </c>
      <c r="AE126" s="514" t="s">
        <v>1133</v>
      </c>
      <c r="AF126" s="426" t="s">
        <v>1132</v>
      </c>
      <c r="AG126" s="433" t="s">
        <v>3</v>
      </c>
      <c r="AH126" s="838" t="s">
        <v>646</v>
      </c>
    </row>
    <row r="127" spans="1:34" ht="15.75" thickBot="1">
      <c r="A127" s="358">
        <v>13</v>
      </c>
      <c r="B127" s="433" t="s">
        <v>1184</v>
      </c>
      <c r="C127" s="493" t="s">
        <v>1200</v>
      </c>
      <c r="D127" s="426" t="s">
        <v>1627</v>
      </c>
      <c r="E127" s="433" t="s">
        <v>24</v>
      </c>
      <c r="F127" s="473" t="s">
        <v>330</v>
      </c>
      <c r="G127">
        <v>4</v>
      </c>
      <c r="H127" s="139" t="s">
        <v>934</v>
      </c>
      <c r="I127" s="539" t="s">
        <v>704</v>
      </c>
      <c r="J127" s="447" t="s">
        <v>703</v>
      </c>
      <c r="K127" s="430" t="s">
        <v>24</v>
      </c>
      <c r="L127" s="430" t="s">
        <v>329</v>
      </c>
      <c r="M127" s="857" t="s">
        <v>163</v>
      </c>
      <c r="N127" s="851" t="s">
        <v>1060</v>
      </c>
      <c r="O127" s="540" t="s">
        <v>1152</v>
      </c>
      <c r="P127" s="447" t="s">
        <v>1105</v>
      </c>
      <c r="Q127" s="430" t="s">
        <v>3</v>
      </c>
      <c r="R127" s="838" t="s">
        <v>1243</v>
      </c>
      <c r="S127" s="857" t="s">
        <v>208</v>
      </c>
      <c r="T127" s="56"/>
      <c r="U127" s="136">
        <v>116</v>
      </c>
      <c r="V127" s="851" t="s">
        <v>1060</v>
      </c>
      <c r="W127" s="540" t="s">
        <v>1152</v>
      </c>
      <c r="X127" s="447" t="s">
        <v>1105</v>
      </c>
      <c r="Y127" s="430" t="s">
        <v>3</v>
      </c>
      <c r="Z127" s="838" t="s">
        <v>1243</v>
      </c>
      <c r="AC127" s="136">
        <v>116</v>
      </c>
      <c r="AD127" s="499" t="s">
        <v>1003</v>
      </c>
      <c r="AE127" s="432" t="s">
        <v>679</v>
      </c>
      <c r="AF127" s="426" t="s">
        <v>678</v>
      </c>
      <c r="AG127" s="433" t="s">
        <v>24</v>
      </c>
      <c r="AH127" s="838" t="s">
        <v>646</v>
      </c>
    </row>
    <row r="128" spans="1:34">
      <c r="A128" s="358">
        <v>14</v>
      </c>
      <c r="B128" s="458" t="s">
        <v>895</v>
      </c>
      <c r="C128" s="432" t="s">
        <v>870</v>
      </c>
      <c r="D128" s="426" t="s">
        <v>869</v>
      </c>
      <c r="E128" s="433" t="s">
        <v>24</v>
      </c>
      <c r="F128" s="473" t="s">
        <v>330</v>
      </c>
      <c r="G128">
        <v>5</v>
      </c>
      <c r="H128" s="850" t="s">
        <v>953</v>
      </c>
      <c r="I128" s="539" t="s">
        <v>736</v>
      </c>
      <c r="J128" s="447" t="s">
        <v>735</v>
      </c>
      <c r="K128" s="430" t="s">
        <v>24</v>
      </c>
      <c r="L128" s="838" t="s">
        <v>333</v>
      </c>
      <c r="M128" s="857" t="s">
        <v>163</v>
      </c>
      <c r="N128" s="138" t="s">
        <v>1061</v>
      </c>
      <c r="O128" s="539" t="s">
        <v>1138</v>
      </c>
      <c r="P128" s="447" t="s">
        <v>1096</v>
      </c>
      <c r="Q128" s="430" t="s">
        <v>3</v>
      </c>
      <c r="R128" s="838" t="s">
        <v>1243</v>
      </c>
      <c r="S128" s="819"/>
      <c r="T128" s="56"/>
      <c r="U128" s="139">
        <v>117</v>
      </c>
      <c r="V128" s="138" t="s">
        <v>1061</v>
      </c>
      <c r="W128" s="539" t="s">
        <v>1138</v>
      </c>
      <c r="X128" s="447" t="s">
        <v>1096</v>
      </c>
      <c r="Y128" s="430" t="s">
        <v>3</v>
      </c>
      <c r="Z128" s="838" t="s">
        <v>1243</v>
      </c>
      <c r="AC128" s="440">
        <v>117</v>
      </c>
      <c r="AD128" s="499" t="s">
        <v>1004</v>
      </c>
      <c r="AE128" s="536" t="s">
        <v>1120</v>
      </c>
      <c r="AF128" s="485" t="s">
        <v>1119</v>
      </c>
      <c r="AG128" s="482" t="s">
        <v>24</v>
      </c>
      <c r="AH128" s="838" t="s">
        <v>646</v>
      </c>
    </row>
    <row r="129" spans="1:34" ht="15.75" thickBot="1">
      <c r="A129" s="358">
        <v>15</v>
      </c>
      <c r="B129" s="458" t="s">
        <v>925</v>
      </c>
      <c r="C129" s="432"/>
      <c r="D129" s="426" t="s">
        <v>825</v>
      </c>
      <c r="E129" s="433" t="s">
        <v>3</v>
      </c>
      <c r="F129" s="473" t="s">
        <v>329</v>
      </c>
      <c r="G129">
        <v>6</v>
      </c>
      <c r="H129" s="850" t="s">
        <v>967</v>
      </c>
      <c r="I129" s="539" t="s">
        <v>710</v>
      </c>
      <c r="J129" s="447" t="s">
        <v>709</v>
      </c>
      <c r="K129" s="430" t="s">
        <v>24</v>
      </c>
      <c r="L129" s="838" t="s">
        <v>333</v>
      </c>
      <c r="M129" s="857" t="s">
        <v>163</v>
      </c>
      <c r="N129" s="138" t="s">
        <v>1063</v>
      </c>
      <c r="O129" s="540" t="s">
        <v>1125</v>
      </c>
      <c r="P129" s="447" t="s">
        <v>1124</v>
      </c>
      <c r="Q129" s="430" t="s">
        <v>3</v>
      </c>
      <c r="R129" s="838" t="s">
        <v>1243</v>
      </c>
      <c r="S129" s="210"/>
      <c r="T129" s="56"/>
      <c r="U129" s="136">
        <v>118</v>
      </c>
      <c r="V129" s="138" t="s">
        <v>1063</v>
      </c>
      <c r="W129" s="540" t="s">
        <v>1125</v>
      </c>
      <c r="X129" s="447" t="s">
        <v>1124</v>
      </c>
      <c r="Y129" s="430" t="s">
        <v>3</v>
      </c>
      <c r="Z129" s="838" t="s">
        <v>1243</v>
      </c>
      <c r="AC129" s="136">
        <v>118</v>
      </c>
      <c r="AD129" s="499" t="s">
        <v>1005</v>
      </c>
      <c r="AE129" s="432" t="s">
        <v>1148</v>
      </c>
      <c r="AF129" s="426" t="s">
        <v>1102</v>
      </c>
      <c r="AG129" s="433" t="s">
        <v>3</v>
      </c>
      <c r="AH129" s="838" t="s">
        <v>646</v>
      </c>
    </row>
    <row r="130" spans="1:34">
      <c r="A130" s="358">
        <v>16</v>
      </c>
      <c r="B130" s="458" t="s">
        <v>897</v>
      </c>
      <c r="C130" s="432" t="s">
        <v>688</v>
      </c>
      <c r="D130" s="426" t="s">
        <v>687</v>
      </c>
      <c r="E130" s="433" t="s">
        <v>24</v>
      </c>
      <c r="F130" s="473" t="s">
        <v>330</v>
      </c>
      <c r="G130">
        <v>7</v>
      </c>
      <c r="H130" s="139" t="s">
        <v>977</v>
      </c>
      <c r="I130" s="539"/>
      <c r="J130" s="447" t="s">
        <v>830</v>
      </c>
      <c r="K130" s="430" t="s">
        <v>24</v>
      </c>
      <c r="L130" s="838" t="s">
        <v>331</v>
      </c>
      <c r="M130" s="857" t="s">
        <v>163</v>
      </c>
      <c r="N130" s="138" t="s">
        <v>1165</v>
      </c>
      <c r="O130" s="852" t="s">
        <v>1166</v>
      </c>
      <c r="P130" s="853" t="s">
        <v>1167</v>
      </c>
      <c r="Q130" s="854" t="s">
        <v>3</v>
      </c>
      <c r="R130" s="838" t="s">
        <v>1243</v>
      </c>
      <c r="S130" s="815"/>
      <c r="T130" s="56"/>
      <c r="U130" s="139">
        <v>119</v>
      </c>
      <c r="V130" s="138" t="s">
        <v>1165</v>
      </c>
      <c r="W130" s="852" t="s">
        <v>1166</v>
      </c>
      <c r="X130" s="853" t="s">
        <v>1167</v>
      </c>
      <c r="Y130" s="854" t="s">
        <v>3</v>
      </c>
      <c r="Z130" s="838" t="s">
        <v>1243</v>
      </c>
      <c r="AC130" s="440">
        <v>119</v>
      </c>
      <c r="AD130" s="499" t="s">
        <v>1006</v>
      </c>
      <c r="AE130" s="514" t="s">
        <v>1156</v>
      </c>
      <c r="AF130" s="426" t="s">
        <v>1109</v>
      </c>
      <c r="AG130" s="433" t="s">
        <v>3</v>
      </c>
      <c r="AH130" s="838" t="s">
        <v>646</v>
      </c>
    </row>
    <row r="131" spans="1:34" ht="15.75" thickBot="1">
      <c r="A131" s="358">
        <v>17</v>
      </c>
      <c r="B131" s="458" t="s">
        <v>900</v>
      </c>
      <c r="C131" s="432"/>
      <c r="D131" s="426" t="s">
        <v>684</v>
      </c>
      <c r="E131" s="433" t="s">
        <v>24</v>
      </c>
      <c r="F131" s="473" t="s">
        <v>330</v>
      </c>
      <c r="G131">
        <v>8</v>
      </c>
      <c r="H131" s="139" t="s">
        <v>989</v>
      </c>
      <c r="I131" s="539"/>
      <c r="J131" s="447" t="s">
        <v>829</v>
      </c>
      <c r="K131" s="430" t="s">
        <v>24</v>
      </c>
      <c r="L131" s="838" t="s">
        <v>331</v>
      </c>
      <c r="M131" s="857" t="s">
        <v>163</v>
      </c>
      <c r="N131" s="851" t="s">
        <v>1022</v>
      </c>
      <c r="O131" s="539"/>
      <c r="P131" s="447" t="s">
        <v>1111</v>
      </c>
      <c r="Q131" s="430" t="s">
        <v>24</v>
      </c>
      <c r="R131" s="838" t="s">
        <v>1243</v>
      </c>
      <c r="S131" s="210" t="s">
        <v>2</v>
      </c>
      <c r="T131" s="56"/>
      <c r="U131" s="136">
        <v>120</v>
      </c>
      <c r="V131" s="851" t="s">
        <v>1022</v>
      </c>
      <c r="W131" s="539"/>
      <c r="X131" s="447" t="s">
        <v>1111</v>
      </c>
      <c r="Y131" s="430" t="s">
        <v>24</v>
      </c>
      <c r="Z131" s="838" t="s">
        <v>1243</v>
      </c>
      <c r="AC131" s="136">
        <v>120</v>
      </c>
      <c r="AD131" s="499" t="s">
        <v>1007</v>
      </c>
      <c r="AE131" s="514" t="s">
        <v>1135</v>
      </c>
      <c r="AF131" s="426" t="s">
        <v>1094</v>
      </c>
      <c r="AG131" s="433" t="s">
        <v>3</v>
      </c>
      <c r="AH131" s="838" t="s">
        <v>646</v>
      </c>
    </row>
    <row r="132" spans="1:34">
      <c r="A132" s="358">
        <v>18</v>
      </c>
      <c r="B132" s="458" t="s">
        <v>1033</v>
      </c>
      <c r="C132" s="432" t="s">
        <v>1142</v>
      </c>
      <c r="D132" s="426" t="s">
        <v>1100</v>
      </c>
      <c r="E132" s="433" t="s">
        <v>24</v>
      </c>
      <c r="F132" s="473" t="s">
        <v>1243</v>
      </c>
      <c r="G132">
        <v>9</v>
      </c>
      <c r="H132" s="139" t="s">
        <v>1003</v>
      </c>
      <c r="I132" s="539" t="s">
        <v>679</v>
      </c>
      <c r="J132" s="447" t="s">
        <v>678</v>
      </c>
      <c r="K132" s="430" t="s">
        <v>24</v>
      </c>
      <c r="L132" s="838" t="s">
        <v>646</v>
      </c>
      <c r="M132" s="857" t="s">
        <v>163</v>
      </c>
      <c r="N132" s="851" t="s">
        <v>1024</v>
      </c>
      <c r="O132" s="540" t="s">
        <v>1144</v>
      </c>
      <c r="P132" s="447" t="s">
        <v>1143</v>
      </c>
      <c r="Q132" s="430" t="s">
        <v>24</v>
      </c>
      <c r="R132" s="838" t="s">
        <v>1243</v>
      </c>
      <c r="S132" s="210" t="s">
        <v>62</v>
      </c>
      <c r="T132" s="56"/>
      <c r="U132" s="139">
        <v>121</v>
      </c>
      <c r="V132" s="851" t="s">
        <v>1024</v>
      </c>
      <c r="W132" s="540" t="s">
        <v>1144</v>
      </c>
      <c r="X132" s="447" t="s">
        <v>1143</v>
      </c>
      <c r="Y132" s="430" t="s">
        <v>24</v>
      </c>
      <c r="Z132" s="838" t="s">
        <v>1243</v>
      </c>
      <c r="AC132" s="440">
        <v>121</v>
      </c>
      <c r="AD132" s="499" t="s">
        <v>1008</v>
      </c>
      <c r="AE132" s="514" t="s">
        <v>1128</v>
      </c>
      <c r="AF132" s="426" t="s">
        <v>1089</v>
      </c>
      <c r="AG132" s="433" t="s">
        <v>3</v>
      </c>
      <c r="AH132" s="838" t="s">
        <v>646</v>
      </c>
    </row>
    <row r="133" spans="1:34" ht="15.75" thickBot="1">
      <c r="A133" s="358">
        <v>19</v>
      </c>
      <c r="B133" s="458" t="s">
        <v>927</v>
      </c>
      <c r="C133" s="432" t="s">
        <v>786</v>
      </c>
      <c r="D133" s="426" t="s">
        <v>785</v>
      </c>
      <c r="E133" s="433" t="s">
        <v>24</v>
      </c>
      <c r="F133" s="473" t="s">
        <v>329</v>
      </c>
      <c r="G133">
        <v>10</v>
      </c>
      <c r="H133" s="139" t="s">
        <v>1014</v>
      </c>
      <c r="I133" s="539" t="s">
        <v>813</v>
      </c>
      <c r="J133" s="447" t="s">
        <v>812</v>
      </c>
      <c r="K133" s="430" t="s">
        <v>24</v>
      </c>
      <c r="L133" s="838" t="s">
        <v>646</v>
      </c>
      <c r="M133" s="857" t="s">
        <v>163</v>
      </c>
      <c r="N133" s="138" t="s">
        <v>1025</v>
      </c>
      <c r="O133" s="539" t="s">
        <v>811</v>
      </c>
      <c r="P133" s="447" t="s">
        <v>810</v>
      </c>
      <c r="Q133" s="430" t="s">
        <v>24</v>
      </c>
      <c r="R133" s="838" t="s">
        <v>1243</v>
      </c>
      <c r="S133" s="210" t="s">
        <v>104</v>
      </c>
      <c r="T133" s="56"/>
      <c r="U133" s="136">
        <v>122</v>
      </c>
      <c r="V133" s="138" t="s">
        <v>1025</v>
      </c>
      <c r="W133" s="539" t="s">
        <v>811</v>
      </c>
      <c r="X133" s="447" t="s">
        <v>810</v>
      </c>
      <c r="Y133" s="430" t="s">
        <v>24</v>
      </c>
      <c r="Z133" s="838" t="s">
        <v>1243</v>
      </c>
      <c r="AC133" s="136">
        <v>122</v>
      </c>
      <c r="AD133" s="499" t="s">
        <v>1009</v>
      </c>
      <c r="AE133" s="514" t="s">
        <v>1130</v>
      </c>
      <c r="AF133" s="426" t="s">
        <v>1103</v>
      </c>
      <c r="AG133" s="433" t="s">
        <v>24</v>
      </c>
      <c r="AH133" s="838" t="s">
        <v>646</v>
      </c>
    </row>
    <row r="134" spans="1:34">
      <c r="A134" s="358">
        <v>20</v>
      </c>
      <c r="B134" s="458" t="s">
        <v>984</v>
      </c>
      <c r="C134" s="433"/>
      <c r="D134" s="426" t="s">
        <v>1115</v>
      </c>
      <c r="E134" s="433" t="s">
        <v>3</v>
      </c>
      <c r="F134" s="473" t="s">
        <v>331</v>
      </c>
      <c r="G134">
        <v>11</v>
      </c>
      <c r="H134" s="851" t="s">
        <v>1026</v>
      </c>
      <c r="I134" s="540" t="s">
        <v>1134</v>
      </c>
      <c r="J134" s="447" t="s">
        <v>1093</v>
      </c>
      <c r="K134" s="430" t="s">
        <v>24</v>
      </c>
      <c r="L134" s="838" t="s">
        <v>1243</v>
      </c>
      <c r="M134" s="857" t="s">
        <v>163</v>
      </c>
      <c r="N134" s="851" t="s">
        <v>1026</v>
      </c>
      <c r="O134" s="540" t="s">
        <v>1134</v>
      </c>
      <c r="P134" s="447" t="s">
        <v>1093</v>
      </c>
      <c r="Q134" s="430" t="s">
        <v>24</v>
      </c>
      <c r="R134" s="838" t="s">
        <v>1243</v>
      </c>
      <c r="S134" s="857" t="s">
        <v>163</v>
      </c>
      <c r="T134" s="56"/>
      <c r="U134" s="139">
        <v>123</v>
      </c>
      <c r="V134" s="851" t="s">
        <v>1026</v>
      </c>
      <c r="W134" s="540" t="s">
        <v>1134</v>
      </c>
      <c r="X134" s="447" t="s">
        <v>1093</v>
      </c>
      <c r="Y134" s="430" t="s">
        <v>24</v>
      </c>
      <c r="Z134" s="838" t="s">
        <v>1243</v>
      </c>
      <c r="AC134" s="440">
        <v>123</v>
      </c>
      <c r="AD134" s="499" t="s">
        <v>1010</v>
      </c>
      <c r="AE134" s="514" t="s">
        <v>1151</v>
      </c>
      <c r="AF134" s="426" t="s">
        <v>1104</v>
      </c>
      <c r="AG134" s="433" t="s">
        <v>24</v>
      </c>
      <c r="AH134" s="838" t="s">
        <v>646</v>
      </c>
    </row>
    <row r="135" spans="1:34" ht="15.75" thickBot="1">
      <c r="A135" s="358">
        <v>21</v>
      </c>
      <c r="B135" s="488" t="s">
        <v>956</v>
      </c>
      <c r="C135" s="432" t="s">
        <v>760</v>
      </c>
      <c r="D135" s="426" t="s">
        <v>759</v>
      </c>
      <c r="E135" s="433" t="s">
        <v>3</v>
      </c>
      <c r="F135" s="473" t="s">
        <v>333</v>
      </c>
      <c r="G135">
        <v>12</v>
      </c>
      <c r="H135" s="867" t="s">
        <v>1062</v>
      </c>
      <c r="I135" s="861" t="s">
        <v>1154</v>
      </c>
      <c r="J135" s="862" t="s">
        <v>1107</v>
      </c>
      <c r="K135" s="863" t="s">
        <v>24</v>
      </c>
      <c r="L135" s="863" t="s">
        <v>1243</v>
      </c>
      <c r="M135" s="864" t="s">
        <v>163</v>
      </c>
      <c r="N135" s="138" t="s">
        <v>1027</v>
      </c>
      <c r="O135" s="540" t="s">
        <v>1155</v>
      </c>
      <c r="P135" s="447" t="s">
        <v>1108</v>
      </c>
      <c r="Q135" s="430" t="s">
        <v>24</v>
      </c>
      <c r="R135" s="838" t="s">
        <v>1243</v>
      </c>
      <c r="S135" s="857" t="s">
        <v>208</v>
      </c>
      <c r="T135" s="56"/>
      <c r="U135" s="136">
        <v>124</v>
      </c>
      <c r="V135" s="138" t="s">
        <v>1027</v>
      </c>
      <c r="W135" s="540" t="s">
        <v>1155</v>
      </c>
      <c r="X135" s="447" t="s">
        <v>1108</v>
      </c>
      <c r="Y135" s="430" t="s">
        <v>24</v>
      </c>
      <c r="Z135" s="838" t="s">
        <v>1243</v>
      </c>
      <c r="AC135" s="136">
        <v>124</v>
      </c>
      <c r="AD135" s="499" t="s">
        <v>1011</v>
      </c>
      <c r="AE135" s="432" t="s">
        <v>1159</v>
      </c>
      <c r="AF135" s="426" t="s">
        <v>1113</v>
      </c>
      <c r="AG135" s="433" t="s">
        <v>3</v>
      </c>
      <c r="AH135" s="838" t="s">
        <v>646</v>
      </c>
    </row>
    <row r="136" spans="1:34">
      <c r="A136" s="358">
        <v>22</v>
      </c>
      <c r="B136" s="458" t="s">
        <v>904</v>
      </c>
      <c r="C136" s="432" t="s">
        <v>724</v>
      </c>
      <c r="D136" s="426" t="s">
        <v>853</v>
      </c>
      <c r="E136" s="433" t="s">
        <v>3</v>
      </c>
      <c r="F136" s="473" t="s">
        <v>330</v>
      </c>
      <c r="G136">
        <v>13</v>
      </c>
      <c r="H136" s="865" t="s">
        <v>963</v>
      </c>
      <c r="I136" s="861"/>
      <c r="J136" s="862" t="s">
        <v>832</v>
      </c>
      <c r="K136" s="863" t="s">
        <v>24</v>
      </c>
      <c r="L136" s="863" t="s">
        <v>333</v>
      </c>
      <c r="M136" s="864" t="s">
        <v>163</v>
      </c>
      <c r="N136" s="138" t="s">
        <v>1029</v>
      </c>
      <c r="O136" s="539"/>
      <c r="P136" s="447" t="s">
        <v>715</v>
      </c>
      <c r="Q136" s="430" t="s">
        <v>24</v>
      </c>
      <c r="R136" s="838" t="s">
        <v>1243</v>
      </c>
      <c r="S136" s="210"/>
      <c r="T136" s="138"/>
      <c r="U136" s="139">
        <v>125</v>
      </c>
      <c r="V136" s="138" t="s">
        <v>1029</v>
      </c>
      <c r="W136" s="539"/>
      <c r="X136" s="447" t="s">
        <v>715</v>
      </c>
      <c r="Y136" s="430" t="s">
        <v>24</v>
      </c>
      <c r="Z136" s="838" t="s">
        <v>1243</v>
      </c>
      <c r="AC136" s="440">
        <v>125</v>
      </c>
      <c r="AD136" s="499" t="s">
        <v>1012</v>
      </c>
      <c r="AE136" s="432" t="s">
        <v>1158</v>
      </c>
      <c r="AF136" s="426" t="s">
        <v>1112</v>
      </c>
      <c r="AG136" s="433" t="s">
        <v>3</v>
      </c>
      <c r="AH136" s="838" t="s">
        <v>646</v>
      </c>
    </row>
    <row r="137" spans="1:34" ht="15.75" thickBot="1">
      <c r="A137" s="358">
        <v>23</v>
      </c>
      <c r="B137" s="458" t="s">
        <v>932</v>
      </c>
      <c r="C137" s="432" t="s">
        <v>756</v>
      </c>
      <c r="D137" s="426" t="s">
        <v>755</v>
      </c>
      <c r="E137" s="433" t="s">
        <v>3</v>
      </c>
      <c r="F137" s="473" t="s">
        <v>329</v>
      </c>
      <c r="G137">
        <v>14</v>
      </c>
      <c r="H137" s="860" t="s">
        <v>941</v>
      </c>
      <c r="I137" s="861" t="s">
        <v>842</v>
      </c>
      <c r="J137" s="862" t="s">
        <v>841</v>
      </c>
      <c r="K137" s="863" t="s">
        <v>24</v>
      </c>
      <c r="L137" s="863" t="s">
        <v>329</v>
      </c>
      <c r="M137" s="864" t="s">
        <v>163</v>
      </c>
      <c r="N137" s="851" t="s">
        <v>1030</v>
      </c>
      <c r="O137" s="539"/>
      <c r="P137" s="447" t="s">
        <v>716</v>
      </c>
      <c r="Q137" s="430" t="s">
        <v>24</v>
      </c>
      <c r="R137" s="838" t="s">
        <v>1243</v>
      </c>
      <c r="S137" s="210"/>
      <c r="T137" s="211"/>
      <c r="U137" s="136">
        <v>126</v>
      </c>
      <c r="V137" s="851" t="s">
        <v>1030</v>
      </c>
      <c r="W137" s="539"/>
      <c r="X137" s="447" t="s">
        <v>716</v>
      </c>
      <c r="Y137" s="430" t="s">
        <v>24</v>
      </c>
      <c r="Z137" s="838" t="s">
        <v>1243</v>
      </c>
      <c r="AC137" s="136">
        <v>126</v>
      </c>
      <c r="AD137" s="499" t="s">
        <v>1013</v>
      </c>
      <c r="AE137" s="426"/>
      <c r="AF137" s="426" t="s">
        <v>1126</v>
      </c>
      <c r="AG137" s="433" t="s">
        <v>24</v>
      </c>
      <c r="AH137" s="838" t="s">
        <v>646</v>
      </c>
    </row>
    <row r="138" spans="1:34">
      <c r="A138" s="358">
        <v>24</v>
      </c>
      <c r="B138" s="458" t="s">
        <v>1013</v>
      </c>
      <c r="C138" s="433"/>
      <c r="D138" s="426" t="s">
        <v>1126</v>
      </c>
      <c r="E138" s="433" t="s">
        <v>24</v>
      </c>
      <c r="F138" s="473" t="s">
        <v>646</v>
      </c>
      <c r="G138">
        <v>15</v>
      </c>
      <c r="H138" s="398" t="s">
        <v>942</v>
      </c>
      <c r="I138" s="832" t="s">
        <v>750</v>
      </c>
      <c r="J138" s="51" t="s">
        <v>749</v>
      </c>
      <c r="K138" s="41" t="s">
        <v>24</v>
      </c>
      <c r="L138" s="41" t="s">
        <v>329</v>
      </c>
      <c r="M138" s="997" t="s">
        <v>163</v>
      </c>
      <c r="N138" s="138" t="s">
        <v>1033</v>
      </c>
      <c r="O138" s="539" t="s">
        <v>1142</v>
      </c>
      <c r="P138" s="447" t="s">
        <v>1100</v>
      </c>
      <c r="Q138" s="430" t="s">
        <v>24</v>
      </c>
      <c r="R138" s="838" t="s">
        <v>1243</v>
      </c>
      <c r="S138" s="210"/>
      <c r="T138" s="211"/>
      <c r="U138" s="139">
        <v>127</v>
      </c>
      <c r="V138" s="138" t="s">
        <v>1033</v>
      </c>
      <c r="W138" s="539" t="s">
        <v>1142</v>
      </c>
      <c r="X138" s="447" t="s">
        <v>1100</v>
      </c>
      <c r="Y138" s="430" t="s">
        <v>24</v>
      </c>
      <c r="Z138" s="838" t="s">
        <v>1243</v>
      </c>
      <c r="AC138" s="440">
        <v>127</v>
      </c>
      <c r="AD138" s="499" t="s">
        <v>1014</v>
      </c>
      <c r="AE138" s="432" t="s">
        <v>813</v>
      </c>
      <c r="AF138" s="426" t="s">
        <v>812</v>
      </c>
      <c r="AG138" s="433" t="s">
        <v>24</v>
      </c>
      <c r="AH138" s="838" t="s">
        <v>646</v>
      </c>
    </row>
    <row r="139" spans="1:34" ht="15.75" thickBot="1">
      <c r="A139" s="358">
        <v>25</v>
      </c>
      <c r="B139" s="458" t="s">
        <v>1015</v>
      </c>
      <c r="C139" s="432" t="s">
        <v>1129</v>
      </c>
      <c r="D139" s="426" t="s">
        <v>1090</v>
      </c>
      <c r="E139" s="433" t="s">
        <v>24</v>
      </c>
      <c r="F139" s="473" t="s">
        <v>646</v>
      </c>
      <c r="G139">
        <v>16</v>
      </c>
      <c r="H139" s="139" t="s">
        <v>1019</v>
      </c>
      <c r="I139" s="539" t="s">
        <v>683</v>
      </c>
      <c r="J139" s="447" t="s">
        <v>682</v>
      </c>
      <c r="K139" s="430" t="s">
        <v>24</v>
      </c>
      <c r="L139" s="838" t="s">
        <v>646</v>
      </c>
      <c r="M139" s="210" t="s">
        <v>163</v>
      </c>
      <c r="N139" s="851" t="s">
        <v>1064</v>
      </c>
      <c r="O139" s="539" t="s">
        <v>807</v>
      </c>
      <c r="P139" s="447" t="s">
        <v>806</v>
      </c>
      <c r="Q139" s="430" t="s">
        <v>24</v>
      </c>
      <c r="R139" s="838" t="s">
        <v>1243</v>
      </c>
      <c r="S139" s="857"/>
      <c r="T139" s="211"/>
      <c r="U139" s="136">
        <v>128</v>
      </c>
      <c r="V139" s="851" t="s">
        <v>1064</v>
      </c>
      <c r="W139" s="539" t="s">
        <v>807</v>
      </c>
      <c r="X139" s="447" t="s">
        <v>806</v>
      </c>
      <c r="Y139" s="430" t="s">
        <v>24</v>
      </c>
      <c r="Z139" s="838" t="s">
        <v>1243</v>
      </c>
      <c r="AC139" s="136">
        <v>128</v>
      </c>
      <c r="AD139" s="499" t="s">
        <v>1015</v>
      </c>
      <c r="AE139" s="514" t="s">
        <v>1129</v>
      </c>
      <c r="AF139" s="426" t="s">
        <v>1090</v>
      </c>
      <c r="AG139" s="433" t="s">
        <v>24</v>
      </c>
      <c r="AH139" s="838" t="s">
        <v>646</v>
      </c>
    </row>
    <row r="140" spans="1:34" ht="16.5">
      <c r="A140" s="358">
        <v>26</v>
      </c>
      <c r="B140" s="458" t="s">
        <v>909</v>
      </c>
      <c r="C140" s="432" t="s">
        <v>836</v>
      </c>
      <c r="D140" s="426" t="s">
        <v>835</v>
      </c>
      <c r="E140" s="433" t="s">
        <v>24</v>
      </c>
      <c r="F140" s="473" t="s">
        <v>330</v>
      </c>
      <c r="G140">
        <v>1</v>
      </c>
      <c r="H140" s="139" t="s">
        <v>899</v>
      </c>
      <c r="I140" s="428"/>
      <c r="J140" s="34" t="s">
        <v>824</v>
      </c>
      <c r="K140" s="40" t="s">
        <v>3</v>
      </c>
      <c r="L140" s="838" t="s">
        <v>330</v>
      </c>
      <c r="M140" s="375" t="s">
        <v>208</v>
      </c>
      <c r="Q140" s="812"/>
      <c r="R140" s="813"/>
      <c r="S140" s="857"/>
      <c r="T140" s="56"/>
      <c r="U140" s="139">
        <v>129</v>
      </c>
      <c r="AC140" s="440">
        <v>129</v>
      </c>
      <c r="AD140" s="499" t="s">
        <v>1016</v>
      </c>
      <c r="AE140" s="432" t="s">
        <v>1139</v>
      </c>
      <c r="AF140" s="426" t="s">
        <v>1097</v>
      </c>
      <c r="AG140" s="433" t="s">
        <v>24</v>
      </c>
      <c r="AH140" s="838" t="s">
        <v>646</v>
      </c>
    </row>
    <row r="141" spans="1:34" ht="17.25" thickBot="1">
      <c r="A141" s="358">
        <v>27</v>
      </c>
      <c r="B141" s="458" t="s">
        <v>988</v>
      </c>
      <c r="C141" s="432" t="s">
        <v>677</v>
      </c>
      <c r="D141" s="426" t="s">
        <v>676</v>
      </c>
      <c r="E141" s="433" t="s">
        <v>24</v>
      </c>
      <c r="F141" s="473" t="s">
        <v>331</v>
      </c>
      <c r="G141">
        <v>2</v>
      </c>
      <c r="H141" s="139" t="s">
        <v>912</v>
      </c>
      <c r="I141" s="428" t="s">
        <v>663</v>
      </c>
      <c r="J141" s="34" t="s">
        <v>662</v>
      </c>
      <c r="K141" s="40" t="s">
        <v>3</v>
      </c>
      <c r="L141" s="838" t="s">
        <v>330</v>
      </c>
      <c r="M141" s="210" t="s">
        <v>208</v>
      </c>
      <c r="Q141" s="812"/>
      <c r="R141" s="813"/>
      <c r="S141" s="210"/>
      <c r="T141" s="56"/>
      <c r="U141" s="136">
        <v>130</v>
      </c>
      <c r="AC141" s="136">
        <v>130</v>
      </c>
      <c r="AD141" s="499" t="s">
        <v>1017</v>
      </c>
      <c r="AE141" s="514" t="s">
        <v>1146</v>
      </c>
      <c r="AF141" s="426" t="s">
        <v>1145</v>
      </c>
      <c r="AG141" s="433" t="s">
        <v>3</v>
      </c>
      <c r="AH141" s="838" t="s">
        <v>646</v>
      </c>
    </row>
    <row r="142" spans="1:34" ht="16.5">
      <c r="A142" s="358">
        <v>28</v>
      </c>
      <c r="B142" s="458" t="s">
        <v>990</v>
      </c>
      <c r="C142" s="432" t="s">
        <v>747</v>
      </c>
      <c r="D142" s="426" t="s">
        <v>746</v>
      </c>
      <c r="E142" s="433" t="s">
        <v>3</v>
      </c>
      <c r="F142" s="473" t="s">
        <v>331</v>
      </c>
      <c r="G142">
        <v>3</v>
      </c>
      <c r="H142" s="139" t="s">
        <v>929</v>
      </c>
      <c r="I142" s="539" t="s">
        <v>692</v>
      </c>
      <c r="J142" s="447" t="s">
        <v>691</v>
      </c>
      <c r="K142" s="430" t="s">
        <v>3</v>
      </c>
      <c r="L142" s="430" t="s">
        <v>329</v>
      </c>
      <c r="M142" s="857" t="s">
        <v>208</v>
      </c>
      <c r="Q142" s="812"/>
      <c r="R142" s="813"/>
      <c r="S142" s="210"/>
      <c r="T142" s="56"/>
      <c r="U142" s="139">
        <v>131</v>
      </c>
      <c r="AC142" s="440">
        <v>131</v>
      </c>
      <c r="AD142" s="499" t="s">
        <v>1018</v>
      </c>
      <c r="AE142" s="432" t="s">
        <v>1140</v>
      </c>
      <c r="AF142" s="426" t="s">
        <v>1098</v>
      </c>
      <c r="AG142" s="433" t="s">
        <v>3</v>
      </c>
      <c r="AH142" s="838" t="s">
        <v>646</v>
      </c>
    </row>
    <row r="143" spans="1:34" ht="15.75" thickBot="1">
      <c r="A143" s="358">
        <v>29</v>
      </c>
      <c r="B143" s="457" t="s">
        <v>1040</v>
      </c>
      <c r="C143" s="432" t="s">
        <v>1121</v>
      </c>
      <c r="D143" s="426" t="s">
        <v>1085</v>
      </c>
      <c r="E143" s="433" t="s">
        <v>3</v>
      </c>
      <c r="F143" s="473" t="s">
        <v>1243</v>
      </c>
      <c r="G143">
        <v>4</v>
      </c>
      <c r="H143" s="139" t="s">
        <v>940</v>
      </c>
      <c r="I143" s="539" t="s">
        <v>669</v>
      </c>
      <c r="J143" s="447" t="s">
        <v>668</v>
      </c>
      <c r="K143" s="430" t="s">
        <v>3</v>
      </c>
      <c r="L143" s="430" t="s">
        <v>329</v>
      </c>
      <c r="M143" s="857" t="s">
        <v>208</v>
      </c>
      <c r="Q143" s="139"/>
      <c r="R143" s="137"/>
      <c r="S143" s="820"/>
      <c r="T143" s="56"/>
      <c r="U143" s="136">
        <v>132</v>
      </c>
      <c r="AC143" s="136">
        <v>132</v>
      </c>
      <c r="AD143" s="499" t="s">
        <v>1019</v>
      </c>
      <c r="AE143" s="432" t="s">
        <v>683</v>
      </c>
      <c r="AF143" s="426" t="s">
        <v>682</v>
      </c>
      <c r="AG143" s="433" t="s">
        <v>24</v>
      </c>
      <c r="AH143" s="838" t="s">
        <v>646</v>
      </c>
    </row>
    <row r="144" spans="1:34">
      <c r="A144" s="358">
        <v>30</v>
      </c>
      <c r="B144" s="458" t="s">
        <v>1017</v>
      </c>
      <c r="C144" s="432" t="s">
        <v>1146</v>
      </c>
      <c r="D144" s="426" t="s">
        <v>1145</v>
      </c>
      <c r="E144" s="433" t="s">
        <v>3</v>
      </c>
      <c r="F144" s="473" t="s">
        <v>646</v>
      </c>
      <c r="G144">
        <v>5</v>
      </c>
      <c r="H144" s="850" t="s">
        <v>951</v>
      </c>
      <c r="I144" s="539" t="s">
        <v>774</v>
      </c>
      <c r="J144" s="447" t="s">
        <v>773</v>
      </c>
      <c r="K144" s="430" t="s">
        <v>3</v>
      </c>
      <c r="L144" s="838" t="s">
        <v>333</v>
      </c>
      <c r="M144" s="857" t="s">
        <v>208</v>
      </c>
      <c r="Q144" s="139"/>
      <c r="R144" s="137"/>
      <c r="S144" s="210"/>
      <c r="T144" s="56"/>
      <c r="U144" s="139">
        <v>133</v>
      </c>
      <c r="AC144" s="440">
        <v>133</v>
      </c>
      <c r="AD144" s="499" t="s">
        <v>1020</v>
      </c>
      <c r="AE144" s="432" t="s">
        <v>1141</v>
      </c>
      <c r="AF144" s="426" t="s">
        <v>1099</v>
      </c>
      <c r="AG144" s="433" t="s">
        <v>3</v>
      </c>
      <c r="AH144" s="838" t="s">
        <v>646</v>
      </c>
    </row>
    <row r="145" spans="1:34" ht="15.75" thickBot="1">
      <c r="A145" s="358">
        <v>31</v>
      </c>
      <c r="B145" s="458" t="s">
        <v>1061</v>
      </c>
      <c r="C145" s="432" t="s">
        <v>1138</v>
      </c>
      <c r="D145" s="426" t="s">
        <v>1096</v>
      </c>
      <c r="E145" s="433" t="s">
        <v>3</v>
      </c>
      <c r="F145" s="473" t="s">
        <v>1243</v>
      </c>
      <c r="G145">
        <v>6</v>
      </c>
      <c r="H145" s="850" t="s">
        <v>958</v>
      </c>
      <c r="I145" s="539" t="s">
        <v>856</v>
      </c>
      <c r="J145" s="447" t="s">
        <v>855</v>
      </c>
      <c r="K145" s="430" t="s">
        <v>3</v>
      </c>
      <c r="L145" s="838" t="s">
        <v>333</v>
      </c>
      <c r="M145" s="857" t="s">
        <v>208</v>
      </c>
      <c r="Q145" s="139"/>
      <c r="R145" s="372"/>
      <c r="S145" s="210"/>
      <c r="T145" s="56"/>
      <c r="U145" s="136">
        <v>134</v>
      </c>
      <c r="AC145" s="136">
        <v>134</v>
      </c>
      <c r="AD145" s="499" t="s">
        <v>1220</v>
      </c>
      <c r="AE145" s="432"/>
      <c r="AF145" s="426" t="s">
        <v>1218</v>
      </c>
      <c r="AG145" s="433" t="s">
        <v>3</v>
      </c>
      <c r="AH145" s="838" t="s">
        <v>646</v>
      </c>
    </row>
    <row r="146" spans="1:34" ht="15.75" thickBot="1">
      <c r="A146" s="386">
        <v>32</v>
      </c>
      <c r="B146" s="940" t="s">
        <v>965</v>
      </c>
      <c r="C146" s="868" t="s">
        <v>792</v>
      </c>
      <c r="D146" s="869" t="s">
        <v>791</v>
      </c>
      <c r="E146" s="868" t="s">
        <v>24</v>
      </c>
      <c r="F146" s="532" t="s">
        <v>333</v>
      </c>
      <c r="G146">
        <v>7</v>
      </c>
      <c r="H146" s="139" t="s">
        <v>993</v>
      </c>
      <c r="I146" s="541" t="s">
        <v>1058</v>
      </c>
      <c r="J146" s="210" t="s">
        <v>1057</v>
      </c>
      <c r="K146" s="56" t="s">
        <v>3</v>
      </c>
      <c r="L146" s="838" t="s">
        <v>331</v>
      </c>
      <c r="M146" s="857" t="s">
        <v>208</v>
      </c>
      <c r="Q146" s="139"/>
      <c r="R146" s="372"/>
      <c r="S146" s="210"/>
      <c r="T146" s="56"/>
      <c r="U146" s="139">
        <v>135</v>
      </c>
      <c r="AC146" s="440">
        <v>135</v>
      </c>
      <c r="AD146" s="383" t="s">
        <v>1021</v>
      </c>
      <c r="AE146" s="351"/>
      <c r="AF146" s="351" t="s">
        <v>1136</v>
      </c>
      <c r="AG146" s="352" t="s">
        <v>3</v>
      </c>
      <c r="AH146" s="838" t="s">
        <v>1243</v>
      </c>
    </row>
    <row r="147" spans="1:34" ht="15.75" thickBot="1">
      <c r="A147" s="357" t="s">
        <v>24</v>
      </c>
      <c r="B147" s="389">
        <v>16</v>
      </c>
      <c r="C147" s="390"/>
      <c r="D147" s="390"/>
      <c r="E147" s="389"/>
      <c r="F147" s="391"/>
      <c r="G147">
        <v>8</v>
      </c>
      <c r="H147" s="139" t="s">
        <v>1007</v>
      </c>
      <c r="I147" s="540" t="s">
        <v>1135</v>
      </c>
      <c r="J147" s="447" t="s">
        <v>1094</v>
      </c>
      <c r="K147" s="430" t="s">
        <v>3</v>
      </c>
      <c r="L147" s="838" t="s">
        <v>646</v>
      </c>
      <c r="M147" s="857" t="s">
        <v>208</v>
      </c>
      <c r="Q147" s="139"/>
      <c r="R147" s="137"/>
      <c r="S147" s="210"/>
      <c r="T147" s="56"/>
      <c r="U147" s="136">
        <v>136</v>
      </c>
      <c r="AC147" s="136">
        <v>136</v>
      </c>
      <c r="AD147" s="457" t="s">
        <v>1022</v>
      </c>
      <c r="AE147" s="432"/>
      <c r="AF147" s="426" t="s">
        <v>1111</v>
      </c>
      <c r="AG147" s="433" t="s">
        <v>24</v>
      </c>
      <c r="AH147" s="838" t="s">
        <v>1243</v>
      </c>
    </row>
    <row r="148" spans="1:34" ht="15.75" thickBot="1">
      <c r="A148" s="186" t="s">
        <v>3</v>
      </c>
      <c r="B148" s="187">
        <v>16</v>
      </c>
      <c r="C148" s="188"/>
      <c r="D148" s="188"/>
      <c r="E148" s="187"/>
      <c r="F148" s="189"/>
      <c r="G148">
        <v>9</v>
      </c>
      <c r="H148" s="139" t="s">
        <v>1020</v>
      </c>
      <c r="I148" s="539" t="s">
        <v>1141</v>
      </c>
      <c r="J148" s="447" t="s">
        <v>1099</v>
      </c>
      <c r="K148" s="430" t="s">
        <v>3</v>
      </c>
      <c r="L148" s="838" t="s">
        <v>646</v>
      </c>
      <c r="M148" s="857" t="s">
        <v>208</v>
      </c>
      <c r="Q148" s="139"/>
      <c r="R148" s="371"/>
      <c r="S148" s="817"/>
      <c r="T148" s="56"/>
      <c r="U148" s="139">
        <v>137</v>
      </c>
      <c r="AC148" s="440">
        <v>137</v>
      </c>
      <c r="AD148" s="458" t="s">
        <v>1023</v>
      </c>
      <c r="AE148" s="514" t="s">
        <v>1137</v>
      </c>
      <c r="AF148" s="426" t="s">
        <v>1095</v>
      </c>
      <c r="AG148" s="433" t="s">
        <v>3</v>
      </c>
      <c r="AH148" s="838" t="s">
        <v>1243</v>
      </c>
    </row>
    <row r="149" spans="1:34" ht="15.75" thickBot="1">
      <c r="A149" s="103"/>
      <c r="B149" s="116"/>
      <c r="C149" s="117"/>
      <c r="D149" s="182"/>
      <c r="E149" s="810" t="s">
        <v>1242</v>
      </c>
      <c r="F149" s="117"/>
      <c r="G149">
        <v>10</v>
      </c>
      <c r="H149" s="138" t="s">
        <v>1037</v>
      </c>
      <c r="I149" s="539" t="s">
        <v>690</v>
      </c>
      <c r="J149" s="447" t="s">
        <v>689</v>
      </c>
      <c r="K149" s="430" t="s">
        <v>3</v>
      </c>
      <c r="L149" s="838" t="s">
        <v>1243</v>
      </c>
      <c r="M149" s="857" t="s">
        <v>208</v>
      </c>
      <c r="Q149" s="139"/>
      <c r="R149" s="371"/>
      <c r="S149" s="373"/>
      <c r="T149" s="40"/>
      <c r="U149" s="136">
        <v>138</v>
      </c>
      <c r="AC149" s="136">
        <v>138</v>
      </c>
      <c r="AD149" s="457" t="s">
        <v>1024</v>
      </c>
      <c r="AE149" s="514" t="s">
        <v>1144</v>
      </c>
      <c r="AF149" s="426" t="s">
        <v>1143</v>
      </c>
      <c r="AG149" s="433" t="s">
        <v>24</v>
      </c>
      <c r="AH149" s="838" t="s">
        <v>1243</v>
      </c>
    </row>
    <row r="150" spans="1:34">
      <c r="A150" s="103"/>
      <c r="B150" s="103"/>
      <c r="C150" s="115"/>
      <c r="D150" s="115"/>
      <c r="E150" s="115" t="s">
        <v>84</v>
      </c>
      <c r="F150" s="115"/>
      <c r="G150">
        <v>11</v>
      </c>
      <c r="H150" s="851" t="s">
        <v>1060</v>
      </c>
      <c r="I150" s="540" t="s">
        <v>1152</v>
      </c>
      <c r="J150" s="447" t="s">
        <v>1105</v>
      </c>
      <c r="K150" s="430" t="s">
        <v>3</v>
      </c>
      <c r="L150" s="838" t="s">
        <v>1243</v>
      </c>
      <c r="M150" s="857" t="s">
        <v>208</v>
      </c>
      <c r="Q150" s="139"/>
      <c r="R150" s="811"/>
      <c r="S150" s="373"/>
      <c r="T150" s="56"/>
      <c r="U150" s="139">
        <v>139</v>
      </c>
      <c r="AC150" s="440">
        <v>139</v>
      </c>
      <c r="AD150" s="458" t="s">
        <v>1025</v>
      </c>
      <c r="AE150" s="432" t="s">
        <v>811</v>
      </c>
      <c r="AF150" s="426" t="s">
        <v>810</v>
      </c>
      <c r="AG150" s="433" t="s">
        <v>24</v>
      </c>
      <c r="AH150" s="838" t="s">
        <v>1243</v>
      </c>
    </row>
    <row r="151" spans="1:34" ht="32.25" customHeight="1" thickBot="1">
      <c r="A151" s="103"/>
      <c r="B151" s="103"/>
      <c r="C151" s="115"/>
      <c r="D151" s="115"/>
      <c r="E151" s="115"/>
      <c r="F151" s="115"/>
      <c r="G151">
        <v>12</v>
      </c>
      <c r="H151" s="865" t="s">
        <v>946</v>
      </c>
      <c r="I151" s="861" t="s">
        <v>848</v>
      </c>
      <c r="J151" s="862" t="s">
        <v>847</v>
      </c>
      <c r="K151" s="863" t="s">
        <v>3</v>
      </c>
      <c r="L151" s="863" t="s">
        <v>333</v>
      </c>
      <c r="M151" s="864" t="s">
        <v>208</v>
      </c>
      <c r="Q151" s="139"/>
      <c r="R151" s="371"/>
      <c r="S151" s="373"/>
      <c r="T151" s="56"/>
      <c r="U151" s="136">
        <v>140</v>
      </c>
      <c r="AC151" s="136">
        <v>140</v>
      </c>
      <c r="AD151" s="457" t="s">
        <v>1026</v>
      </c>
      <c r="AE151" s="514" t="s">
        <v>1134</v>
      </c>
      <c r="AF151" s="426" t="s">
        <v>1093</v>
      </c>
      <c r="AG151" s="433" t="s">
        <v>24</v>
      </c>
      <c r="AH151" s="838" t="s">
        <v>1243</v>
      </c>
    </row>
    <row r="152" spans="1:34">
      <c r="E152" s="121" t="str">
        <f>WLKLS!B9</f>
        <v>ARIEF RAHMAN HAKIM, S.Pd.I, M.Pd.I</v>
      </c>
      <c r="G152">
        <v>13</v>
      </c>
      <c r="H152" s="398" t="s">
        <v>973</v>
      </c>
      <c r="I152" s="832" t="s">
        <v>800</v>
      </c>
      <c r="J152" s="51" t="s">
        <v>799</v>
      </c>
      <c r="K152" s="41" t="s">
        <v>3</v>
      </c>
      <c r="L152" s="41" t="s">
        <v>331</v>
      </c>
      <c r="M152" s="70" t="s">
        <v>208</v>
      </c>
      <c r="Q152" s="139"/>
      <c r="R152" s="137"/>
      <c r="S152" s="375"/>
      <c r="T152" s="211"/>
      <c r="U152" s="139">
        <v>141</v>
      </c>
      <c r="AC152" s="440">
        <v>141</v>
      </c>
      <c r="AD152" s="458" t="s">
        <v>1027</v>
      </c>
      <c r="AE152" s="514" t="s">
        <v>1155</v>
      </c>
      <c r="AF152" s="426" t="s">
        <v>1108</v>
      </c>
      <c r="AG152" s="433" t="s">
        <v>24</v>
      </c>
      <c r="AH152" s="838" t="s">
        <v>1243</v>
      </c>
    </row>
    <row r="153" spans="1:34" ht="15.75" thickBot="1">
      <c r="E153" s="123" t="str">
        <f>WLKLS!C9</f>
        <v>NIP.-</v>
      </c>
      <c r="G153">
        <v>14</v>
      </c>
      <c r="H153" s="850" t="s">
        <v>959</v>
      </c>
      <c r="I153" s="539" t="s">
        <v>858</v>
      </c>
      <c r="J153" s="447" t="s">
        <v>857</v>
      </c>
      <c r="K153" s="430" t="s">
        <v>3</v>
      </c>
      <c r="L153" s="838" t="s">
        <v>333</v>
      </c>
      <c r="M153" s="210" t="s">
        <v>208</v>
      </c>
      <c r="Q153" s="139"/>
      <c r="R153" s="137"/>
      <c r="S153" s="210"/>
      <c r="T153" s="211"/>
      <c r="U153" s="136">
        <v>142</v>
      </c>
      <c r="AC153" s="136">
        <v>142</v>
      </c>
      <c r="AD153" s="457" t="s">
        <v>1028</v>
      </c>
      <c r="AE153" s="426"/>
      <c r="AF153" s="426" t="s">
        <v>1092</v>
      </c>
      <c r="AG153" s="433" t="s">
        <v>3</v>
      </c>
      <c r="AH153" s="838" t="s">
        <v>1243</v>
      </c>
    </row>
    <row r="154" spans="1:34" ht="14.25" customHeight="1">
      <c r="G154">
        <v>15</v>
      </c>
      <c r="H154" s="850" t="s">
        <v>960</v>
      </c>
      <c r="I154" s="539" t="s">
        <v>860</v>
      </c>
      <c r="J154" s="447" t="s">
        <v>859</v>
      </c>
      <c r="K154" s="430" t="s">
        <v>3</v>
      </c>
      <c r="L154" s="838" t="s">
        <v>333</v>
      </c>
      <c r="M154" s="210" t="s">
        <v>208</v>
      </c>
      <c r="Q154" s="139"/>
      <c r="R154" s="137"/>
      <c r="S154" s="210"/>
      <c r="T154" s="211"/>
      <c r="U154" s="139">
        <v>143</v>
      </c>
      <c r="AC154" s="440">
        <v>143</v>
      </c>
      <c r="AD154" s="458" t="s">
        <v>1029</v>
      </c>
      <c r="AE154" s="432"/>
      <c r="AF154" s="426" t="s">
        <v>715</v>
      </c>
      <c r="AG154" s="433" t="s">
        <v>24</v>
      </c>
      <c r="AH154" s="838" t="s">
        <v>1243</v>
      </c>
    </row>
    <row r="155" spans="1:34" ht="15.75" thickBot="1">
      <c r="A155" s="1018" t="s">
        <v>0</v>
      </c>
      <c r="B155" s="1018"/>
      <c r="C155" s="1018"/>
      <c r="D155" s="1018"/>
      <c r="E155" s="1018"/>
      <c r="F155" s="1018"/>
      <c r="G155">
        <v>16</v>
      </c>
      <c r="H155" s="850" t="s">
        <v>964</v>
      </c>
      <c r="I155" s="539" t="s">
        <v>862</v>
      </c>
      <c r="J155" s="447" t="s">
        <v>861</v>
      </c>
      <c r="K155" s="430" t="s">
        <v>3</v>
      </c>
      <c r="L155" s="838" t="s">
        <v>333</v>
      </c>
      <c r="M155" s="210" t="s">
        <v>208</v>
      </c>
      <c r="Q155" s="139"/>
      <c r="R155" s="137"/>
      <c r="S155" s="210"/>
      <c r="T155" s="211"/>
      <c r="U155" s="136">
        <v>144</v>
      </c>
      <c r="AC155" s="136">
        <v>144</v>
      </c>
      <c r="AD155" s="457" t="s">
        <v>1030</v>
      </c>
      <c r="AE155" s="432"/>
      <c r="AF155" s="426" t="s">
        <v>716</v>
      </c>
      <c r="AG155" s="433" t="s">
        <v>24</v>
      </c>
      <c r="AH155" s="838" t="s">
        <v>1243</v>
      </c>
    </row>
    <row r="156" spans="1:34" ht="16.5">
      <c r="A156" s="1018" t="s">
        <v>1</v>
      </c>
      <c r="B156" s="1018"/>
      <c r="C156" s="1018"/>
      <c r="D156" s="1018"/>
      <c r="E156" s="1018"/>
      <c r="F156" s="1018"/>
      <c r="G156">
        <v>17</v>
      </c>
      <c r="H156" s="850" t="s">
        <v>969</v>
      </c>
      <c r="I156" s="539" t="s">
        <v>772</v>
      </c>
      <c r="J156" s="447" t="s">
        <v>771</v>
      </c>
      <c r="K156" s="430" t="s">
        <v>3</v>
      </c>
      <c r="L156" s="838" t="s">
        <v>333</v>
      </c>
      <c r="M156" s="210" t="s">
        <v>208</v>
      </c>
      <c r="Q156" s="812"/>
      <c r="R156" s="813"/>
      <c r="S156" s="210"/>
      <c r="T156" s="56"/>
      <c r="U156" s="139">
        <v>145</v>
      </c>
      <c r="AC156" s="440">
        <v>145</v>
      </c>
      <c r="AD156" s="458" t="s">
        <v>1031</v>
      </c>
      <c r="AE156" s="432" t="s">
        <v>1150</v>
      </c>
      <c r="AF156" s="426" t="s">
        <v>1149</v>
      </c>
      <c r="AG156" s="433" t="s">
        <v>3</v>
      </c>
      <c r="AH156" s="838" t="s">
        <v>1243</v>
      </c>
    </row>
    <row r="157" spans="1:34" ht="17.25" thickBot="1">
      <c r="A157" s="1018" t="s">
        <v>4</v>
      </c>
      <c r="B157" s="1018"/>
      <c r="C157" s="1018"/>
      <c r="D157" s="1018"/>
      <c r="E157" s="1018"/>
      <c r="F157" s="1018"/>
      <c r="G157">
        <v>18</v>
      </c>
      <c r="H157" s="398" t="s">
        <v>937</v>
      </c>
      <c r="I157" s="832" t="s">
        <v>696</v>
      </c>
      <c r="J157" s="51" t="s">
        <v>695</v>
      </c>
      <c r="K157" s="41" t="s">
        <v>660</v>
      </c>
      <c r="L157" s="41" t="s">
        <v>329</v>
      </c>
      <c r="M157" s="70" t="s">
        <v>208</v>
      </c>
      <c r="Q157" s="812"/>
      <c r="R157" s="813"/>
      <c r="S157" s="210"/>
      <c r="T157" s="56"/>
      <c r="U157" s="136">
        <v>146</v>
      </c>
      <c r="AC157" s="136">
        <v>146</v>
      </c>
      <c r="AD157" s="458" t="s">
        <v>1033</v>
      </c>
      <c r="AE157" s="432" t="s">
        <v>1142</v>
      </c>
      <c r="AF157" s="426" t="s">
        <v>1100</v>
      </c>
      <c r="AG157" s="433" t="s">
        <v>24</v>
      </c>
      <c r="AH157" s="838" t="s">
        <v>1243</v>
      </c>
    </row>
    <row r="158" spans="1:34" ht="16.5">
      <c r="A158" s="1019" t="s">
        <v>6</v>
      </c>
      <c r="B158" s="1019"/>
      <c r="C158" s="1019"/>
      <c r="D158" s="1019"/>
      <c r="E158" s="1019"/>
      <c r="F158" s="1019"/>
      <c r="G158">
        <v>1</v>
      </c>
      <c r="H158" s="139" t="s">
        <v>906</v>
      </c>
      <c r="I158" s="428" t="s">
        <v>805</v>
      </c>
      <c r="J158" s="34" t="s">
        <v>804</v>
      </c>
      <c r="K158" s="40" t="s">
        <v>24</v>
      </c>
      <c r="L158" s="838" t="s">
        <v>330</v>
      </c>
      <c r="M158" s="857" t="s">
        <v>208</v>
      </c>
      <c r="Q158" s="812"/>
      <c r="R158" s="813"/>
      <c r="S158" s="210"/>
      <c r="T158" s="56"/>
      <c r="U158" s="139">
        <v>147</v>
      </c>
      <c r="AC158" s="440">
        <v>147</v>
      </c>
      <c r="AD158" s="457" t="s">
        <v>1034</v>
      </c>
      <c r="AE158" s="514" t="s">
        <v>1131</v>
      </c>
      <c r="AF158" s="426" t="s">
        <v>1091</v>
      </c>
      <c r="AG158" s="433" t="s">
        <v>24</v>
      </c>
      <c r="AH158" s="838" t="s">
        <v>1243</v>
      </c>
    </row>
    <row r="159" spans="1:34" ht="15.75" thickBot="1">
      <c r="A159" s="1020" t="s">
        <v>7</v>
      </c>
      <c r="B159" s="1020"/>
      <c r="C159" s="1020"/>
      <c r="D159" s="1020"/>
      <c r="E159" s="1020"/>
      <c r="F159" s="1020"/>
      <c r="G159">
        <v>2</v>
      </c>
      <c r="H159" s="139" t="s">
        <v>914</v>
      </c>
      <c r="I159" s="428" t="s">
        <v>794</v>
      </c>
      <c r="J159" s="34" t="s">
        <v>793</v>
      </c>
      <c r="K159" s="40" t="s">
        <v>24</v>
      </c>
      <c r="L159" s="838" t="s">
        <v>330</v>
      </c>
      <c r="M159" s="857" t="s">
        <v>208</v>
      </c>
      <c r="Q159" s="139"/>
      <c r="R159" s="137"/>
      <c r="S159" s="210"/>
      <c r="T159" s="56"/>
      <c r="U159" s="136">
        <v>148</v>
      </c>
      <c r="AC159" s="136">
        <v>148</v>
      </c>
      <c r="AD159" s="458" t="s">
        <v>1035</v>
      </c>
      <c r="AE159" s="422"/>
      <c r="AF159" s="422" t="s">
        <v>1114</v>
      </c>
      <c r="AG159" s="423" t="s">
        <v>24</v>
      </c>
      <c r="AH159" s="838" t="s">
        <v>1243</v>
      </c>
    </row>
    <row r="160" spans="1:34" ht="15.75" thickTop="1">
      <c r="A160" s="97"/>
      <c r="B160" s="98"/>
      <c r="C160" s="97"/>
      <c r="D160" s="97"/>
      <c r="E160" s="98"/>
      <c r="F160" s="97"/>
      <c r="G160">
        <v>3</v>
      </c>
      <c r="H160" s="139" t="s">
        <v>936</v>
      </c>
      <c r="I160" s="539" t="s">
        <v>740</v>
      </c>
      <c r="J160" s="447" t="s">
        <v>739</v>
      </c>
      <c r="K160" s="430" t="s">
        <v>24</v>
      </c>
      <c r="L160" s="430" t="s">
        <v>329</v>
      </c>
      <c r="M160" s="857" t="s">
        <v>208</v>
      </c>
      <c r="Q160" s="139"/>
      <c r="R160" s="137"/>
      <c r="S160" s="210"/>
      <c r="T160" s="56"/>
      <c r="U160" s="139">
        <v>149</v>
      </c>
      <c r="AC160" s="440">
        <v>149</v>
      </c>
      <c r="AD160" s="457" t="s">
        <v>1036</v>
      </c>
      <c r="AE160" s="513" t="s">
        <v>1122</v>
      </c>
      <c r="AF160" s="442" t="s">
        <v>1086</v>
      </c>
      <c r="AG160" s="443" t="s">
        <v>3</v>
      </c>
      <c r="AH160" s="838" t="s">
        <v>1243</v>
      </c>
    </row>
    <row r="161" spans="1:34" ht="16.5" thickBot="1">
      <c r="A161" s="1021" t="s">
        <v>1049</v>
      </c>
      <c r="B161" s="1021"/>
      <c r="C161" s="1021"/>
      <c r="D161" s="1021"/>
      <c r="E161" s="1021"/>
      <c r="F161" s="1021"/>
      <c r="G161">
        <v>4</v>
      </c>
      <c r="H161" s="850" t="s">
        <v>954</v>
      </c>
      <c r="I161" s="539" t="s">
        <v>708</v>
      </c>
      <c r="J161" s="447" t="s">
        <v>707</v>
      </c>
      <c r="K161" s="430" t="s">
        <v>24</v>
      </c>
      <c r="L161" s="838" t="s">
        <v>333</v>
      </c>
      <c r="M161" s="857" t="s">
        <v>208</v>
      </c>
      <c r="Q161" s="139"/>
      <c r="R161" s="137"/>
      <c r="S161" s="210"/>
      <c r="T161" s="56"/>
      <c r="U161" s="136">
        <v>150</v>
      </c>
      <c r="AC161" s="136">
        <v>150</v>
      </c>
      <c r="AD161" s="458" t="s">
        <v>1037</v>
      </c>
      <c r="AE161" s="432" t="s">
        <v>690</v>
      </c>
      <c r="AF161" s="426" t="s">
        <v>689</v>
      </c>
      <c r="AG161" s="433" t="s">
        <v>3</v>
      </c>
      <c r="AH161" s="838" t="s">
        <v>1243</v>
      </c>
    </row>
    <row r="162" spans="1:34" ht="15.75">
      <c r="A162" s="1022" t="s">
        <v>1241</v>
      </c>
      <c r="B162" s="1022"/>
      <c r="C162" s="1022"/>
      <c r="D162" s="1022"/>
      <c r="E162" s="1022"/>
      <c r="F162" s="1022"/>
      <c r="G162">
        <v>5</v>
      </c>
      <c r="H162" s="850" t="s">
        <v>968</v>
      </c>
      <c r="I162" s="539" t="s">
        <v>732</v>
      </c>
      <c r="J162" s="447" t="s">
        <v>731</v>
      </c>
      <c r="K162" s="430" t="s">
        <v>24</v>
      </c>
      <c r="L162" s="838" t="s">
        <v>333</v>
      </c>
      <c r="M162" s="857" t="s">
        <v>208</v>
      </c>
      <c r="Q162" s="139"/>
      <c r="R162" s="372"/>
      <c r="S162" s="416"/>
      <c r="T162" s="56"/>
      <c r="U162" s="139">
        <v>151</v>
      </c>
      <c r="AC162" s="440">
        <v>151</v>
      </c>
      <c r="AD162" s="457" t="s">
        <v>1038</v>
      </c>
      <c r="AE162" s="432" t="s">
        <v>1157</v>
      </c>
      <c r="AF162" s="426" t="s">
        <v>1110</v>
      </c>
      <c r="AG162" s="433" t="s">
        <v>3</v>
      </c>
      <c r="AH162" s="838" t="s">
        <v>1243</v>
      </c>
    </row>
    <row r="163" spans="1:34" ht="15.75" thickBot="1">
      <c r="A163" s="100"/>
      <c r="B163" s="100"/>
      <c r="C163" s="101"/>
      <c r="D163" s="173"/>
      <c r="E163" s="103"/>
      <c r="F163" s="117"/>
      <c r="G163">
        <v>6</v>
      </c>
      <c r="H163" s="139" t="s">
        <v>979</v>
      </c>
      <c r="I163" s="539" t="s">
        <v>796</v>
      </c>
      <c r="J163" s="447" t="s">
        <v>795</v>
      </c>
      <c r="K163" s="430" t="s">
        <v>24</v>
      </c>
      <c r="L163" s="838" t="s">
        <v>331</v>
      </c>
      <c r="M163" s="857" t="s">
        <v>2</v>
      </c>
      <c r="Q163" s="139"/>
      <c r="R163" s="372"/>
      <c r="S163" s="816"/>
      <c r="T163" s="56"/>
      <c r="U163" s="136">
        <v>152</v>
      </c>
      <c r="AC163" s="136">
        <v>152</v>
      </c>
      <c r="AD163" s="458" t="s">
        <v>1039</v>
      </c>
      <c r="AE163" s="514" t="s">
        <v>1123</v>
      </c>
      <c r="AF163" s="515" t="s">
        <v>1087</v>
      </c>
      <c r="AG163" s="433" t="s">
        <v>3</v>
      </c>
      <c r="AH163" s="838" t="s">
        <v>1243</v>
      </c>
    </row>
    <row r="164" spans="1:34" ht="16.5" thickBot="1">
      <c r="A164" s="1023" t="s">
        <v>13</v>
      </c>
      <c r="B164" s="1024"/>
      <c r="C164" s="1025"/>
      <c r="D164" s="1028" t="s">
        <v>14</v>
      </c>
      <c r="E164" s="1026" t="s">
        <v>15</v>
      </c>
      <c r="F164" s="1028" t="s">
        <v>326</v>
      </c>
      <c r="G164">
        <v>7</v>
      </c>
      <c r="H164" s="139" t="s">
        <v>994</v>
      </c>
      <c r="I164" s="539"/>
      <c r="J164" s="447" t="s">
        <v>828</v>
      </c>
      <c r="K164" s="430" t="s">
        <v>24</v>
      </c>
      <c r="L164" s="838" t="s">
        <v>331</v>
      </c>
      <c r="M164" s="857" t="s">
        <v>208</v>
      </c>
      <c r="Q164" s="139"/>
      <c r="R164" s="372"/>
      <c r="S164" s="374"/>
      <c r="T164" s="56"/>
      <c r="U164" s="139">
        <v>153</v>
      </c>
      <c r="AC164" s="440">
        <v>153</v>
      </c>
      <c r="AD164" s="457" t="s">
        <v>1040</v>
      </c>
      <c r="AE164" s="514" t="s">
        <v>1121</v>
      </c>
      <c r="AF164" s="426" t="s">
        <v>1085</v>
      </c>
      <c r="AG164" s="433" t="s">
        <v>3</v>
      </c>
      <c r="AH164" s="838" t="s">
        <v>1243</v>
      </c>
    </row>
    <row r="165" spans="1:34" ht="16.5" thickBot="1">
      <c r="A165" s="126" t="s">
        <v>18</v>
      </c>
      <c r="B165" s="126" t="s">
        <v>19</v>
      </c>
      <c r="C165" s="126" t="s">
        <v>20</v>
      </c>
      <c r="D165" s="1030"/>
      <c r="E165" s="1031"/>
      <c r="F165" s="1030"/>
      <c r="G165">
        <v>8</v>
      </c>
      <c r="H165" s="139" t="s">
        <v>1004</v>
      </c>
      <c r="I165" s="541" t="s">
        <v>1120</v>
      </c>
      <c r="J165" s="210" t="s">
        <v>1119</v>
      </c>
      <c r="K165" s="56" t="s">
        <v>24</v>
      </c>
      <c r="L165" s="838" t="s">
        <v>646</v>
      </c>
      <c r="M165" s="857" t="s">
        <v>208</v>
      </c>
      <c r="Q165" s="139"/>
      <c r="R165" s="372"/>
      <c r="S165" s="374"/>
      <c r="T165" s="56"/>
      <c r="U165" s="136">
        <v>154</v>
      </c>
      <c r="AC165" s="136">
        <v>154</v>
      </c>
      <c r="AD165" s="458" t="s">
        <v>1041</v>
      </c>
      <c r="AE165" s="432" t="s">
        <v>1147</v>
      </c>
      <c r="AF165" s="426" t="s">
        <v>1101</v>
      </c>
      <c r="AG165" s="433" t="s">
        <v>3</v>
      </c>
      <c r="AH165" s="838" t="s">
        <v>1243</v>
      </c>
    </row>
    <row r="166" spans="1:34">
      <c r="A166" s="404">
        <v>1</v>
      </c>
      <c r="B166" s="942" t="s">
        <v>1026</v>
      </c>
      <c r="C166" s="937" t="s">
        <v>1134</v>
      </c>
      <c r="D166" s="875" t="s">
        <v>1093</v>
      </c>
      <c r="E166" s="938" t="s">
        <v>24</v>
      </c>
      <c r="F166" s="939" t="s">
        <v>1243</v>
      </c>
      <c r="G166">
        <v>9</v>
      </c>
      <c r="H166" s="139" t="s">
        <v>1016</v>
      </c>
      <c r="I166" s="539" t="s">
        <v>1139</v>
      </c>
      <c r="J166" s="447" t="s">
        <v>1097</v>
      </c>
      <c r="K166" s="430" t="s">
        <v>24</v>
      </c>
      <c r="L166" s="838" t="s">
        <v>646</v>
      </c>
      <c r="M166" s="857" t="s">
        <v>208</v>
      </c>
      <c r="S166" s="537"/>
      <c r="T166" s="537"/>
      <c r="U166" s="139">
        <v>155</v>
      </c>
      <c r="AC166" s="440">
        <v>155</v>
      </c>
      <c r="AD166" s="457" t="s">
        <v>1060</v>
      </c>
      <c r="AE166" s="514" t="s">
        <v>1152</v>
      </c>
      <c r="AF166" s="426" t="s">
        <v>1105</v>
      </c>
      <c r="AG166" s="433" t="s">
        <v>3</v>
      </c>
      <c r="AH166" s="838" t="s">
        <v>1243</v>
      </c>
    </row>
    <row r="167" spans="1:34" ht="15.75" thickBot="1">
      <c r="A167" s="358">
        <v>2</v>
      </c>
      <c r="B167" s="458" t="s">
        <v>1002</v>
      </c>
      <c r="C167" s="432" t="s">
        <v>1133</v>
      </c>
      <c r="D167" s="426" t="s">
        <v>1132</v>
      </c>
      <c r="E167" s="433" t="s">
        <v>3</v>
      </c>
      <c r="F167" s="473" t="s">
        <v>646</v>
      </c>
      <c r="G167">
        <v>10</v>
      </c>
      <c r="H167" s="138" t="s">
        <v>1027</v>
      </c>
      <c r="I167" s="540" t="s">
        <v>1155</v>
      </c>
      <c r="J167" s="447" t="s">
        <v>1108</v>
      </c>
      <c r="K167" s="430" t="s">
        <v>24</v>
      </c>
      <c r="L167" s="838" t="s">
        <v>1243</v>
      </c>
      <c r="M167" s="857" t="s">
        <v>208</v>
      </c>
      <c r="Q167" s="537"/>
      <c r="S167" s="537"/>
      <c r="T167" s="537"/>
      <c r="U167" s="136">
        <v>156</v>
      </c>
      <c r="AC167" s="136">
        <v>156</v>
      </c>
      <c r="AD167" s="458" t="s">
        <v>1061</v>
      </c>
      <c r="AE167" s="432" t="s">
        <v>1138</v>
      </c>
      <c r="AF167" s="426" t="s">
        <v>1096</v>
      </c>
      <c r="AG167" s="433" t="s">
        <v>3</v>
      </c>
      <c r="AH167" s="838" t="s">
        <v>1243</v>
      </c>
    </row>
    <row r="168" spans="1:34">
      <c r="A168" s="358">
        <v>3</v>
      </c>
      <c r="B168" s="458" t="s">
        <v>1003</v>
      </c>
      <c r="C168" s="432" t="s">
        <v>679</v>
      </c>
      <c r="D168" s="426" t="s">
        <v>678</v>
      </c>
      <c r="E168" s="433" t="s">
        <v>24</v>
      </c>
      <c r="F168" s="473" t="s">
        <v>646</v>
      </c>
      <c r="G168">
        <v>11</v>
      </c>
      <c r="H168" s="867" t="s">
        <v>1034</v>
      </c>
      <c r="I168" s="866" t="s">
        <v>1131</v>
      </c>
      <c r="J168" s="862" t="s">
        <v>1091</v>
      </c>
      <c r="K168" s="863" t="s">
        <v>24</v>
      </c>
      <c r="L168" s="863" t="s">
        <v>1243</v>
      </c>
      <c r="M168" s="864" t="s">
        <v>208</v>
      </c>
      <c r="U168" s="139">
        <v>157</v>
      </c>
      <c r="AC168" s="440">
        <v>157</v>
      </c>
      <c r="AD168" s="457" t="s">
        <v>1062</v>
      </c>
      <c r="AE168" s="432" t="s">
        <v>1154</v>
      </c>
      <c r="AF168" s="426" t="s">
        <v>1107</v>
      </c>
      <c r="AG168" s="433" t="s">
        <v>24</v>
      </c>
      <c r="AH168" s="838" t="s">
        <v>1243</v>
      </c>
    </row>
    <row r="169" spans="1:34" ht="15.75" thickBot="1">
      <c r="A169" s="358">
        <v>4</v>
      </c>
      <c r="B169" s="433" t="s">
        <v>1188</v>
      </c>
      <c r="C169" s="432" t="s">
        <v>1198</v>
      </c>
      <c r="D169" s="426" t="s">
        <v>1197</v>
      </c>
      <c r="E169" s="433" t="s">
        <v>24</v>
      </c>
      <c r="F169" s="473" t="s">
        <v>330</v>
      </c>
      <c r="G169">
        <v>12</v>
      </c>
      <c r="H169" s="860" t="s">
        <v>987</v>
      </c>
      <c r="I169" s="861" t="s">
        <v>702</v>
      </c>
      <c r="J169" s="862" t="s">
        <v>701</v>
      </c>
      <c r="K169" s="863" t="s">
        <v>24</v>
      </c>
      <c r="L169" s="863" t="s">
        <v>331</v>
      </c>
      <c r="M169" s="864" t="s">
        <v>208</v>
      </c>
      <c r="U169" s="136">
        <v>158</v>
      </c>
      <c r="AC169" s="136">
        <v>158</v>
      </c>
      <c r="AD169" s="458" t="s">
        <v>1063</v>
      </c>
      <c r="AE169" s="514" t="s">
        <v>1125</v>
      </c>
      <c r="AF169" s="426" t="s">
        <v>1124</v>
      </c>
      <c r="AG169" s="433" t="s">
        <v>3</v>
      </c>
      <c r="AH169" s="838" t="s">
        <v>1243</v>
      </c>
    </row>
    <row r="170" spans="1:34">
      <c r="A170" s="358">
        <v>5</v>
      </c>
      <c r="B170" s="458" t="s">
        <v>893</v>
      </c>
      <c r="C170" s="432" t="s">
        <v>661</v>
      </c>
      <c r="D170" s="426" t="s">
        <v>659</v>
      </c>
      <c r="E170" s="433" t="s">
        <v>660</v>
      </c>
      <c r="F170" s="473" t="s">
        <v>330</v>
      </c>
      <c r="G170">
        <v>13</v>
      </c>
      <c r="H170" s="139" t="s">
        <v>938</v>
      </c>
      <c r="I170" s="539" t="s">
        <v>782</v>
      </c>
      <c r="J170" s="447" t="s">
        <v>781</v>
      </c>
      <c r="K170" s="430" t="s">
        <v>24</v>
      </c>
      <c r="L170" s="430" t="s">
        <v>329</v>
      </c>
      <c r="M170" s="419" t="s">
        <v>208</v>
      </c>
      <c r="U170" s="139">
        <v>159</v>
      </c>
      <c r="AC170" s="440">
        <v>159</v>
      </c>
      <c r="AD170" s="457" t="s">
        <v>1064</v>
      </c>
      <c r="AE170" s="432" t="s">
        <v>807</v>
      </c>
      <c r="AF170" s="426" t="s">
        <v>806</v>
      </c>
      <c r="AG170" s="433" t="s">
        <v>24</v>
      </c>
      <c r="AH170" s="838" t="s">
        <v>1243</v>
      </c>
    </row>
    <row r="171" spans="1:34">
      <c r="A171" s="358">
        <v>6</v>
      </c>
      <c r="B171" s="458" t="s">
        <v>977</v>
      </c>
      <c r="C171" s="432"/>
      <c r="D171" s="426" t="s">
        <v>830</v>
      </c>
      <c r="E171" s="433" t="s">
        <v>24</v>
      </c>
      <c r="F171" s="473" t="s">
        <v>331</v>
      </c>
      <c r="G171">
        <v>14</v>
      </c>
      <c r="H171" s="139" t="s">
        <v>939</v>
      </c>
      <c r="I171" s="539" t="s">
        <v>722</v>
      </c>
      <c r="J171" s="447" t="s">
        <v>721</v>
      </c>
      <c r="K171" s="430" t="s">
        <v>24</v>
      </c>
      <c r="L171" s="430" t="s">
        <v>329</v>
      </c>
      <c r="M171" s="837" t="s">
        <v>208</v>
      </c>
      <c r="U171" s="136">
        <v>160</v>
      </c>
      <c r="AC171" s="136">
        <v>160</v>
      </c>
      <c r="AD171" s="458" t="s">
        <v>1165</v>
      </c>
      <c r="AE171" s="571" t="s">
        <v>1166</v>
      </c>
      <c r="AF171" s="572" t="s">
        <v>1167</v>
      </c>
      <c r="AG171" s="573" t="s">
        <v>3</v>
      </c>
      <c r="AH171" s="838" t="s">
        <v>1243</v>
      </c>
    </row>
    <row r="172" spans="1:34">
      <c r="A172" s="358">
        <v>7</v>
      </c>
      <c r="B172" s="458" t="s">
        <v>1031</v>
      </c>
      <c r="C172" s="432" t="s">
        <v>1150</v>
      </c>
      <c r="D172" s="426" t="s">
        <v>1628</v>
      </c>
      <c r="E172" s="433" t="s">
        <v>3</v>
      </c>
      <c r="F172" s="473" t="s">
        <v>1243</v>
      </c>
      <c r="H172" s="499" t="s">
        <v>1615</v>
      </c>
      <c r="I172" s="432"/>
      <c r="J172" s="426" t="s">
        <v>1616</v>
      </c>
      <c r="K172" s="433" t="s">
        <v>3</v>
      </c>
      <c r="L172" s="444" t="s">
        <v>1617</v>
      </c>
      <c r="AD172" s="499" t="s">
        <v>1615</v>
      </c>
      <c r="AE172" s="432"/>
      <c r="AF172" s="426" t="s">
        <v>1616</v>
      </c>
      <c r="AG172" s="433" t="s">
        <v>3</v>
      </c>
      <c r="AH172" s="444" t="s">
        <v>1617</v>
      </c>
    </row>
    <row r="173" spans="1:34">
      <c r="A173" s="358">
        <v>8</v>
      </c>
      <c r="B173" s="458" t="s">
        <v>1006</v>
      </c>
      <c r="C173" s="432" t="s">
        <v>1156</v>
      </c>
      <c r="D173" s="426" t="s">
        <v>1109</v>
      </c>
      <c r="E173" s="433" t="s">
        <v>3</v>
      </c>
      <c r="F173" s="473" t="s">
        <v>646</v>
      </c>
      <c r="H173" s="137"/>
      <c r="I173" s="137"/>
      <c r="J173" s="137"/>
      <c r="K173" s="137"/>
      <c r="L173" s="137"/>
      <c r="M173" s="137"/>
    </row>
    <row r="174" spans="1:34">
      <c r="A174" s="358">
        <v>9</v>
      </c>
      <c r="B174" s="488" t="s">
        <v>950</v>
      </c>
      <c r="C174" s="432" t="s">
        <v>762</v>
      </c>
      <c r="D174" s="426" t="s">
        <v>761</v>
      </c>
      <c r="E174" s="433" t="s">
        <v>3</v>
      </c>
      <c r="F174" s="473" t="s">
        <v>333</v>
      </c>
      <c r="G174" s="87"/>
      <c r="H174" s="137"/>
      <c r="I174" s="137"/>
      <c r="J174" s="137"/>
      <c r="K174" s="137"/>
      <c r="L174" s="137"/>
      <c r="M174" s="137"/>
      <c r="O174" s="137"/>
      <c r="P174" s="137"/>
      <c r="Q174" s="137"/>
      <c r="R174" s="137"/>
      <c r="V174" s="837" t="s">
        <v>1244</v>
      </c>
      <c r="W174" s="837" t="s">
        <v>24</v>
      </c>
      <c r="X174" s="855" t="s">
        <v>1246</v>
      </c>
      <c r="Y174" s="855" t="s">
        <v>1247</v>
      </c>
      <c r="Z174" s="855" t="s">
        <v>1248</v>
      </c>
      <c r="AA174" s="855" t="s">
        <v>1245</v>
      </c>
      <c r="AB174" s="855" t="s">
        <v>1249</v>
      </c>
      <c r="AC174" s="855" t="s">
        <v>1250</v>
      </c>
      <c r="AD174" s="855" t="s">
        <v>1251</v>
      </c>
      <c r="AE174" s="855" t="s">
        <v>1252</v>
      </c>
    </row>
    <row r="175" spans="1:34">
      <c r="A175" s="358">
        <v>10</v>
      </c>
      <c r="B175" s="488" t="s">
        <v>963</v>
      </c>
      <c r="C175" s="432"/>
      <c r="D175" s="426" t="s">
        <v>1629</v>
      </c>
      <c r="E175" s="433" t="s">
        <v>24</v>
      </c>
      <c r="F175" s="473" t="s">
        <v>333</v>
      </c>
      <c r="G175" s="52"/>
      <c r="H175" s="137"/>
      <c r="I175" s="137"/>
      <c r="J175" s="137"/>
      <c r="K175" s="137"/>
      <c r="L175" s="137"/>
      <c r="M175" s="137"/>
      <c r="V175" s="139" t="s">
        <v>1000</v>
      </c>
      <c r="W175" s="539" t="s">
        <v>809</v>
      </c>
      <c r="X175" s="447" t="s">
        <v>808</v>
      </c>
      <c r="Y175" s="430" t="s">
        <v>24</v>
      </c>
      <c r="Z175" s="838" t="s">
        <v>646</v>
      </c>
      <c r="AA175">
        <v>1</v>
      </c>
      <c r="AB175" s="855" t="s">
        <v>2</v>
      </c>
    </row>
    <row r="176" spans="1:34">
      <c r="A176" s="358">
        <v>11</v>
      </c>
      <c r="B176" s="488" t="s">
        <v>953</v>
      </c>
      <c r="C176" s="432" t="s">
        <v>736</v>
      </c>
      <c r="D176" s="426" t="s">
        <v>735</v>
      </c>
      <c r="E176" s="433" t="s">
        <v>24</v>
      </c>
      <c r="F176" s="473" t="s">
        <v>333</v>
      </c>
      <c r="G176" s="87"/>
      <c r="H176" s="137"/>
      <c r="I176" s="137"/>
      <c r="J176" s="137"/>
      <c r="K176" s="137"/>
      <c r="L176" s="137"/>
      <c r="M176" s="137"/>
      <c r="V176" s="139" t="s">
        <v>981</v>
      </c>
      <c r="W176" s="539" t="s">
        <v>766</v>
      </c>
      <c r="X176" s="447" t="s">
        <v>765</v>
      </c>
      <c r="Y176" s="430" t="s">
        <v>3</v>
      </c>
      <c r="Z176" s="838" t="s">
        <v>331</v>
      </c>
      <c r="AA176">
        <v>2</v>
      </c>
      <c r="AB176" s="855" t="s">
        <v>2</v>
      </c>
      <c r="AC176" s="855"/>
      <c r="AD176" s="855" t="s">
        <v>2</v>
      </c>
    </row>
    <row r="177" spans="1:31">
      <c r="A177" s="358">
        <v>12</v>
      </c>
      <c r="B177" s="458" t="s">
        <v>896</v>
      </c>
      <c r="C177" s="432" t="s">
        <v>878</v>
      </c>
      <c r="D177" s="426" t="s">
        <v>877</v>
      </c>
      <c r="E177" s="433" t="s">
        <v>3</v>
      </c>
      <c r="F177" s="473" t="s">
        <v>330</v>
      </c>
      <c r="G177" s="87"/>
      <c r="V177" s="139" t="s">
        <v>974</v>
      </c>
      <c r="W177" s="539" t="s">
        <v>738</v>
      </c>
      <c r="X177" s="447" t="s">
        <v>737</v>
      </c>
      <c r="Y177" s="430" t="s">
        <v>24</v>
      </c>
      <c r="Z177" s="838" t="s">
        <v>331</v>
      </c>
      <c r="AA177">
        <v>1</v>
      </c>
      <c r="AB177" s="855" t="s">
        <v>2</v>
      </c>
      <c r="AC177" s="855" t="s">
        <v>2</v>
      </c>
    </row>
    <row r="178" spans="1:31">
      <c r="A178" s="358">
        <v>13</v>
      </c>
      <c r="B178" s="458" t="s">
        <v>902</v>
      </c>
      <c r="C178" s="432" t="s">
        <v>868</v>
      </c>
      <c r="D178" s="426" t="s">
        <v>867</v>
      </c>
      <c r="E178" s="433" t="s">
        <v>24</v>
      </c>
      <c r="F178" s="473" t="s">
        <v>330</v>
      </c>
      <c r="G178" s="87"/>
      <c r="O178" s="137"/>
      <c r="P178" s="137"/>
      <c r="Q178" s="137"/>
      <c r="R178" s="137"/>
      <c r="V178" s="850" t="s">
        <v>966</v>
      </c>
      <c r="W178" s="539" t="s">
        <v>790</v>
      </c>
      <c r="X178" s="447" t="s">
        <v>789</v>
      </c>
      <c r="Y178" s="430" t="s">
        <v>24</v>
      </c>
      <c r="Z178" s="838" t="s">
        <v>333</v>
      </c>
      <c r="AA178">
        <v>3</v>
      </c>
      <c r="AB178" s="855" t="s">
        <v>2</v>
      </c>
      <c r="AE178" s="855" t="s">
        <v>2</v>
      </c>
    </row>
    <row r="179" spans="1:31">
      <c r="A179" s="358">
        <v>14</v>
      </c>
      <c r="B179" s="458" t="s">
        <v>928</v>
      </c>
      <c r="C179" s="432" t="s">
        <v>730</v>
      </c>
      <c r="D179" s="426" t="s">
        <v>729</v>
      </c>
      <c r="E179" s="433" t="s">
        <v>3</v>
      </c>
      <c r="F179" s="473" t="s">
        <v>329</v>
      </c>
      <c r="G179" s="52"/>
      <c r="V179" s="138" t="s">
        <v>1035</v>
      </c>
      <c r="X179" s="34" t="s">
        <v>1114</v>
      </c>
      <c r="Y179" s="40" t="s">
        <v>24</v>
      </c>
      <c r="Z179" s="838" t="s">
        <v>1243</v>
      </c>
      <c r="AA179">
        <v>1</v>
      </c>
      <c r="AB179" s="855" t="s">
        <v>62</v>
      </c>
    </row>
    <row r="180" spans="1:31">
      <c r="A180" s="358">
        <v>15</v>
      </c>
      <c r="B180" s="499" t="s">
        <v>1615</v>
      </c>
      <c r="C180" s="432"/>
      <c r="D180" s="426" t="s">
        <v>1616</v>
      </c>
      <c r="E180" s="433" t="s">
        <v>3</v>
      </c>
      <c r="F180" s="473" t="s">
        <v>329</v>
      </c>
      <c r="G180" s="87"/>
      <c r="H180" s="137"/>
      <c r="I180" s="137"/>
      <c r="J180" s="137"/>
      <c r="K180" s="137"/>
      <c r="L180" s="137"/>
      <c r="M180" s="137"/>
      <c r="V180" s="139" t="s">
        <v>1001</v>
      </c>
      <c r="W180" s="539" t="s">
        <v>864</v>
      </c>
      <c r="X180" s="447" t="s">
        <v>863</v>
      </c>
      <c r="Y180" s="430" t="s">
        <v>24</v>
      </c>
      <c r="Z180" s="838" t="s">
        <v>646</v>
      </c>
      <c r="AA180">
        <v>3</v>
      </c>
      <c r="AB180" s="855" t="s">
        <v>62</v>
      </c>
      <c r="AC180" s="855" t="s">
        <v>62</v>
      </c>
    </row>
    <row r="181" spans="1:31">
      <c r="A181" s="358">
        <v>16</v>
      </c>
      <c r="B181" s="488" t="s">
        <v>957</v>
      </c>
      <c r="C181" s="432" t="s">
        <v>854</v>
      </c>
      <c r="D181" s="426" t="s">
        <v>853</v>
      </c>
      <c r="E181" s="433" t="s">
        <v>3</v>
      </c>
      <c r="F181" s="473" t="s">
        <v>333</v>
      </c>
      <c r="G181" s="87"/>
      <c r="H181" s="137"/>
      <c r="I181" s="137"/>
      <c r="J181" s="137"/>
      <c r="K181" s="137"/>
      <c r="L181" s="137"/>
      <c r="M181" s="137"/>
      <c r="V181" s="139" t="s">
        <v>911</v>
      </c>
      <c r="W181" s="539" t="s">
        <v>866</v>
      </c>
      <c r="X181" s="447" t="s">
        <v>865</v>
      </c>
      <c r="Y181" s="430" t="s">
        <v>24</v>
      </c>
      <c r="Z181" s="838" t="s">
        <v>330</v>
      </c>
      <c r="AA181">
        <v>2</v>
      </c>
      <c r="AB181" s="855" t="s">
        <v>62</v>
      </c>
      <c r="AE181" s="855" t="s">
        <v>62</v>
      </c>
    </row>
    <row r="182" spans="1:31">
      <c r="A182" s="358">
        <v>17</v>
      </c>
      <c r="B182" s="457" t="s">
        <v>1036</v>
      </c>
      <c r="C182" s="941" t="s">
        <v>1122</v>
      </c>
      <c r="D182" s="442" t="s">
        <v>1086</v>
      </c>
      <c r="E182" s="443" t="s">
        <v>3</v>
      </c>
      <c r="F182" s="473" t="s">
        <v>1243</v>
      </c>
      <c r="G182" s="87"/>
      <c r="H182" s="137"/>
      <c r="I182" s="137"/>
      <c r="J182" s="137"/>
      <c r="K182" s="137"/>
      <c r="L182" s="137"/>
      <c r="M182" s="137"/>
      <c r="V182" s="139" t="s">
        <v>1015</v>
      </c>
      <c r="W182" s="540" t="s">
        <v>1129</v>
      </c>
      <c r="X182" s="447" t="s">
        <v>1090</v>
      </c>
      <c r="Y182" s="430" t="s">
        <v>24</v>
      </c>
      <c r="Z182" s="838" t="s">
        <v>646</v>
      </c>
      <c r="AA182">
        <v>2</v>
      </c>
      <c r="AB182" s="855" t="s">
        <v>104</v>
      </c>
    </row>
    <row r="183" spans="1:31">
      <c r="A183" s="358">
        <v>18</v>
      </c>
      <c r="B183" s="458" t="s">
        <v>933</v>
      </c>
      <c r="C183" s="432"/>
      <c r="D183" s="426" t="s">
        <v>827</v>
      </c>
      <c r="E183" s="433" t="s">
        <v>3</v>
      </c>
      <c r="F183" s="473" t="s">
        <v>329</v>
      </c>
      <c r="G183" s="136"/>
      <c r="H183" s="137"/>
      <c r="I183" s="137"/>
      <c r="J183" s="137"/>
      <c r="K183" s="137"/>
      <c r="L183" s="137"/>
      <c r="M183" s="137"/>
      <c r="V183" s="139" t="s">
        <v>920</v>
      </c>
      <c r="W183" s="539" t="s">
        <v>840</v>
      </c>
      <c r="X183" s="447" t="s">
        <v>839</v>
      </c>
      <c r="Y183" s="430" t="s">
        <v>24</v>
      </c>
      <c r="Z183" s="430" t="s">
        <v>329</v>
      </c>
      <c r="AA183">
        <v>1</v>
      </c>
      <c r="AB183" s="855" t="s">
        <v>104</v>
      </c>
      <c r="AC183" s="855" t="s">
        <v>104</v>
      </c>
    </row>
    <row r="184" spans="1:31">
      <c r="A184" s="358">
        <v>19</v>
      </c>
      <c r="B184" s="458" t="s">
        <v>986</v>
      </c>
      <c r="C184" s="432" t="s">
        <v>874</v>
      </c>
      <c r="D184" s="426" t="s">
        <v>873</v>
      </c>
      <c r="E184" s="433" t="s">
        <v>3</v>
      </c>
      <c r="F184" s="473" t="s">
        <v>331</v>
      </c>
      <c r="G184" s="136"/>
      <c r="H184" s="137"/>
      <c r="I184" s="137"/>
      <c r="J184" s="137"/>
      <c r="K184" s="137"/>
      <c r="L184" s="137"/>
      <c r="M184" s="137"/>
      <c r="V184" s="139" t="s">
        <v>895</v>
      </c>
      <c r="W184" s="428" t="s">
        <v>870</v>
      </c>
      <c r="X184" s="34" t="s">
        <v>869</v>
      </c>
      <c r="Y184" s="40" t="s">
        <v>24</v>
      </c>
      <c r="Z184" s="838" t="s">
        <v>330</v>
      </c>
      <c r="AA184">
        <v>3</v>
      </c>
      <c r="AB184" s="855" t="s">
        <v>104</v>
      </c>
      <c r="AE184" s="855" t="s">
        <v>104</v>
      </c>
    </row>
    <row r="185" spans="1:31">
      <c r="A185" s="358">
        <v>20</v>
      </c>
      <c r="B185" s="458" t="s">
        <v>905</v>
      </c>
      <c r="C185" s="432"/>
      <c r="D185" s="426" t="s">
        <v>826</v>
      </c>
      <c r="E185" s="433" t="s">
        <v>3</v>
      </c>
      <c r="F185" s="473" t="s">
        <v>330</v>
      </c>
      <c r="G185" s="87"/>
      <c r="H185" s="137"/>
      <c r="I185" s="137"/>
      <c r="J185" s="137"/>
      <c r="K185" s="137"/>
      <c r="L185" s="137"/>
      <c r="M185" s="137"/>
      <c r="V185" s="139" t="s">
        <v>900</v>
      </c>
      <c r="W185" s="428"/>
      <c r="X185" s="34" t="s">
        <v>684</v>
      </c>
      <c r="Y185" s="40" t="s">
        <v>24</v>
      </c>
      <c r="Z185" s="838" t="s">
        <v>330</v>
      </c>
      <c r="AA185">
        <v>1</v>
      </c>
      <c r="AB185" s="855" t="s">
        <v>104</v>
      </c>
      <c r="AD185" s="855" t="s">
        <v>104</v>
      </c>
    </row>
    <row r="186" spans="1:31">
      <c r="A186" s="358">
        <v>21</v>
      </c>
      <c r="B186" s="458" t="s">
        <v>934</v>
      </c>
      <c r="C186" s="432" t="s">
        <v>704</v>
      </c>
      <c r="D186" s="426" t="s">
        <v>703</v>
      </c>
      <c r="E186" s="433" t="s">
        <v>24</v>
      </c>
      <c r="F186" s="473" t="s">
        <v>329</v>
      </c>
      <c r="G186" s="52"/>
      <c r="H186" s="137"/>
      <c r="I186" s="137"/>
      <c r="J186" s="137"/>
      <c r="K186" s="137"/>
      <c r="L186" s="137"/>
      <c r="M186" s="137"/>
      <c r="V186" s="851" t="s">
        <v>1062</v>
      </c>
      <c r="W186" s="539" t="s">
        <v>1154</v>
      </c>
      <c r="X186" s="447" t="s">
        <v>1107</v>
      </c>
      <c r="Y186" s="430" t="s">
        <v>24</v>
      </c>
      <c r="Z186" s="838" t="s">
        <v>1243</v>
      </c>
      <c r="AA186">
        <v>2</v>
      </c>
      <c r="AB186" s="855" t="s">
        <v>163</v>
      </c>
    </row>
    <row r="187" spans="1:31">
      <c r="A187" s="358">
        <v>22</v>
      </c>
      <c r="B187" s="458" t="s">
        <v>1014</v>
      </c>
      <c r="C187" s="432" t="s">
        <v>813</v>
      </c>
      <c r="D187" s="426" t="s">
        <v>812</v>
      </c>
      <c r="E187" s="433" t="s">
        <v>24</v>
      </c>
      <c r="F187" s="473" t="s">
        <v>646</v>
      </c>
      <c r="G187" s="87"/>
      <c r="H187" s="137"/>
      <c r="I187" s="137"/>
      <c r="J187" s="137"/>
      <c r="K187" s="137"/>
      <c r="L187" s="137"/>
      <c r="M187" s="137"/>
      <c r="V187" s="850" t="s">
        <v>963</v>
      </c>
      <c r="W187" s="539"/>
      <c r="X187" s="447" t="s">
        <v>832</v>
      </c>
      <c r="Y187" s="430" t="s">
        <v>24</v>
      </c>
      <c r="Z187" s="838" t="s">
        <v>333</v>
      </c>
      <c r="AA187">
        <v>2</v>
      </c>
      <c r="AB187" s="855" t="s">
        <v>163</v>
      </c>
      <c r="AC187" s="855" t="s">
        <v>163</v>
      </c>
    </row>
    <row r="188" spans="1:31">
      <c r="A188" s="358">
        <v>23</v>
      </c>
      <c r="B188" s="458" t="s">
        <v>910</v>
      </c>
      <c r="C188" s="432" t="s">
        <v>700</v>
      </c>
      <c r="D188" s="426" t="s">
        <v>699</v>
      </c>
      <c r="E188" s="433" t="s">
        <v>24</v>
      </c>
      <c r="F188" s="473" t="s">
        <v>330</v>
      </c>
      <c r="G188" s="87"/>
      <c r="O188" s="137"/>
      <c r="P188" s="137"/>
      <c r="Q188" s="137"/>
      <c r="R188" s="137"/>
      <c r="V188" s="139" t="s">
        <v>941</v>
      </c>
      <c r="W188" s="539" t="s">
        <v>842</v>
      </c>
      <c r="X188" s="447" t="s">
        <v>841</v>
      </c>
      <c r="Y188" s="430" t="s">
        <v>24</v>
      </c>
      <c r="Z188" s="430" t="s">
        <v>329</v>
      </c>
      <c r="AA188">
        <v>3</v>
      </c>
      <c r="AB188" s="855" t="s">
        <v>163</v>
      </c>
      <c r="AE188" s="855" t="s">
        <v>163</v>
      </c>
    </row>
    <row r="189" spans="1:31">
      <c r="A189" s="358">
        <v>24</v>
      </c>
      <c r="B189" s="458" t="s">
        <v>989</v>
      </c>
      <c r="C189" s="432"/>
      <c r="D189" s="426" t="s">
        <v>829</v>
      </c>
      <c r="E189" s="433" t="s">
        <v>24</v>
      </c>
      <c r="F189" s="473" t="s">
        <v>331</v>
      </c>
      <c r="G189" s="87"/>
      <c r="V189" s="139" t="s">
        <v>933</v>
      </c>
      <c r="W189" s="539"/>
      <c r="X189" s="447" t="s">
        <v>827</v>
      </c>
      <c r="Y189" s="430" t="s">
        <v>3</v>
      </c>
      <c r="Z189" s="430" t="s">
        <v>329</v>
      </c>
      <c r="AA189">
        <v>2</v>
      </c>
      <c r="AB189" s="855" t="s">
        <v>163</v>
      </c>
      <c r="AD189" s="855" t="s">
        <v>163</v>
      </c>
    </row>
    <row r="190" spans="1:31">
      <c r="A190" s="358">
        <v>25</v>
      </c>
      <c r="B190" s="458" t="s">
        <v>935</v>
      </c>
      <c r="C190" s="432" t="s">
        <v>758</v>
      </c>
      <c r="D190" s="426" t="s">
        <v>757</v>
      </c>
      <c r="E190" s="433" t="s">
        <v>3</v>
      </c>
      <c r="F190" s="473" t="s">
        <v>329</v>
      </c>
      <c r="G190" s="87"/>
      <c r="H190" s="137"/>
      <c r="I190" s="137"/>
      <c r="J190" s="137"/>
      <c r="K190" s="137"/>
      <c r="L190" s="137"/>
      <c r="M190" s="137"/>
      <c r="V190" s="851" t="s">
        <v>1034</v>
      </c>
      <c r="W190" s="540" t="s">
        <v>1131</v>
      </c>
      <c r="X190" s="447" t="s">
        <v>1091</v>
      </c>
      <c r="Y190" s="430" t="s">
        <v>24</v>
      </c>
      <c r="Z190" s="838" t="s">
        <v>1243</v>
      </c>
      <c r="AA190">
        <v>3</v>
      </c>
      <c r="AB190" s="855" t="s">
        <v>208</v>
      </c>
      <c r="AD190" s="855" t="s">
        <v>208</v>
      </c>
    </row>
    <row r="191" spans="1:31">
      <c r="A191" s="358">
        <v>26</v>
      </c>
      <c r="B191" s="458" t="s">
        <v>1041</v>
      </c>
      <c r="C191" s="432" t="s">
        <v>1147</v>
      </c>
      <c r="D191" s="426" t="s">
        <v>1101</v>
      </c>
      <c r="E191" s="433" t="s">
        <v>3</v>
      </c>
      <c r="F191" s="473" t="s">
        <v>1243</v>
      </c>
      <c r="G191" s="87"/>
      <c r="O191" s="137"/>
      <c r="P191" s="137"/>
      <c r="Q191" s="137"/>
      <c r="R191" s="137"/>
      <c r="V191" s="139" t="s">
        <v>987</v>
      </c>
      <c r="W191" s="539" t="s">
        <v>702</v>
      </c>
      <c r="X191" s="447" t="s">
        <v>701</v>
      </c>
      <c r="Y191" s="430" t="s">
        <v>24</v>
      </c>
      <c r="Z191" s="838" t="s">
        <v>331</v>
      </c>
      <c r="AA191">
        <v>3</v>
      </c>
      <c r="AB191" s="855" t="s">
        <v>208</v>
      </c>
      <c r="AC191" s="855" t="s">
        <v>208</v>
      </c>
      <c r="AD191" s="855" t="s">
        <v>62</v>
      </c>
    </row>
    <row r="192" spans="1:31">
      <c r="A192" s="358">
        <v>27</v>
      </c>
      <c r="B192" s="458" t="s">
        <v>991</v>
      </c>
      <c r="C192" s="432" t="s">
        <v>698</v>
      </c>
      <c r="D192" s="426" t="s">
        <v>697</v>
      </c>
      <c r="E192" s="433" t="s">
        <v>3</v>
      </c>
      <c r="F192" s="473" t="s">
        <v>331</v>
      </c>
      <c r="O192" s="137"/>
      <c r="P192" s="137"/>
      <c r="Q192" s="137"/>
      <c r="R192" s="137"/>
      <c r="V192" s="850" t="s">
        <v>946</v>
      </c>
      <c r="W192" s="539" t="s">
        <v>848</v>
      </c>
      <c r="X192" s="447" t="s">
        <v>847</v>
      </c>
      <c r="Y192" s="430" t="s">
        <v>3</v>
      </c>
      <c r="Z192" s="838" t="s">
        <v>333</v>
      </c>
      <c r="AA192">
        <v>1</v>
      </c>
      <c r="AB192" s="855" t="s">
        <v>208</v>
      </c>
    </row>
    <row r="193" spans="1:30">
      <c r="A193" s="358">
        <v>28</v>
      </c>
      <c r="B193" s="457" t="s">
        <v>1062</v>
      </c>
      <c r="C193" s="432" t="s">
        <v>1154</v>
      </c>
      <c r="D193" s="426" t="s">
        <v>1107</v>
      </c>
      <c r="E193" s="433" t="s">
        <v>24</v>
      </c>
      <c r="F193" s="473" t="s">
        <v>1243</v>
      </c>
      <c r="H193" s="137"/>
      <c r="I193" s="137"/>
      <c r="J193" s="137"/>
      <c r="K193" s="137"/>
      <c r="L193" s="137"/>
      <c r="M193" s="137"/>
      <c r="V193" s="139" t="s">
        <v>327</v>
      </c>
      <c r="W193" s="431" t="s">
        <v>20</v>
      </c>
      <c r="X193" s="469" t="s">
        <v>1246</v>
      </c>
      <c r="Y193" s="431" t="s">
        <v>1247</v>
      </c>
      <c r="Z193" s="856" t="s">
        <v>645</v>
      </c>
      <c r="AA193" t="s">
        <v>1253</v>
      </c>
      <c r="AB193" s="855" t="s">
        <v>1249</v>
      </c>
    </row>
    <row r="194" spans="1:30">
      <c r="A194" s="358">
        <v>29</v>
      </c>
      <c r="B194" s="458" t="s">
        <v>1018</v>
      </c>
      <c r="C194" s="432" t="s">
        <v>1140</v>
      </c>
      <c r="D194" s="426" t="s">
        <v>1098</v>
      </c>
      <c r="E194" s="433" t="s">
        <v>3</v>
      </c>
      <c r="F194" s="473" t="s">
        <v>646</v>
      </c>
      <c r="H194" s="137"/>
      <c r="I194" s="137"/>
      <c r="J194" s="137"/>
      <c r="K194" s="137"/>
      <c r="L194" s="137"/>
      <c r="M194" s="137"/>
      <c r="V194" s="139" t="s">
        <v>985</v>
      </c>
      <c r="W194" s="539" t="s">
        <v>741</v>
      </c>
      <c r="X194" s="447" t="s">
        <v>885</v>
      </c>
      <c r="Y194" s="430" t="s">
        <v>3</v>
      </c>
      <c r="Z194" s="838" t="s">
        <v>331</v>
      </c>
      <c r="AA194">
        <v>20</v>
      </c>
      <c r="AB194" t="s">
        <v>2</v>
      </c>
    </row>
    <row r="195" spans="1:30">
      <c r="A195" s="358">
        <v>30</v>
      </c>
      <c r="B195" s="458" t="s">
        <v>1019</v>
      </c>
      <c r="C195" s="432" t="s">
        <v>683</v>
      </c>
      <c r="D195" s="426" t="s">
        <v>682</v>
      </c>
      <c r="E195" s="433" t="s">
        <v>24</v>
      </c>
      <c r="F195" s="473" t="s">
        <v>646</v>
      </c>
      <c r="V195" s="139" t="s">
        <v>913</v>
      </c>
      <c r="W195" s="428" t="s">
        <v>834</v>
      </c>
      <c r="X195" s="34" t="s">
        <v>833</v>
      </c>
      <c r="Y195" s="40" t="s">
        <v>3</v>
      </c>
      <c r="Z195" s="838" t="s">
        <v>330</v>
      </c>
      <c r="AA195">
        <v>15</v>
      </c>
      <c r="AB195" t="s">
        <v>2</v>
      </c>
      <c r="AC195" t="s">
        <v>2</v>
      </c>
    </row>
    <row r="196" spans="1:30">
      <c r="A196" s="358">
        <v>31</v>
      </c>
      <c r="B196" s="488" t="s">
        <v>967</v>
      </c>
      <c r="C196" s="432" t="s">
        <v>710</v>
      </c>
      <c r="D196" s="426" t="s">
        <v>709</v>
      </c>
      <c r="E196" s="433" t="s">
        <v>24</v>
      </c>
      <c r="F196" s="473" t="s">
        <v>333</v>
      </c>
      <c r="V196" s="139" t="s">
        <v>992</v>
      </c>
      <c r="W196" s="539" t="s">
        <v>694</v>
      </c>
      <c r="X196" s="447" t="s">
        <v>693</v>
      </c>
      <c r="Y196" s="430" t="s">
        <v>3</v>
      </c>
      <c r="Z196" s="838" t="s">
        <v>331</v>
      </c>
      <c r="AA196">
        <v>17</v>
      </c>
      <c r="AB196" s="855" t="s">
        <v>2</v>
      </c>
      <c r="AC196" t="s">
        <v>2</v>
      </c>
    </row>
    <row r="197" spans="1:30" ht="15.75" thickBot="1">
      <c r="A197" s="386">
        <v>32</v>
      </c>
      <c r="B197" s="458" t="s">
        <v>941</v>
      </c>
      <c r="C197" s="432" t="s">
        <v>842</v>
      </c>
      <c r="D197" s="426" t="s">
        <v>841</v>
      </c>
      <c r="E197" s="433" t="s">
        <v>24</v>
      </c>
      <c r="F197" s="532" t="s">
        <v>329</v>
      </c>
      <c r="I197" s="776" t="s">
        <v>942</v>
      </c>
      <c r="J197" s="985" t="s">
        <v>750</v>
      </c>
      <c r="K197" s="986" t="s">
        <v>749</v>
      </c>
      <c r="L197" s="987" t="s">
        <v>24</v>
      </c>
      <c r="M197" s="412" t="s">
        <v>329</v>
      </c>
      <c r="V197" s="139" t="s">
        <v>970</v>
      </c>
      <c r="W197" s="539" t="s">
        <v>745</v>
      </c>
      <c r="X197" s="447" t="s">
        <v>744</v>
      </c>
      <c r="Y197" s="430" t="s">
        <v>3</v>
      </c>
      <c r="Z197" s="838" t="s">
        <v>331</v>
      </c>
      <c r="AA197">
        <v>16</v>
      </c>
      <c r="AB197" t="s">
        <v>62</v>
      </c>
      <c r="AC197" t="s">
        <v>62</v>
      </c>
    </row>
    <row r="198" spans="1:30">
      <c r="A198" s="357" t="s">
        <v>24</v>
      </c>
      <c r="B198" s="389">
        <v>15</v>
      </c>
      <c r="C198" s="390"/>
      <c r="D198" s="390"/>
      <c r="E198" s="389"/>
      <c r="F198" s="391"/>
      <c r="V198" s="139" t="s">
        <v>917</v>
      </c>
      <c r="W198" s="428" t="s">
        <v>726</v>
      </c>
      <c r="X198" s="34" t="s">
        <v>725</v>
      </c>
      <c r="Y198" s="40" t="s">
        <v>3</v>
      </c>
      <c r="Z198" s="838" t="s">
        <v>330</v>
      </c>
      <c r="AA198">
        <v>12</v>
      </c>
      <c r="AB198" t="s">
        <v>62</v>
      </c>
      <c r="AD198" t="s">
        <v>62</v>
      </c>
    </row>
    <row r="199" spans="1:30" ht="15.75" thickBot="1">
      <c r="A199" s="359" t="s">
        <v>3</v>
      </c>
      <c r="B199" s="381">
        <v>17</v>
      </c>
      <c r="C199" s="392"/>
      <c r="D199" s="392"/>
      <c r="E199" s="381"/>
      <c r="F199" s="393"/>
      <c r="V199" s="139" t="s">
        <v>892</v>
      </c>
      <c r="X199" s="210" t="s">
        <v>1059</v>
      </c>
      <c r="Y199" s="56" t="s">
        <v>3</v>
      </c>
      <c r="Z199" s="838" t="s">
        <v>330</v>
      </c>
      <c r="AA199">
        <v>22</v>
      </c>
      <c r="AB199" t="s">
        <v>62</v>
      </c>
    </row>
    <row r="200" spans="1:30">
      <c r="A200" s="103"/>
      <c r="B200" s="116"/>
      <c r="C200" s="117"/>
      <c r="D200" s="182"/>
      <c r="E200" s="810" t="s">
        <v>1242</v>
      </c>
      <c r="F200" s="117"/>
      <c r="V200" s="139" t="s">
        <v>990</v>
      </c>
      <c r="W200" s="539" t="s">
        <v>747</v>
      </c>
      <c r="X200" s="447" t="s">
        <v>746</v>
      </c>
      <c r="Y200" s="430" t="s">
        <v>3</v>
      </c>
      <c r="Z200" s="838" t="s">
        <v>331</v>
      </c>
      <c r="AA200">
        <v>16</v>
      </c>
      <c r="AB200" s="855" t="s">
        <v>104</v>
      </c>
      <c r="AC200" t="s">
        <v>104</v>
      </c>
    </row>
    <row r="201" spans="1:30">
      <c r="A201" s="103"/>
      <c r="B201" s="103"/>
      <c r="C201" s="115"/>
      <c r="D201" s="115"/>
      <c r="E201" s="115" t="s">
        <v>84</v>
      </c>
      <c r="F201" s="115"/>
      <c r="V201" s="139" t="s">
        <v>924</v>
      </c>
      <c r="W201" s="539" t="s">
        <v>667</v>
      </c>
      <c r="X201" s="447" t="s">
        <v>666</v>
      </c>
      <c r="Y201" s="430" t="s">
        <v>3</v>
      </c>
      <c r="Z201" s="430" t="s">
        <v>329</v>
      </c>
      <c r="AA201">
        <v>12</v>
      </c>
      <c r="AB201" t="s">
        <v>104</v>
      </c>
      <c r="AD201" t="s">
        <v>104</v>
      </c>
    </row>
    <row r="202" spans="1:30">
      <c r="A202" s="103"/>
      <c r="B202" s="103"/>
      <c r="C202" s="115"/>
      <c r="D202" s="115"/>
      <c r="E202" s="115"/>
      <c r="F202" s="115"/>
      <c r="V202" s="139" t="s">
        <v>886</v>
      </c>
      <c r="W202" s="428" t="s">
        <v>819</v>
      </c>
      <c r="X202" s="34" t="s">
        <v>818</v>
      </c>
      <c r="Y202" s="40" t="s">
        <v>3</v>
      </c>
      <c r="Z202" s="838" t="s">
        <v>330</v>
      </c>
      <c r="AA202">
        <v>23</v>
      </c>
      <c r="AB202" t="s">
        <v>104</v>
      </c>
    </row>
    <row r="203" spans="1:30" ht="33" customHeight="1">
      <c r="A203" s="103"/>
      <c r="B203" s="103"/>
      <c r="C203" s="115"/>
      <c r="D203" s="115"/>
      <c r="E203" s="115"/>
      <c r="F203" s="115"/>
      <c r="V203" s="851" t="s">
        <v>1036</v>
      </c>
      <c r="W203" s="541" t="s">
        <v>1122</v>
      </c>
      <c r="X203" s="210" t="s">
        <v>1086</v>
      </c>
      <c r="Y203" s="56" t="s">
        <v>3</v>
      </c>
      <c r="Z203" s="838" t="s">
        <v>1243</v>
      </c>
      <c r="AA203">
        <v>17</v>
      </c>
      <c r="AB203" s="855" t="s">
        <v>163</v>
      </c>
      <c r="AC203" t="s">
        <v>163</v>
      </c>
    </row>
    <row r="204" spans="1:30">
      <c r="E204" s="121" t="str">
        <f>WLKLS!B10</f>
        <v>ABDUL ROHMAN S.Pd</v>
      </c>
      <c r="V204" s="139" t="s">
        <v>1012</v>
      </c>
      <c r="W204" s="539" t="s">
        <v>1158</v>
      </c>
      <c r="X204" s="447" t="s">
        <v>1112</v>
      </c>
      <c r="Y204" s="430" t="s">
        <v>3</v>
      </c>
      <c r="Z204" s="838" t="s">
        <v>646</v>
      </c>
      <c r="AA204">
        <v>13</v>
      </c>
      <c r="AB204" s="855" t="s">
        <v>163</v>
      </c>
      <c r="AD204" t="s">
        <v>163</v>
      </c>
    </row>
    <row r="205" spans="1:30">
      <c r="E205" s="185" t="str">
        <f>WLKLS!C10</f>
        <v>NIP. 198903052023211019</v>
      </c>
      <c r="V205" s="139" t="s">
        <v>991</v>
      </c>
      <c r="W205" s="539" t="s">
        <v>698</v>
      </c>
      <c r="X205" s="447" t="s">
        <v>697</v>
      </c>
      <c r="Y205" s="430" t="s">
        <v>3</v>
      </c>
      <c r="Z205" s="838" t="s">
        <v>331</v>
      </c>
      <c r="AA205">
        <v>26</v>
      </c>
      <c r="AB205" t="s">
        <v>163</v>
      </c>
    </row>
    <row r="206" spans="1:30" ht="15.75" customHeight="1">
      <c r="V206" s="139" t="s">
        <v>973</v>
      </c>
      <c r="W206" s="539" t="s">
        <v>800</v>
      </c>
      <c r="X206" s="447" t="s">
        <v>799</v>
      </c>
      <c r="Y206" s="430" t="s">
        <v>3</v>
      </c>
      <c r="Z206" s="838" t="s">
        <v>331</v>
      </c>
      <c r="AA206">
        <v>31</v>
      </c>
      <c r="AB206" t="s">
        <v>208</v>
      </c>
    </row>
    <row r="207" spans="1:30">
      <c r="A207" s="1018" t="s">
        <v>0</v>
      </c>
      <c r="B207" s="1018"/>
      <c r="C207" s="1018"/>
      <c r="D207" s="1018"/>
      <c r="E207" s="1018"/>
      <c r="F207" s="1018"/>
      <c r="V207" s="139" t="s">
        <v>937</v>
      </c>
      <c r="W207" s="539" t="s">
        <v>696</v>
      </c>
      <c r="X207" s="447" t="s">
        <v>695</v>
      </c>
      <c r="Y207" s="430" t="s">
        <v>660</v>
      </c>
      <c r="Z207" s="430" t="s">
        <v>329</v>
      </c>
      <c r="AA207">
        <v>13</v>
      </c>
      <c r="AB207" t="s">
        <v>208</v>
      </c>
      <c r="AD207" t="s">
        <v>208</v>
      </c>
    </row>
    <row r="208" spans="1:30">
      <c r="A208" s="1018" t="s">
        <v>1</v>
      </c>
      <c r="B208" s="1018"/>
      <c r="C208" s="1018"/>
      <c r="D208" s="1018"/>
      <c r="E208" s="1018"/>
      <c r="F208" s="1018"/>
    </row>
    <row r="209" spans="1:21">
      <c r="A209" s="1018" t="s">
        <v>4</v>
      </c>
      <c r="B209" s="1018"/>
      <c r="C209" s="1018"/>
      <c r="D209" s="1018"/>
      <c r="E209" s="1018"/>
      <c r="F209" s="1018"/>
    </row>
    <row r="210" spans="1:21">
      <c r="A210" s="1019" t="s">
        <v>6</v>
      </c>
      <c r="B210" s="1019"/>
      <c r="C210" s="1019"/>
      <c r="D210" s="1019"/>
      <c r="E210" s="1019"/>
      <c r="F210" s="1019"/>
    </row>
    <row r="211" spans="1:21" ht="15.75" thickBot="1">
      <c r="A211" s="1020" t="s">
        <v>7</v>
      </c>
      <c r="B211" s="1020"/>
      <c r="C211" s="1020"/>
      <c r="D211" s="1020"/>
      <c r="E211" s="1020"/>
      <c r="F211" s="1020"/>
    </row>
    <row r="212" spans="1:21" ht="15.75" thickTop="1">
      <c r="A212" s="97"/>
      <c r="B212" s="98"/>
      <c r="C212" s="97"/>
      <c r="D212" s="97"/>
      <c r="E212" s="98"/>
      <c r="F212" s="97"/>
    </row>
    <row r="213" spans="1:21" ht="15.75">
      <c r="A213" s="1021" t="s">
        <v>1050</v>
      </c>
      <c r="B213" s="1021"/>
      <c r="C213" s="1021"/>
      <c r="D213" s="1021"/>
      <c r="E213" s="1021"/>
      <c r="F213" s="1021"/>
    </row>
    <row r="214" spans="1:21" ht="15.75">
      <c r="A214" s="1022" t="s">
        <v>1241</v>
      </c>
      <c r="B214" s="1022"/>
      <c r="C214" s="1022"/>
      <c r="D214" s="1022"/>
      <c r="E214" s="1022"/>
      <c r="F214" s="1022"/>
    </row>
    <row r="215" spans="1:21" ht="15.75" thickBot="1">
      <c r="A215" s="100"/>
      <c r="B215" s="100"/>
      <c r="C215" s="101"/>
      <c r="D215" s="173"/>
      <c r="E215" s="103"/>
      <c r="F215" s="117"/>
    </row>
    <row r="216" spans="1:21" ht="16.5" thickBot="1">
      <c r="A216" s="1023" t="s">
        <v>13</v>
      </c>
      <c r="B216" s="1024"/>
      <c r="C216" s="1025"/>
      <c r="D216" s="1028" t="s">
        <v>14</v>
      </c>
      <c r="E216" s="1026" t="s">
        <v>15</v>
      </c>
      <c r="F216" s="1028" t="s">
        <v>326</v>
      </c>
    </row>
    <row r="217" spans="1:21" ht="16.5" thickBot="1">
      <c r="A217" s="126" t="s">
        <v>18</v>
      </c>
      <c r="B217" s="126" t="s">
        <v>19</v>
      </c>
      <c r="C217" s="126" t="s">
        <v>20</v>
      </c>
      <c r="D217" s="1030"/>
      <c r="E217" s="1031"/>
      <c r="F217" s="1030"/>
    </row>
    <row r="218" spans="1:21">
      <c r="A218" s="404">
        <v>1</v>
      </c>
      <c r="B218" s="936" t="s">
        <v>946</v>
      </c>
      <c r="C218" s="937" t="s">
        <v>848</v>
      </c>
      <c r="D218" s="875" t="s">
        <v>847</v>
      </c>
      <c r="E218" s="938" t="s">
        <v>3</v>
      </c>
      <c r="F218" s="939" t="s">
        <v>333</v>
      </c>
      <c r="G218" s="87"/>
      <c r="H218" s="139"/>
      <c r="I218" s="139"/>
      <c r="J218" s="139"/>
      <c r="K218" s="136"/>
      <c r="L218" s="210"/>
      <c r="M218" s="56"/>
      <c r="N218" s="210"/>
      <c r="Q218" s="139"/>
      <c r="R218" s="372"/>
      <c r="S218" s="210"/>
      <c r="T218" s="56"/>
      <c r="U218" s="210"/>
    </row>
    <row r="219" spans="1:21">
      <c r="A219" s="358">
        <v>2</v>
      </c>
      <c r="B219" s="458" t="s">
        <v>1027</v>
      </c>
      <c r="C219" s="432" t="s">
        <v>1155</v>
      </c>
      <c r="D219" s="426" t="s">
        <v>1108</v>
      </c>
      <c r="E219" s="433" t="s">
        <v>24</v>
      </c>
      <c r="F219" s="473" t="s">
        <v>1243</v>
      </c>
      <c r="G219" s="87"/>
      <c r="H219" s="138"/>
      <c r="I219" s="138"/>
      <c r="J219" s="138"/>
      <c r="K219" s="418"/>
      <c r="L219" s="419"/>
      <c r="M219" s="56"/>
      <c r="N219" s="56"/>
      <c r="Q219" s="139"/>
      <c r="R219" s="372"/>
      <c r="S219" s="210"/>
      <c r="T219" s="56"/>
      <c r="U219" s="210"/>
    </row>
    <row r="220" spans="1:21">
      <c r="A220" s="358">
        <v>3</v>
      </c>
      <c r="B220" s="458" t="s">
        <v>971</v>
      </c>
      <c r="C220" s="432" t="s">
        <v>788</v>
      </c>
      <c r="D220" s="426" t="s">
        <v>787</v>
      </c>
      <c r="E220" s="433" t="s">
        <v>24</v>
      </c>
      <c r="F220" s="473" t="s">
        <v>331</v>
      </c>
      <c r="G220" s="52"/>
      <c r="H220" s="138"/>
      <c r="I220" s="138"/>
      <c r="J220" s="138"/>
      <c r="K220" s="418"/>
      <c r="L220" s="419"/>
      <c r="M220" s="56"/>
      <c r="N220" s="56"/>
      <c r="Q220" s="139"/>
      <c r="R220" s="372"/>
      <c r="S220" s="210"/>
      <c r="T220" s="56"/>
      <c r="U220" s="210"/>
    </row>
    <row r="221" spans="1:21">
      <c r="A221" s="358">
        <v>4</v>
      </c>
      <c r="B221" s="458" t="s">
        <v>973</v>
      </c>
      <c r="C221" s="432" t="s">
        <v>800</v>
      </c>
      <c r="D221" s="426" t="s">
        <v>799</v>
      </c>
      <c r="E221" s="433" t="s">
        <v>3</v>
      </c>
      <c r="F221" s="473" t="s">
        <v>331</v>
      </c>
      <c r="G221" s="52"/>
      <c r="H221" s="52"/>
      <c r="I221" s="52"/>
      <c r="J221" s="52"/>
      <c r="Q221" s="139"/>
      <c r="R221" s="372"/>
      <c r="S221" s="210"/>
      <c r="T221" s="56"/>
      <c r="U221" s="210"/>
    </row>
    <row r="222" spans="1:21">
      <c r="A222" s="358">
        <v>5</v>
      </c>
      <c r="B222" s="458" t="s">
        <v>1004</v>
      </c>
      <c r="C222" s="941" t="s">
        <v>1120</v>
      </c>
      <c r="D222" s="442" t="s">
        <v>1119</v>
      </c>
      <c r="E222" s="443" t="s">
        <v>24</v>
      </c>
      <c r="F222" s="473" t="s">
        <v>646</v>
      </c>
      <c r="G222" s="87"/>
      <c r="Q222" s="139"/>
      <c r="R222" s="372"/>
      <c r="S222" s="210"/>
      <c r="T222" s="56"/>
      <c r="U222" s="210"/>
    </row>
    <row r="223" spans="1:21">
      <c r="A223" s="358">
        <v>6</v>
      </c>
      <c r="B223" s="458" t="s">
        <v>1007</v>
      </c>
      <c r="C223" s="432" t="s">
        <v>1135</v>
      </c>
      <c r="D223" s="426" t="s">
        <v>1094</v>
      </c>
      <c r="E223" s="433" t="s">
        <v>3</v>
      </c>
      <c r="F223" s="473" t="s">
        <v>646</v>
      </c>
      <c r="G223" s="52"/>
      <c r="Q223" s="139"/>
      <c r="R223" s="372"/>
      <c r="S223" s="210"/>
      <c r="T223" s="56"/>
      <c r="U223" s="210"/>
    </row>
    <row r="224" spans="1:21">
      <c r="A224" s="358">
        <v>7</v>
      </c>
      <c r="B224" s="488" t="s">
        <v>951</v>
      </c>
      <c r="C224" s="432" t="s">
        <v>774</v>
      </c>
      <c r="D224" s="426" t="s">
        <v>773</v>
      </c>
      <c r="E224" s="433" t="s">
        <v>3</v>
      </c>
      <c r="F224" s="473" t="s">
        <v>333</v>
      </c>
      <c r="G224" s="87"/>
      <c r="Q224" s="139"/>
      <c r="R224" s="372"/>
      <c r="S224" s="210"/>
      <c r="T224" s="56"/>
      <c r="U224" s="210"/>
    </row>
    <row r="225" spans="1:21">
      <c r="A225" s="358">
        <v>8</v>
      </c>
      <c r="B225" s="458" t="s">
        <v>899</v>
      </c>
      <c r="C225" s="432"/>
      <c r="D225" s="426" t="s">
        <v>824</v>
      </c>
      <c r="E225" s="433" t="s">
        <v>3</v>
      </c>
      <c r="F225" s="473" t="s">
        <v>330</v>
      </c>
      <c r="G225" s="87"/>
      <c r="Q225" s="139"/>
      <c r="R225" s="814"/>
      <c r="S225" s="210"/>
      <c r="T225" s="56"/>
      <c r="U225" s="210"/>
    </row>
    <row r="226" spans="1:21">
      <c r="A226" s="358">
        <v>9</v>
      </c>
      <c r="B226" s="488" t="s">
        <v>954</v>
      </c>
      <c r="C226" s="432" t="s">
        <v>708</v>
      </c>
      <c r="D226" s="426" t="s">
        <v>707</v>
      </c>
      <c r="E226" s="433" t="s">
        <v>24</v>
      </c>
      <c r="F226" s="473" t="s">
        <v>333</v>
      </c>
      <c r="G226" s="87"/>
      <c r="Q226" s="139"/>
      <c r="R226" s="372"/>
      <c r="S226" s="374"/>
      <c r="T226" s="56"/>
      <c r="U226" s="374"/>
    </row>
    <row r="227" spans="1:21">
      <c r="A227" s="358">
        <v>10</v>
      </c>
      <c r="B227" s="457" t="s">
        <v>1034</v>
      </c>
      <c r="C227" s="432" t="s">
        <v>1131</v>
      </c>
      <c r="D227" s="426" t="s">
        <v>1091</v>
      </c>
      <c r="E227" s="433" t="s">
        <v>24</v>
      </c>
      <c r="F227" s="473" t="s">
        <v>1243</v>
      </c>
      <c r="G227" s="87"/>
      <c r="Q227" s="139"/>
      <c r="R227" s="372"/>
      <c r="S227" s="374"/>
      <c r="T227" s="56"/>
      <c r="U227" s="374"/>
    </row>
    <row r="228" spans="1:21">
      <c r="A228" s="358">
        <v>11</v>
      </c>
      <c r="B228" s="458" t="s">
        <v>1037</v>
      </c>
      <c r="C228" s="432" t="s">
        <v>690</v>
      </c>
      <c r="D228" s="426" t="s">
        <v>1630</v>
      </c>
      <c r="E228" s="433" t="s">
        <v>3</v>
      </c>
      <c r="F228" s="473" t="s">
        <v>1243</v>
      </c>
      <c r="G228" s="52"/>
      <c r="H228" s="619"/>
      <c r="I228" s="619"/>
      <c r="J228" s="619"/>
      <c r="Q228" s="139"/>
      <c r="R228" s="372"/>
      <c r="S228" s="374"/>
      <c r="T228" s="56"/>
      <c r="U228" s="374"/>
    </row>
    <row r="229" spans="1:21">
      <c r="A229" s="358">
        <v>12</v>
      </c>
      <c r="B229" s="458" t="s">
        <v>929</v>
      </c>
      <c r="C229" s="432" t="s">
        <v>692</v>
      </c>
      <c r="D229" s="426" t="s">
        <v>691</v>
      </c>
      <c r="E229" s="433" t="s">
        <v>3</v>
      </c>
      <c r="F229" s="473" t="s">
        <v>329</v>
      </c>
      <c r="G229" s="87"/>
      <c r="Q229" s="139"/>
      <c r="R229" s="372"/>
      <c r="S229" s="374"/>
      <c r="T229" s="56"/>
      <c r="U229" s="374"/>
    </row>
    <row r="230" spans="1:21">
      <c r="A230" s="358">
        <v>13</v>
      </c>
      <c r="B230" s="488" t="s">
        <v>958</v>
      </c>
      <c r="C230" s="432" t="s">
        <v>856</v>
      </c>
      <c r="D230" s="426" t="s">
        <v>855</v>
      </c>
      <c r="E230" s="433" t="s">
        <v>3</v>
      </c>
      <c r="F230" s="473" t="s">
        <v>333</v>
      </c>
      <c r="G230" s="52"/>
      <c r="Q230" s="139"/>
      <c r="R230" s="372"/>
      <c r="S230" s="137"/>
      <c r="T230" s="56"/>
      <c r="U230" s="374"/>
    </row>
    <row r="231" spans="1:21">
      <c r="A231" s="358">
        <v>14</v>
      </c>
      <c r="B231" s="488" t="s">
        <v>959</v>
      </c>
      <c r="C231" s="432" t="s">
        <v>858</v>
      </c>
      <c r="D231" s="426" t="s">
        <v>857</v>
      </c>
      <c r="E231" s="433" t="s">
        <v>3</v>
      </c>
      <c r="F231" s="473" t="s">
        <v>333</v>
      </c>
      <c r="G231" s="87"/>
      <c r="H231" s="621"/>
      <c r="I231" s="621"/>
      <c r="J231" s="621"/>
      <c r="K231" s="821"/>
      <c r="Q231" s="139"/>
      <c r="R231" s="372"/>
      <c r="S231" s="137"/>
      <c r="T231" s="56"/>
      <c r="U231" s="374"/>
    </row>
    <row r="232" spans="1:21">
      <c r="A232" s="358">
        <v>15</v>
      </c>
      <c r="B232" s="488" t="s">
        <v>960</v>
      </c>
      <c r="C232" s="432" t="s">
        <v>860</v>
      </c>
      <c r="D232" s="426" t="s">
        <v>859</v>
      </c>
      <c r="E232" s="433" t="s">
        <v>3</v>
      </c>
      <c r="F232" s="473" t="s">
        <v>333</v>
      </c>
      <c r="G232" s="52"/>
      <c r="Q232" s="139"/>
      <c r="R232" s="372"/>
      <c r="S232" s="374"/>
      <c r="T232" s="56"/>
      <c r="U232" s="374"/>
    </row>
    <row r="233" spans="1:21">
      <c r="A233" s="358">
        <v>16</v>
      </c>
      <c r="B233" s="458" t="s">
        <v>906</v>
      </c>
      <c r="C233" s="432" t="s">
        <v>805</v>
      </c>
      <c r="D233" s="426" t="s">
        <v>804</v>
      </c>
      <c r="E233" s="433" t="s">
        <v>24</v>
      </c>
      <c r="F233" s="473" t="s">
        <v>330</v>
      </c>
      <c r="G233" s="87"/>
      <c r="Q233" s="139"/>
      <c r="R233" s="372"/>
      <c r="S233" s="374"/>
      <c r="T233" s="56"/>
      <c r="U233" s="374"/>
    </row>
    <row r="234" spans="1:21">
      <c r="A234" s="358">
        <v>17</v>
      </c>
      <c r="B234" s="458" t="s">
        <v>987</v>
      </c>
      <c r="C234" s="432" t="s">
        <v>702</v>
      </c>
      <c r="D234" s="426" t="s">
        <v>701</v>
      </c>
      <c r="E234" s="433" t="s">
        <v>24</v>
      </c>
      <c r="F234" s="473" t="s">
        <v>331</v>
      </c>
      <c r="G234" s="87"/>
      <c r="Q234" s="139"/>
      <c r="R234" s="372"/>
      <c r="S234" s="374"/>
      <c r="T234" s="56"/>
      <c r="U234" s="374"/>
    </row>
    <row r="235" spans="1:21">
      <c r="A235" s="358">
        <v>18</v>
      </c>
      <c r="B235" s="458" t="s">
        <v>1016</v>
      </c>
      <c r="C235" s="432" t="s">
        <v>1139</v>
      </c>
      <c r="D235" s="426" t="s">
        <v>1097</v>
      </c>
      <c r="E235" s="433" t="s">
        <v>24</v>
      </c>
      <c r="F235" s="473" t="s">
        <v>646</v>
      </c>
      <c r="G235" s="87"/>
      <c r="Q235" s="139"/>
      <c r="R235" s="372"/>
      <c r="S235" s="374"/>
      <c r="T235" s="56"/>
      <c r="U235" s="374"/>
    </row>
    <row r="236" spans="1:21">
      <c r="A236" s="358">
        <v>19</v>
      </c>
      <c r="B236" s="488" t="s">
        <v>964</v>
      </c>
      <c r="C236" s="432" t="s">
        <v>862</v>
      </c>
      <c r="D236" s="426" t="s">
        <v>861</v>
      </c>
      <c r="E236" s="433" t="s">
        <v>3</v>
      </c>
      <c r="F236" s="473" t="s">
        <v>333</v>
      </c>
      <c r="G236" s="87"/>
      <c r="Q236" s="139"/>
      <c r="R236" s="372"/>
      <c r="S236" s="374"/>
      <c r="T236" s="56"/>
      <c r="U236" s="374"/>
    </row>
    <row r="237" spans="1:21">
      <c r="A237" s="358">
        <v>20</v>
      </c>
      <c r="B237" s="457" t="s">
        <v>1060</v>
      </c>
      <c r="C237" s="432" t="s">
        <v>1152</v>
      </c>
      <c r="D237" s="426" t="s">
        <v>1105</v>
      </c>
      <c r="E237" s="433" t="s">
        <v>3</v>
      </c>
      <c r="F237" s="473" t="s">
        <v>1243</v>
      </c>
      <c r="G237" s="87"/>
      <c r="Q237" s="139"/>
      <c r="R237" s="372"/>
      <c r="S237" s="374"/>
      <c r="T237" s="56"/>
      <c r="U237" s="374"/>
    </row>
    <row r="238" spans="1:21">
      <c r="A238" s="358">
        <v>21</v>
      </c>
      <c r="B238" s="458" t="s">
        <v>912</v>
      </c>
      <c r="C238" s="432" t="s">
        <v>663</v>
      </c>
      <c r="D238" s="426" t="s">
        <v>662</v>
      </c>
      <c r="E238" s="433" t="s">
        <v>3</v>
      </c>
      <c r="F238" s="473" t="s">
        <v>330</v>
      </c>
      <c r="G238" s="87"/>
      <c r="Q238" s="139"/>
      <c r="R238" s="372"/>
      <c r="S238" s="374"/>
      <c r="T238" s="56"/>
      <c r="U238" s="374"/>
    </row>
    <row r="239" spans="1:21">
      <c r="A239" s="358">
        <v>22</v>
      </c>
      <c r="B239" s="458" t="s">
        <v>936</v>
      </c>
      <c r="C239" s="432" t="s">
        <v>740</v>
      </c>
      <c r="D239" s="426" t="s">
        <v>739</v>
      </c>
      <c r="E239" s="433" t="s">
        <v>24</v>
      </c>
      <c r="F239" s="473" t="s">
        <v>329</v>
      </c>
      <c r="G239" s="87"/>
      <c r="H239" s="769"/>
      <c r="I239" s="769"/>
      <c r="J239" s="769"/>
      <c r="Q239" s="139"/>
      <c r="R239" s="372"/>
      <c r="S239" s="374"/>
      <c r="T239" s="56"/>
      <c r="U239" s="374"/>
    </row>
    <row r="240" spans="1:21">
      <c r="A240" s="358">
        <v>23</v>
      </c>
      <c r="B240" s="458" t="s">
        <v>993</v>
      </c>
      <c r="C240" s="941" t="s">
        <v>1058</v>
      </c>
      <c r="D240" s="442" t="s">
        <v>1057</v>
      </c>
      <c r="E240" s="443" t="s">
        <v>3</v>
      </c>
      <c r="F240" s="473" t="s">
        <v>331</v>
      </c>
      <c r="G240" s="136"/>
      <c r="Q240" s="139"/>
      <c r="R240" s="372"/>
      <c r="S240" s="374"/>
      <c r="T240" s="56"/>
      <c r="U240" s="374"/>
    </row>
    <row r="241" spans="1:21">
      <c r="A241" s="358">
        <v>24</v>
      </c>
      <c r="B241" s="458" t="s">
        <v>914</v>
      </c>
      <c r="C241" s="432" t="s">
        <v>794</v>
      </c>
      <c r="D241" s="426" t="s">
        <v>793</v>
      </c>
      <c r="E241" s="433" t="s">
        <v>24</v>
      </c>
      <c r="F241" s="473" t="s">
        <v>330</v>
      </c>
      <c r="G241" s="87"/>
      <c r="Q241" s="139"/>
      <c r="R241" s="372"/>
      <c r="S241" s="374"/>
      <c r="T241" s="56"/>
      <c r="U241" s="374"/>
    </row>
    <row r="242" spans="1:21">
      <c r="A242" s="358">
        <v>25</v>
      </c>
      <c r="B242" s="458" t="s">
        <v>937</v>
      </c>
      <c r="C242" s="432" t="s">
        <v>696</v>
      </c>
      <c r="D242" s="426" t="s">
        <v>695</v>
      </c>
      <c r="E242" s="433" t="s">
        <v>660</v>
      </c>
      <c r="F242" s="473" t="s">
        <v>329</v>
      </c>
      <c r="Q242" s="139"/>
      <c r="R242" s="372"/>
      <c r="S242" s="374"/>
      <c r="T242" s="56"/>
      <c r="U242" s="374"/>
    </row>
    <row r="243" spans="1:21">
      <c r="A243" s="358">
        <v>26</v>
      </c>
      <c r="B243" s="458" t="s">
        <v>994</v>
      </c>
      <c r="C243" s="432"/>
      <c r="D243" s="426" t="s">
        <v>828</v>
      </c>
      <c r="E243" s="433" t="s">
        <v>24</v>
      </c>
      <c r="F243" s="473" t="s">
        <v>331</v>
      </c>
      <c r="Q243" s="139"/>
      <c r="R243" s="372"/>
      <c r="S243" s="374"/>
      <c r="T243" s="56"/>
      <c r="U243" s="374"/>
    </row>
    <row r="244" spans="1:21">
      <c r="A244" s="358">
        <v>27</v>
      </c>
      <c r="B244" s="458" t="s">
        <v>938</v>
      </c>
      <c r="C244" s="432" t="s">
        <v>782</v>
      </c>
      <c r="D244" s="426" t="s">
        <v>781</v>
      </c>
      <c r="E244" s="433" t="s">
        <v>24</v>
      </c>
      <c r="F244" s="473" t="s">
        <v>329</v>
      </c>
      <c r="Q244" s="139"/>
      <c r="R244" s="372"/>
      <c r="S244" s="374"/>
      <c r="T244" s="56"/>
      <c r="U244" s="374"/>
    </row>
    <row r="245" spans="1:21">
      <c r="A245" s="358">
        <v>28</v>
      </c>
      <c r="B245" s="458" t="s">
        <v>939</v>
      </c>
      <c r="C245" s="432" t="s">
        <v>722</v>
      </c>
      <c r="D245" s="426" t="s">
        <v>721</v>
      </c>
      <c r="E245" s="433" t="s">
        <v>24</v>
      </c>
      <c r="F245" s="473" t="s">
        <v>329</v>
      </c>
      <c r="Q245" s="398"/>
      <c r="R245" s="579"/>
      <c r="S245" s="255"/>
      <c r="T245" s="417"/>
      <c r="U245" s="255"/>
    </row>
    <row r="246" spans="1:21">
      <c r="A246" s="358">
        <v>29</v>
      </c>
      <c r="B246" s="458" t="s">
        <v>940</v>
      </c>
      <c r="C246" s="432" t="s">
        <v>669</v>
      </c>
      <c r="D246" s="426" t="s">
        <v>668</v>
      </c>
      <c r="E246" s="433" t="s">
        <v>3</v>
      </c>
      <c r="F246" s="473" t="s">
        <v>329</v>
      </c>
      <c r="H246" s="398"/>
      <c r="I246" s="398"/>
      <c r="J246" s="398"/>
      <c r="K246" s="822"/>
      <c r="L246" s="823"/>
      <c r="M246" s="41"/>
      <c r="N246" s="417"/>
      <c r="Q246" s="139"/>
      <c r="R246" s="372"/>
      <c r="S246" s="210"/>
      <c r="T246" s="56"/>
      <c r="U246" s="210"/>
    </row>
    <row r="247" spans="1:21">
      <c r="A247" s="358">
        <v>30</v>
      </c>
      <c r="B247" s="458" t="s">
        <v>1020</v>
      </c>
      <c r="C247" s="432" t="s">
        <v>1141</v>
      </c>
      <c r="D247" s="426" t="s">
        <v>1099</v>
      </c>
      <c r="E247" s="433" t="s">
        <v>3</v>
      </c>
      <c r="F247" s="473" t="s">
        <v>646</v>
      </c>
      <c r="H247" s="51"/>
      <c r="I247" s="51"/>
      <c r="J247" s="51"/>
      <c r="K247" s="41"/>
      <c r="L247" s="51"/>
      <c r="M247" s="51"/>
      <c r="Q247" s="139"/>
      <c r="R247" s="372"/>
      <c r="S247" s="210"/>
      <c r="T247" s="56"/>
      <c r="U247" s="210"/>
    </row>
    <row r="248" spans="1:21">
      <c r="A248" s="358">
        <v>31</v>
      </c>
      <c r="B248" s="488" t="s">
        <v>968</v>
      </c>
      <c r="C248" s="432" t="s">
        <v>732</v>
      </c>
      <c r="D248" s="426" t="s">
        <v>731</v>
      </c>
      <c r="E248" s="433" t="s">
        <v>24</v>
      </c>
      <c r="F248" s="473" t="s">
        <v>333</v>
      </c>
      <c r="H248" s="51"/>
      <c r="I248" s="51"/>
      <c r="J248" s="51"/>
      <c r="K248" s="41"/>
      <c r="L248" s="51"/>
      <c r="M248" s="51"/>
      <c r="Q248" s="139"/>
      <c r="R248" s="372"/>
      <c r="S248" s="210"/>
      <c r="T248" s="56"/>
      <c r="U248" s="210"/>
    </row>
    <row r="249" spans="1:21" ht="15.75" thickBot="1">
      <c r="A249" s="359">
        <v>32</v>
      </c>
      <c r="B249" s="940" t="s">
        <v>969</v>
      </c>
      <c r="C249" s="868" t="s">
        <v>772</v>
      </c>
      <c r="D249" s="869" t="s">
        <v>771</v>
      </c>
      <c r="E249" s="870" t="s">
        <v>3</v>
      </c>
      <c r="F249" s="532" t="s">
        <v>333</v>
      </c>
      <c r="Q249" s="139"/>
      <c r="R249" s="372"/>
      <c r="S249" s="210"/>
      <c r="T249" s="56"/>
      <c r="U249" s="210"/>
    </row>
    <row r="250" spans="1:21">
      <c r="A250" s="109" t="s">
        <v>24</v>
      </c>
      <c r="B250" s="394">
        <v>14</v>
      </c>
      <c r="C250" s="395"/>
      <c r="D250" s="395"/>
      <c r="E250" s="394"/>
      <c r="F250" s="180"/>
      <c r="Q250" s="824"/>
      <c r="R250" s="539"/>
      <c r="S250" s="447"/>
      <c r="T250" s="430"/>
      <c r="U250" s="447"/>
    </row>
    <row r="251" spans="1:21" ht="15.75" thickBot="1">
      <c r="A251" s="110" t="s">
        <v>3</v>
      </c>
      <c r="B251" s="111">
        <v>18</v>
      </c>
      <c r="C251" s="112"/>
      <c r="D251" s="112"/>
      <c r="E251" s="111"/>
      <c r="F251" s="181"/>
    </row>
    <row r="252" spans="1:21">
      <c r="S252" s="210"/>
    </row>
    <row r="253" spans="1:21">
      <c r="A253" s="103"/>
      <c r="B253" s="116"/>
      <c r="C253" s="117"/>
      <c r="D253" s="182"/>
      <c r="E253" s="810" t="s">
        <v>1242</v>
      </c>
      <c r="F253" s="117"/>
    </row>
    <row r="254" spans="1:21">
      <c r="A254" s="103"/>
      <c r="B254" s="103"/>
      <c r="C254" s="115"/>
      <c r="D254" s="115"/>
      <c r="E254" s="115" t="s">
        <v>84</v>
      </c>
      <c r="F254" s="115"/>
    </row>
    <row r="255" spans="1:21">
      <c r="A255" s="103"/>
      <c r="B255" s="103"/>
      <c r="C255" s="115"/>
      <c r="D255" s="115"/>
      <c r="E255" s="115"/>
      <c r="F255" s="115"/>
      <c r="H255" s="398"/>
      <c r="I255" s="398"/>
      <c r="J255" s="398"/>
      <c r="K255" s="52"/>
      <c r="L255" s="255"/>
      <c r="M255" s="417"/>
      <c r="N255" s="417"/>
      <c r="O255" s="52"/>
      <c r="P255" s="619"/>
    </row>
    <row r="256" spans="1:21">
      <c r="H256" s="398"/>
      <c r="I256" s="398"/>
      <c r="J256" s="398"/>
      <c r="K256" s="52"/>
      <c r="L256" s="416"/>
      <c r="M256" s="417"/>
      <c r="N256" s="417"/>
      <c r="O256" s="87"/>
      <c r="P256" s="621"/>
    </row>
    <row r="257" spans="1:7">
      <c r="E257" s="121" t="str">
        <f>WLKLS!B11</f>
        <v>RINA NINGSIH, S.Pd</v>
      </c>
      <c r="F257" s="92"/>
      <c r="G257" s="92"/>
    </row>
    <row r="258" spans="1:7">
      <c r="E258" s="185" t="str">
        <f>WLKLS!C11</f>
        <v>NIP. 199802252023212009</v>
      </c>
    </row>
    <row r="261" spans="1:7">
      <c r="A261" s="1018" t="s">
        <v>0</v>
      </c>
      <c r="B261" s="1018"/>
      <c r="C261" s="1018"/>
      <c r="D261" s="1018"/>
      <c r="E261" s="1018"/>
      <c r="F261" s="1018"/>
    </row>
    <row r="262" spans="1:7">
      <c r="A262" s="1018" t="s">
        <v>1</v>
      </c>
      <c r="B262" s="1018"/>
      <c r="C262" s="1018"/>
      <c r="D262" s="1018"/>
      <c r="E262" s="1018"/>
      <c r="F262" s="1018"/>
    </row>
    <row r="263" spans="1:7">
      <c r="A263" s="1018" t="s">
        <v>4</v>
      </c>
      <c r="B263" s="1018"/>
      <c r="C263" s="1018"/>
      <c r="D263" s="1018"/>
      <c r="E263" s="1018"/>
      <c r="F263" s="1018"/>
    </row>
    <row r="264" spans="1:7">
      <c r="A264" s="1019" t="s">
        <v>6</v>
      </c>
      <c r="B264" s="1019"/>
      <c r="C264" s="1019"/>
      <c r="D264" s="1019"/>
      <c r="E264" s="1019"/>
      <c r="F264" s="1019"/>
    </row>
    <row r="265" spans="1:7" ht="15.75" thickBot="1">
      <c r="A265" s="1020" t="s">
        <v>7</v>
      </c>
      <c r="B265" s="1020"/>
      <c r="C265" s="1020"/>
      <c r="D265" s="1020"/>
      <c r="E265" s="1020"/>
      <c r="F265" s="1020"/>
    </row>
    <row r="266" spans="1:7" ht="15.75" thickTop="1">
      <c r="A266" s="97"/>
      <c r="B266" s="98"/>
      <c r="C266" s="97"/>
      <c r="D266" s="97"/>
      <c r="E266" s="98"/>
      <c r="F266" s="97"/>
    </row>
    <row r="267" spans="1:7" ht="15.75">
      <c r="A267" s="1021" t="s">
        <v>344</v>
      </c>
      <c r="B267" s="1021"/>
      <c r="C267" s="1021"/>
      <c r="D267" s="1021"/>
      <c r="E267" s="1021"/>
      <c r="F267" s="1021"/>
    </row>
    <row r="268" spans="1:7" ht="15.75">
      <c r="A268" s="1022" t="s">
        <v>319</v>
      </c>
      <c r="B268" s="1022"/>
      <c r="C268" s="1022"/>
      <c r="D268" s="1022"/>
      <c r="E268" s="1022"/>
      <c r="F268" s="1022"/>
    </row>
    <row r="269" spans="1:7" ht="15.75" thickBot="1">
      <c r="A269" s="100"/>
      <c r="B269" s="100"/>
      <c r="C269" s="101"/>
      <c r="D269" s="173"/>
      <c r="E269" s="103"/>
      <c r="F269" s="117"/>
    </row>
    <row r="270" spans="1:7" ht="16.5" thickBot="1">
      <c r="A270" s="1023" t="s">
        <v>13</v>
      </c>
      <c r="B270" s="1024"/>
      <c r="C270" s="1025"/>
      <c r="D270" s="1028" t="s">
        <v>14</v>
      </c>
      <c r="E270" s="1026" t="s">
        <v>15</v>
      </c>
      <c r="F270" s="1028" t="s">
        <v>16</v>
      </c>
    </row>
    <row r="271" spans="1:7" ht="16.5" thickBot="1">
      <c r="A271" s="126" t="s">
        <v>18</v>
      </c>
      <c r="B271" s="126" t="s">
        <v>19</v>
      </c>
      <c r="C271" s="126" t="s">
        <v>20</v>
      </c>
      <c r="D271" s="1030"/>
      <c r="E271" s="1031"/>
      <c r="F271" s="1029"/>
    </row>
    <row r="272" spans="1:7">
      <c r="A272" s="19">
        <v>1</v>
      </c>
      <c r="B272" s="191"/>
      <c r="C272" s="124"/>
      <c r="D272" s="152"/>
      <c r="E272" s="153"/>
      <c r="F272" s="89"/>
    </row>
    <row r="273" spans="1:6" ht="16.5">
      <c r="A273" s="21">
        <v>2</v>
      </c>
      <c r="B273" s="75"/>
      <c r="C273" s="106"/>
      <c r="D273" s="76"/>
      <c r="E273" s="142"/>
      <c r="F273" s="93"/>
    </row>
    <row r="274" spans="1:6">
      <c r="A274" s="21">
        <v>3</v>
      </c>
      <c r="B274" s="80"/>
      <c r="C274" s="106"/>
      <c r="D274" s="76"/>
      <c r="E274" s="142"/>
      <c r="F274" s="93"/>
    </row>
    <row r="275" spans="1:6">
      <c r="A275" s="21">
        <v>4</v>
      </c>
      <c r="B275" s="67"/>
      <c r="C275" s="106"/>
      <c r="D275" s="74"/>
      <c r="E275" s="142"/>
      <c r="F275" s="93"/>
    </row>
    <row r="276" spans="1:6" ht="16.5">
      <c r="A276" s="21">
        <v>5</v>
      </c>
      <c r="B276" s="75"/>
      <c r="C276" s="106"/>
      <c r="D276" s="74"/>
      <c r="E276" s="142"/>
      <c r="F276" s="93"/>
    </row>
    <row r="277" spans="1:6" ht="16.5">
      <c r="A277" s="21">
        <v>6</v>
      </c>
      <c r="B277" s="75"/>
      <c r="C277" s="106"/>
      <c r="D277" s="74"/>
      <c r="E277" s="142"/>
      <c r="F277" s="93"/>
    </row>
    <row r="278" spans="1:6" ht="16.5">
      <c r="A278" s="21">
        <v>7</v>
      </c>
      <c r="B278" s="75"/>
      <c r="C278" s="106"/>
      <c r="D278" s="74"/>
      <c r="E278" s="142"/>
      <c r="F278" s="93"/>
    </row>
    <row r="279" spans="1:6">
      <c r="A279" s="21">
        <v>8</v>
      </c>
      <c r="B279" s="80"/>
      <c r="C279" s="106"/>
      <c r="D279" s="74"/>
      <c r="E279" s="142"/>
      <c r="F279" s="93"/>
    </row>
    <row r="280" spans="1:6">
      <c r="A280" s="21">
        <v>9</v>
      </c>
      <c r="B280" s="67"/>
      <c r="C280" s="106"/>
      <c r="D280" s="74"/>
      <c r="E280" s="142"/>
      <c r="F280" s="93"/>
    </row>
    <row r="281" spans="1:6">
      <c r="A281" s="21">
        <v>10</v>
      </c>
      <c r="B281" s="80"/>
      <c r="C281" s="106"/>
      <c r="D281" s="74"/>
      <c r="E281" s="142"/>
      <c r="F281" s="93"/>
    </row>
    <row r="282" spans="1:6">
      <c r="A282" s="21">
        <v>11</v>
      </c>
      <c r="B282" s="192"/>
      <c r="C282" s="106"/>
      <c r="D282" s="74"/>
      <c r="E282" s="142"/>
      <c r="F282" s="93"/>
    </row>
    <row r="283" spans="1:6">
      <c r="A283" s="21">
        <v>12</v>
      </c>
      <c r="B283" s="192"/>
      <c r="C283" s="106"/>
      <c r="D283" s="74"/>
      <c r="E283" s="142"/>
      <c r="F283" s="93"/>
    </row>
    <row r="284" spans="1:6">
      <c r="A284" s="21">
        <v>13</v>
      </c>
      <c r="B284" s="193"/>
      <c r="C284" s="194"/>
      <c r="D284" s="155"/>
      <c r="E284" s="142"/>
      <c r="F284" s="93"/>
    </row>
    <row r="285" spans="1:6" ht="16.5">
      <c r="A285" s="21">
        <v>14</v>
      </c>
      <c r="B285" s="75"/>
      <c r="C285" s="106"/>
      <c r="D285" s="74"/>
      <c r="E285" s="142"/>
      <c r="F285" s="93"/>
    </row>
    <row r="286" spans="1:6">
      <c r="A286" s="21">
        <v>15</v>
      </c>
      <c r="B286" s="67"/>
      <c r="C286" s="106"/>
      <c r="D286" s="76"/>
      <c r="E286" s="142"/>
      <c r="F286" s="93"/>
    </row>
    <row r="287" spans="1:6">
      <c r="A287" s="21">
        <v>16</v>
      </c>
      <c r="B287" s="67"/>
      <c r="C287" s="106"/>
      <c r="D287" s="156"/>
      <c r="E287" s="142"/>
      <c r="F287" s="93"/>
    </row>
    <row r="288" spans="1:6">
      <c r="A288" s="21">
        <v>17</v>
      </c>
      <c r="B288" s="192"/>
      <c r="C288" s="106"/>
      <c r="D288" s="156"/>
      <c r="E288" s="142"/>
      <c r="F288" s="93"/>
    </row>
    <row r="289" spans="1:6">
      <c r="A289" s="21">
        <v>18</v>
      </c>
      <c r="B289" s="67"/>
      <c r="C289" s="106"/>
      <c r="D289" s="74"/>
      <c r="E289" s="142"/>
      <c r="F289" s="93"/>
    </row>
    <row r="290" spans="1:6">
      <c r="A290" s="21">
        <v>19</v>
      </c>
      <c r="B290" s="67"/>
      <c r="C290" s="106"/>
      <c r="D290" s="74"/>
      <c r="E290" s="142"/>
      <c r="F290" s="93"/>
    </row>
    <row r="291" spans="1:6" ht="16.5">
      <c r="A291" s="21">
        <v>20</v>
      </c>
      <c r="B291" s="75"/>
      <c r="C291" s="106"/>
      <c r="D291" s="74"/>
      <c r="E291" s="142"/>
      <c r="F291" s="93"/>
    </row>
    <row r="292" spans="1:6" ht="16.5">
      <c r="A292" s="21">
        <v>21</v>
      </c>
      <c r="B292" s="75"/>
      <c r="C292" s="106"/>
      <c r="D292" s="74"/>
      <c r="E292" s="142"/>
      <c r="F292" s="93"/>
    </row>
    <row r="293" spans="1:6" ht="16.5">
      <c r="A293" s="21">
        <v>22</v>
      </c>
      <c r="B293" s="75"/>
      <c r="C293" s="106"/>
      <c r="D293" s="74"/>
      <c r="E293" s="142"/>
      <c r="F293" s="93"/>
    </row>
    <row r="294" spans="1:6">
      <c r="A294" s="21">
        <v>23</v>
      </c>
      <c r="B294" s="80"/>
      <c r="C294" s="106"/>
      <c r="D294" s="74"/>
      <c r="E294" s="142"/>
      <c r="F294" s="93"/>
    </row>
    <row r="295" spans="1:6">
      <c r="A295" s="21">
        <v>24</v>
      </c>
    </row>
    <row r="296" spans="1:6" ht="16.5">
      <c r="A296" s="21">
        <v>25</v>
      </c>
      <c r="B296" s="75"/>
      <c r="C296" s="55"/>
      <c r="D296" s="74"/>
      <c r="E296" s="142"/>
      <c r="F296" s="195"/>
    </row>
    <row r="297" spans="1:6">
      <c r="A297" s="21">
        <v>26</v>
      </c>
      <c r="B297" s="55"/>
      <c r="C297" s="55"/>
      <c r="D297" s="74"/>
      <c r="E297" s="142"/>
      <c r="F297" s="93"/>
    </row>
    <row r="298" spans="1:6">
      <c r="A298" s="21">
        <v>27</v>
      </c>
      <c r="B298" s="42"/>
      <c r="C298" s="22"/>
      <c r="D298" s="22"/>
      <c r="E298" s="42"/>
      <c r="F298" s="27"/>
    </row>
    <row r="299" spans="1:6">
      <c r="A299" s="21">
        <v>28</v>
      </c>
      <c r="B299" s="42"/>
      <c r="C299" s="22"/>
      <c r="D299" s="22"/>
      <c r="E299" s="42"/>
      <c r="F299" s="27"/>
    </row>
    <row r="300" spans="1:6">
      <c r="A300" s="21">
        <v>29</v>
      </c>
      <c r="B300" s="42"/>
      <c r="C300" s="22"/>
      <c r="D300" s="22"/>
      <c r="E300" s="42"/>
      <c r="F300" s="27"/>
    </row>
    <row r="301" spans="1:6">
      <c r="A301" s="21">
        <v>30</v>
      </c>
      <c r="B301" s="42"/>
      <c r="C301" s="22"/>
      <c r="D301" s="22"/>
      <c r="E301" s="42"/>
      <c r="F301" s="27"/>
    </row>
    <row r="302" spans="1:6">
      <c r="A302" s="21">
        <v>31</v>
      </c>
      <c r="B302" s="42"/>
      <c r="C302" s="22"/>
      <c r="D302" s="22"/>
      <c r="E302" s="42"/>
      <c r="F302" s="27"/>
    </row>
    <row r="303" spans="1:6" ht="15.75" thickBot="1">
      <c r="A303" s="45">
        <v>32</v>
      </c>
      <c r="B303" s="46"/>
      <c r="C303" s="23"/>
      <c r="D303" s="23"/>
      <c r="E303" s="46"/>
      <c r="F303" s="28"/>
    </row>
    <row r="304" spans="1:6">
      <c r="A304" s="196" t="s">
        <v>24</v>
      </c>
      <c r="B304" s="197"/>
      <c r="C304" s="132"/>
      <c r="D304" s="132"/>
      <c r="E304" s="133"/>
      <c r="F304" s="86"/>
    </row>
    <row r="305" spans="1:6" ht="15.75" thickBot="1">
      <c r="A305" s="198" t="s">
        <v>3</v>
      </c>
      <c r="B305" s="111"/>
      <c r="C305" s="24"/>
      <c r="D305" s="24"/>
      <c r="E305" s="81"/>
      <c r="F305" s="29"/>
    </row>
    <row r="306" spans="1:6">
      <c r="E306" s="115" t="s">
        <v>345</v>
      </c>
    </row>
    <row r="307" spans="1:6">
      <c r="E307" s="16" t="s">
        <v>84</v>
      </c>
    </row>
    <row r="309" spans="1:6">
      <c r="E309" s="121" t="str">
        <f>WLKLS!F8</f>
        <v>RINA NINGSIH, S.Pd</v>
      </c>
    </row>
    <row r="310" spans="1:6">
      <c r="E310" s="121" t="str">
        <f>WLKLS!G8</f>
        <v>NIP. 199802252023212009</v>
      </c>
    </row>
  </sheetData>
  <sortState ref="B228:F229">
    <sortCondition ref="D228:D229"/>
  </sortState>
  <mergeCells count="66">
    <mergeCell ref="F270:F271"/>
    <mergeCell ref="A267:F267"/>
    <mergeCell ref="A268:F268"/>
    <mergeCell ref="A270:C270"/>
    <mergeCell ref="D10:D11"/>
    <mergeCell ref="D61:D62"/>
    <mergeCell ref="D113:D114"/>
    <mergeCell ref="D164:D165"/>
    <mergeCell ref="D216:D217"/>
    <mergeCell ref="D270:D271"/>
    <mergeCell ref="E10:E11"/>
    <mergeCell ref="E61:E62"/>
    <mergeCell ref="E113:E114"/>
    <mergeCell ref="E164:E165"/>
    <mergeCell ref="E216:E217"/>
    <mergeCell ref="E270:E271"/>
    <mergeCell ref="A156:F156"/>
    <mergeCell ref="A157:F157"/>
    <mergeCell ref="A158:F158"/>
    <mergeCell ref="A159:F159"/>
    <mergeCell ref="A161:F161"/>
    <mergeCell ref="A162:F162"/>
    <mergeCell ref="A164:C164"/>
    <mergeCell ref="A207:F207"/>
    <mergeCell ref="A208:F208"/>
    <mergeCell ref="A209:F209"/>
    <mergeCell ref="F164:F165"/>
    <mergeCell ref="A265:F265"/>
    <mergeCell ref="A210:F210"/>
    <mergeCell ref="A211:F211"/>
    <mergeCell ref="A213:F213"/>
    <mergeCell ref="A214:F214"/>
    <mergeCell ref="A216:C216"/>
    <mergeCell ref="F216:F217"/>
    <mergeCell ref="A261:F261"/>
    <mergeCell ref="A262:F262"/>
    <mergeCell ref="A263:F263"/>
    <mergeCell ref="A264:F264"/>
    <mergeCell ref="A108:F108"/>
    <mergeCell ref="A110:F110"/>
    <mergeCell ref="A111:F111"/>
    <mergeCell ref="A113:C113"/>
    <mergeCell ref="A155:F155"/>
    <mergeCell ref="F113:F114"/>
    <mergeCell ref="A61:C61"/>
    <mergeCell ref="A104:F104"/>
    <mergeCell ref="A105:F105"/>
    <mergeCell ref="A106:F106"/>
    <mergeCell ref="A107:F107"/>
    <mergeCell ref="F61:F62"/>
    <mergeCell ref="A54:F54"/>
    <mergeCell ref="A55:F55"/>
    <mergeCell ref="A56:F56"/>
    <mergeCell ref="A58:F58"/>
    <mergeCell ref="A59:F59"/>
    <mergeCell ref="A7:F7"/>
    <mergeCell ref="A8:F8"/>
    <mergeCell ref="A10:C10"/>
    <mergeCell ref="A52:F52"/>
    <mergeCell ref="A53:F53"/>
    <mergeCell ref="F10:F11"/>
    <mergeCell ref="A1:F1"/>
    <mergeCell ref="A2:F2"/>
    <mergeCell ref="A3:F3"/>
    <mergeCell ref="A4:F4"/>
    <mergeCell ref="A5:F5"/>
  </mergeCells>
  <conditionalFormatting sqref="AE50:AG50 AE111:AG116 W103:Y103 W181:Y182 W88:Y88 W184:Y184 W111:Y112 W105:Y107 W196:Y199 C238:E240 C34:E34">
    <cfRule type="cellIs" dxfId="30" priority="29" operator="equal">
      <formula>0</formula>
    </cfRule>
  </conditionalFormatting>
  <conditionalFormatting sqref="AE85:AG85 AE88:AG89">
    <cfRule type="cellIs" dxfId="29" priority="28" operator="equal">
      <formula>0</formula>
    </cfRule>
  </conditionalFormatting>
  <conditionalFormatting sqref="AF110 AE118:AG119 AE104:AG109">
    <cfRule type="cellIs" dxfId="28" priority="27" operator="equal">
      <formula>0</formula>
    </cfRule>
  </conditionalFormatting>
  <conditionalFormatting sqref="AE144:AG144">
    <cfRule type="cellIs" dxfId="27" priority="26" operator="equal">
      <formula>0</formula>
    </cfRule>
  </conditionalFormatting>
  <conditionalFormatting sqref="AE143:AG143">
    <cfRule type="cellIs" dxfId="26" priority="25" operator="equal">
      <formula>0</formula>
    </cfRule>
  </conditionalFormatting>
  <conditionalFormatting sqref="AG169">
    <cfRule type="cellIs" dxfId="25" priority="24" operator="equal">
      <formula>0</formula>
    </cfRule>
  </conditionalFormatting>
  <conditionalFormatting sqref="W49:Y49">
    <cfRule type="cellIs" dxfId="24" priority="23" operator="equal">
      <formula>0</formula>
    </cfRule>
  </conditionalFormatting>
  <conditionalFormatting sqref="W84:Y84">
    <cfRule type="cellIs" dxfId="23" priority="22" operator="equal">
      <formula>0</formula>
    </cfRule>
  </conditionalFormatting>
  <conditionalFormatting sqref="X109 W117:Y118">
    <cfRule type="cellIs" dxfId="22" priority="21" operator="equal">
      <formula>0</formula>
    </cfRule>
  </conditionalFormatting>
  <conditionalFormatting sqref="W144:Y144">
    <cfRule type="cellIs" dxfId="21" priority="20" operator="equal">
      <formula>0</formula>
    </cfRule>
  </conditionalFormatting>
  <conditionalFormatting sqref="W143:Y143">
    <cfRule type="cellIs" dxfId="20" priority="19" operator="equal">
      <formula>0</formula>
    </cfRule>
  </conditionalFormatting>
  <conditionalFormatting sqref="Y169">
    <cfRule type="cellIs" dxfId="19" priority="18" operator="equal">
      <formula>0</formula>
    </cfRule>
  </conditionalFormatting>
  <conditionalFormatting sqref="O103:Q103 O88:Q88 O111:Q112 O105:Q107">
    <cfRule type="cellIs" dxfId="18" priority="17" operator="equal">
      <formula>0</formula>
    </cfRule>
  </conditionalFormatting>
  <conditionalFormatting sqref="O49:Q49">
    <cfRule type="cellIs" dxfId="17" priority="16" operator="equal">
      <formula>0</formula>
    </cfRule>
  </conditionalFormatting>
  <conditionalFormatting sqref="O84:Q84">
    <cfRule type="cellIs" dxfId="16" priority="15" operator="equal">
      <formula>0</formula>
    </cfRule>
  </conditionalFormatting>
  <conditionalFormatting sqref="P109 O117:Q118">
    <cfRule type="cellIs" dxfId="15" priority="14" operator="equal">
      <formula>0</formula>
    </cfRule>
  </conditionalFormatting>
  <conditionalFormatting sqref="I103:K103 I88:K88 I111:K112 I105:K107">
    <cfRule type="cellIs" dxfId="14" priority="13" operator="equal">
      <formula>0</formula>
    </cfRule>
  </conditionalFormatting>
  <conditionalFormatting sqref="I49:K49">
    <cfRule type="cellIs" dxfId="13" priority="12" operator="equal">
      <formula>0</formula>
    </cfRule>
  </conditionalFormatting>
  <conditionalFormatting sqref="I84:K84">
    <cfRule type="cellIs" dxfId="12" priority="11" operator="equal">
      <formula>0</formula>
    </cfRule>
  </conditionalFormatting>
  <conditionalFormatting sqref="J109 I117:K118">
    <cfRule type="cellIs" dxfId="11" priority="10" operator="equal">
      <formula>0</formula>
    </cfRule>
  </conditionalFormatting>
  <conditionalFormatting sqref="I146:K147 I149:K149">
    <cfRule type="cellIs" dxfId="10" priority="9" operator="equal">
      <formula>0</formula>
    </cfRule>
  </conditionalFormatting>
  <conditionalFormatting sqref="I160:K163">
    <cfRule type="cellIs" dxfId="9" priority="8" operator="equal">
      <formula>0</formula>
    </cfRule>
  </conditionalFormatting>
  <conditionalFormatting sqref="C224:E225 C227:E227">
    <cfRule type="cellIs" dxfId="8" priority="7" operator="equal">
      <formula>0</formula>
    </cfRule>
  </conditionalFormatting>
  <conditionalFormatting sqref="C169:E170">
    <cfRule type="cellIs" dxfId="7" priority="5" operator="equal">
      <formula>0</formula>
    </cfRule>
  </conditionalFormatting>
  <conditionalFormatting sqref="D167 C175:E176">
    <cfRule type="cellIs" dxfId="6" priority="4" operator="equal">
      <formula>0</formula>
    </cfRule>
  </conditionalFormatting>
  <conditionalFormatting sqref="C142:E142 C127:E127 C144:E146">
    <cfRule type="cellIs" dxfId="5" priority="3" operator="equal">
      <formula>0</formula>
    </cfRule>
  </conditionalFormatting>
  <conditionalFormatting sqref="C123:E123">
    <cfRule type="cellIs" dxfId="4" priority="2" operator="equal">
      <formula>0</formula>
    </cfRule>
  </conditionalFormatting>
  <conditionalFormatting sqref="C68:E68">
    <cfRule type="cellIs" dxfId="3" priority="1" operator="equal">
      <formula>0</formula>
    </cfRule>
  </conditionalFormatting>
  <dataValidations count="1">
    <dataValidation type="list" allowBlank="1" showInputMessage="1" showErrorMessage="1" sqref="E294 E296 E284 H11:J11">
      <formula1>#REF!</formula1>
    </dataValidation>
  </dataValidations>
  <pageMargins left="0.95" right="0.7" top="0.5" bottom="0.25" header="0.3" footer="0.3"/>
  <pageSetup paperSize="9" orientation="portrait" horizontalDpi="4294967293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0"/>
  <sheetViews>
    <sheetView topLeftCell="L72" zoomScaleNormal="100" workbookViewId="0">
      <selection activeCell="W91" sqref="W91"/>
    </sheetView>
  </sheetViews>
  <sheetFormatPr defaultColWidth="9" defaultRowHeight="15"/>
  <cols>
    <col min="1" max="1" width="7.5703125" customWidth="1"/>
    <col min="2" max="2" width="14.85546875" style="16" customWidth="1"/>
    <col min="3" max="3" width="13.42578125" style="16" customWidth="1"/>
    <col min="4" max="4" width="24.140625" style="96" customWidth="1"/>
    <col min="5" max="5" width="5.42578125" style="16" customWidth="1"/>
    <col min="6" max="7" width="15.85546875" style="16" customWidth="1"/>
    <col min="8" max="8" width="4" style="16" customWidth="1"/>
    <col min="9" max="10" width="10.7109375" style="16" customWidth="1"/>
    <col min="11" max="11" width="15.85546875" style="16" customWidth="1"/>
    <col min="12" max="12" width="4" style="16" customWidth="1"/>
    <col min="19" max="19" width="23.28515625" customWidth="1"/>
  </cols>
  <sheetData>
    <row r="1" spans="1:22">
      <c r="A1" s="1018" t="s">
        <v>0</v>
      </c>
      <c r="B1" s="1018"/>
      <c r="C1" s="1018"/>
      <c r="D1" s="1018"/>
      <c r="E1" s="1018"/>
      <c r="F1" s="1018"/>
      <c r="G1" s="300"/>
      <c r="H1" s="300"/>
      <c r="I1" s="300"/>
      <c r="J1" s="300"/>
      <c r="K1" s="300"/>
      <c r="L1" s="300"/>
    </row>
    <row r="2" spans="1:22">
      <c r="A2" s="1018" t="s">
        <v>1</v>
      </c>
      <c r="B2" s="1018"/>
      <c r="C2" s="1018"/>
      <c r="D2" s="1018"/>
      <c r="E2" s="1018"/>
      <c r="F2" s="1018"/>
      <c r="G2" s="300"/>
      <c r="H2" s="300"/>
      <c r="I2" s="300"/>
      <c r="J2" s="300"/>
      <c r="K2" s="300"/>
      <c r="L2" s="300"/>
    </row>
    <row r="3" spans="1:22">
      <c r="A3" s="1018" t="s">
        <v>4</v>
      </c>
      <c r="B3" s="1018"/>
      <c r="C3" s="1018"/>
      <c r="D3" s="1018"/>
      <c r="E3" s="1018"/>
      <c r="F3" s="1018"/>
      <c r="G3" s="300"/>
      <c r="H3" s="300"/>
      <c r="I3" s="300"/>
      <c r="J3" s="300"/>
      <c r="K3" s="300"/>
      <c r="L3" s="300"/>
    </row>
    <row r="4" spans="1:22">
      <c r="A4" s="1019" t="s">
        <v>6</v>
      </c>
      <c r="B4" s="1019"/>
      <c r="C4" s="1019"/>
      <c r="D4" s="1019"/>
      <c r="E4" s="1019"/>
      <c r="F4" s="1019"/>
      <c r="G4" s="301"/>
      <c r="H4" s="301"/>
      <c r="I4" s="301"/>
      <c r="J4" s="301"/>
      <c r="K4" s="301"/>
      <c r="L4" s="301"/>
    </row>
    <row r="5" spans="1:22">
      <c r="A5" s="1020" t="s">
        <v>7</v>
      </c>
      <c r="B5" s="1020"/>
      <c r="C5" s="1020"/>
      <c r="D5" s="1020"/>
      <c r="E5" s="1020"/>
      <c r="F5" s="1020"/>
      <c r="G5" s="304"/>
      <c r="H5" s="304"/>
      <c r="I5" s="304"/>
      <c r="J5" s="304"/>
      <c r="K5" s="304"/>
      <c r="L5" s="304"/>
    </row>
    <row r="6" spans="1:22">
      <c r="A6" s="97"/>
      <c r="B6" s="98"/>
      <c r="C6" s="98"/>
      <c r="D6" s="99"/>
      <c r="E6" s="98"/>
      <c r="F6" s="98"/>
      <c r="G6" s="40"/>
      <c r="H6" s="40"/>
      <c r="I6" s="40"/>
      <c r="J6" s="40"/>
      <c r="K6" s="40"/>
      <c r="L6" s="40"/>
    </row>
    <row r="7" spans="1:22" ht="15.75">
      <c r="A7" s="1021" t="s">
        <v>1054</v>
      </c>
      <c r="B7" s="1021"/>
      <c r="C7" s="1021"/>
      <c r="D7" s="1021"/>
      <c r="E7" s="1021"/>
      <c r="F7" s="1021"/>
      <c r="G7" s="302"/>
      <c r="H7" s="302"/>
      <c r="I7" s="302"/>
      <c r="J7" s="302"/>
      <c r="K7" s="302"/>
      <c r="L7" s="302"/>
    </row>
    <row r="8" spans="1:22" ht="15.75">
      <c r="A8" s="1022" t="s">
        <v>1241</v>
      </c>
      <c r="B8" s="1022"/>
      <c r="C8" s="1022"/>
      <c r="D8" s="1022"/>
      <c r="E8" s="1022"/>
      <c r="F8" s="1022"/>
      <c r="G8" s="303"/>
      <c r="H8" s="303"/>
      <c r="I8" s="303"/>
      <c r="J8" s="303"/>
      <c r="K8" s="303"/>
      <c r="L8" s="303"/>
    </row>
    <row r="9" spans="1:22" ht="15.75" thickBot="1">
      <c r="A9" s="100"/>
      <c r="B9" s="100"/>
      <c r="C9" s="101"/>
      <c r="D9" s="102"/>
      <c r="E9" s="103"/>
      <c r="F9" s="103"/>
      <c r="G9" s="103"/>
      <c r="H9" s="103"/>
      <c r="I9" s="103"/>
      <c r="J9" s="103"/>
      <c r="K9" s="103"/>
      <c r="L9" s="103"/>
    </row>
    <row r="10" spans="1:22" ht="15.75">
      <c r="A10" s="1023" t="s">
        <v>13</v>
      </c>
      <c r="B10" s="1024"/>
      <c r="C10" s="1025"/>
      <c r="D10" s="1026" t="s">
        <v>14</v>
      </c>
      <c r="E10" s="1026" t="s">
        <v>15</v>
      </c>
      <c r="F10" s="297" t="s">
        <v>346</v>
      </c>
      <c r="G10" s="335"/>
      <c r="H10" s="335"/>
      <c r="I10" s="335"/>
      <c r="J10" s="335"/>
      <c r="K10" s="335"/>
      <c r="L10" s="335"/>
    </row>
    <row r="11" spans="1:22" ht="16.5" thickBot="1">
      <c r="A11" s="104" t="s">
        <v>18</v>
      </c>
      <c r="B11" s="296" t="s">
        <v>19</v>
      </c>
      <c r="C11" s="296" t="s">
        <v>20</v>
      </c>
      <c r="D11" s="1027"/>
      <c r="E11" s="1027"/>
      <c r="F11" s="299" t="s">
        <v>347</v>
      </c>
      <c r="G11" s="335"/>
      <c r="H11" s="335"/>
      <c r="I11" s="335"/>
      <c r="J11" s="335"/>
      <c r="K11" s="335"/>
      <c r="L11" s="335"/>
      <c r="Q11" s="787" t="s">
        <v>327</v>
      </c>
      <c r="R11" s="787" t="s">
        <v>20</v>
      </c>
      <c r="S11" s="787" t="s">
        <v>328</v>
      </c>
      <c r="T11" s="787" t="s">
        <v>644</v>
      </c>
      <c r="U11" s="787" t="s">
        <v>645</v>
      </c>
    </row>
    <row r="12" spans="1:22" ht="17.25" thickBot="1">
      <c r="A12" s="348">
        <v>1</v>
      </c>
      <c r="B12" s="804" t="s">
        <v>21</v>
      </c>
      <c r="C12" s="932" t="s">
        <v>463</v>
      </c>
      <c r="D12" s="934" t="s">
        <v>464</v>
      </c>
      <c r="E12" s="807" t="s">
        <v>3</v>
      </c>
      <c r="F12" s="808" t="s">
        <v>1238</v>
      </c>
      <c r="G12" s="136"/>
      <c r="H12" s="136">
        <v>1</v>
      </c>
      <c r="I12" s="175"/>
      <c r="J12" s="272"/>
      <c r="K12" s="170"/>
      <c r="L12" s="38"/>
      <c r="M12" s="248"/>
      <c r="P12" s="96">
        <v>1</v>
      </c>
      <c r="Q12" s="383" t="s">
        <v>332</v>
      </c>
      <c r="R12" s="350" t="s">
        <v>496</v>
      </c>
      <c r="S12" s="385" t="s">
        <v>290</v>
      </c>
      <c r="T12" s="379" t="s">
        <v>24</v>
      </c>
      <c r="U12" s="380" t="s">
        <v>1237</v>
      </c>
      <c r="V12" s="16" t="s">
        <v>2</v>
      </c>
    </row>
    <row r="13" spans="1:22" ht="17.25" thickBot="1">
      <c r="A13" s="354">
        <v>2</v>
      </c>
      <c r="B13" s="458" t="s">
        <v>97</v>
      </c>
      <c r="C13" s="472" t="s">
        <v>566</v>
      </c>
      <c r="D13" s="442" t="s">
        <v>563</v>
      </c>
      <c r="E13" s="443" t="s">
        <v>24</v>
      </c>
      <c r="F13" s="487" t="s">
        <v>1236</v>
      </c>
      <c r="G13" s="136"/>
      <c r="H13" s="136">
        <v>2</v>
      </c>
      <c r="I13" s="175"/>
      <c r="J13" s="106"/>
      <c r="K13" s="170"/>
      <c r="L13" s="38"/>
      <c r="M13" s="321"/>
      <c r="P13" s="96">
        <v>2</v>
      </c>
      <c r="Q13" s="458" t="s">
        <v>21</v>
      </c>
      <c r="R13" s="484" t="s">
        <v>463</v>
      </c>
      <c r="S13" s="486" t="s">
        <v>464</v>
      </c>
      <c r="T13" s="443" t="s">
        <v>3</v>
      </c>
      <c r="U13" s="380" t="s">
        <v>1238</v>
      </c>
      <c r="V13" s="16" t="s">
        <v>2</v>
      </c>
    </row>
    <row r="14" spans="1:22" ht="17.25" thickBot="1">
      <c r="A14" s="354">
        <v>3</v>
      </c>
      <c r="B14" s="458" t="s">
        <v>22</v>
      </c>
      <c r="C14" s="484" t="s">
        <v>465</v>
      </c>
      <c r="D14" s="486" t="s">
        <v>23</v>
      </c>
      <c r="E14" s="443" t="s">
        <v>24</v>
      </c>
      <c r="F14" s="487" t="s">
        <v>1236</v>
      </c>
      <c r="G14" s="136"/>
      <c r="H14" s="136">
        <v>3</v>
      </c>
      <c r="I14" s="307"/>
      <c r="J14" s="107"/>
      <c r="K14" s="317"/>
      <c r="L14" s="308"/>
      <c r="M14" s="327"/>
      <c r="P14" s="96">
        <v>3</v>
      </c>
      <c r="Q14" s="458" t="s">
        <v>22</v>
      </c>
      <c r="R14" s="484" t="s">
        <v>465</v>
      </c>
      <c r="S14" s="486" t="s">
        <v>23</v>
      </c>
      <c r="T14" s="443" t="s">
        <v>24</v>
      </c>
      <c r="U14" s="380" t="s">
        <v>1236</v>
      </c>
      <c r="V14" s="16" t="s">
        <v>2</v>
      </c>
    </row>
    <row r="15" spans="1:22" ht="17.25" thickBot="1">
      <c r="A15" s="354">
        <v>4</v>
      </c>
      <c r="B15" s="458" t="s">
        <v>26</v>
      </c>
      <c r="C15" s="484" t="s">
        <v>466</v>
      </c>
      <c r="D15" s="486" t="s">
        <v>27</v>
      </c>
      <c r="E15" s="443" t="s">
        <v>24</v>
      </c>
      <c r="F15" s="487" t="s">
        <v>651</v>
      </c>
      <c r="G15" s="136"/>
      <c r="H15" s="136">
        <v>4</v>
      </c>
      <c r="I15" s="179"/>
      <c r="J15" s="106"/>
      <c r="K15" s="54"/>
      <c r="L15" s="42"/>
      <c r="M15" s="26"/>
      <c r="P15" s="96">
        <v>4</v>
      </c>
      <c r="Q15" s="458" t="s">
        <v>26</v>
      </c>
      <c r="R15" s="484" t="s">
        <v>466</v>
      </c>
      <c r="S15" s="486" t="s">
        <v>27</v>
      </c>
      <c r="T15" s="443" t="s">
        <v>24</v>
      </c>
      <c r="U15" s="380" t="s">
        <v>651</v>
      </c>
      <c r="V15" s="16" t="s">
        <v>2</v>
      </c>
    </row>
    <row r="16" spans="1:22" ht="17.25" thickBot="1">
      <c r="A16" s="354">
        <v>5</v>
      </c>
      <c r="B16" s="458" t="s">
        <v>29</v>
      </c>
      <c r="C16" s="484" t="s">
        <v>467</v>
      </c>
      <c r="D16" s="486" t="s">
        <v>5</v>
      </c>
      <c r="E16" s="443" t="s">
        <v>3</v>
      </c>
      <c r="F16" s="487" t="s">
        <v>1236</v>
      </c>
      <c r="G16" s="136"/>
      <c r="H16" s="136">
        <v>5</v>
      </c>
      <c r="I16" s="179"/>
      <c r="J16" s="106"/>
      <c r="K16" s="54"/>
      <c r="L16" s="42"/>
      <c r="M16" s="26"/>
      <c r="P16" s="96">
        <v>5</v>
      </c>
      <c r="Q16" s="458" t="s">
        <v>29</v>
      </c>
      <c r="R16" s="484" t="s">
        <v>467</v>
      </c>
      <c r="S16" s="486" t="s">
        <v>5</v>
      </c>
      <c r="T16" s="443" t="s">
        <v>3</v>
      </c>
      <c r="U16" s="380" t="s">
        <v>1236</v>
      </c>
      <c r="V16" s="16" t="s">
        <v>2</v>
      </c>
    </row>
    <row r="17" spans="1:27" ht="17.25" thickBot="1">
      <c r="A17" s="354">
        <v>6</v>
      </c>
      <c r="B17" s="458" t="s">
        <v>31</v>
      </c>
      <c r="C17" s="484" t="s">
        <v>468</v>
      </c>
      <c r="D17" s="486" t="s">
        <v>32</v>
      </c>
      <c r="E17" s="443" t="s">
        <v>24</v>
      </c>
      <c r="F17" s="487" t="s">
        <v>1237</v>
      </c>
      <c r="G17" s="136"/>
      <c r="H17" s="136">
        <v>6</v>
      </c>
      <c r="I17" s="178"/>
      <c r="J17" s="106"/>
      <c r="K17" s="54"/>
      <c r="L17" s="42"/>
      <c r="M17" s="248"/>
      <c r="P17" s="96">
        <v>6</v>
      </c>
      <c r="Q17" s="458" t="s">
        <v>31</v>
      </c>
      <c r="R17" s="484" t="s">
        <v>468</v>
      </c>
      <c r="S17" s="486" t="s">
        <v>32</v>
      </c>
      <c r="T17" s="443" t="s">
        <v>24</v>
      </c>
      <c r="U17" s="380" t="s">
        <v>1237</v>
      </c>
      <c r="V17" s="16" t="s">
        <v>2</v>
      </c>
    </row>
    <row r="18" spans="1:27" ht="17.25" thickBot="1">
      <c r="A18" s="354">
        <v>7</v>
      </c>
      <c r="B18" s="458" t="s">
        <v>33</v>
      </c>
      <c r="C18" s="484" t="s">
        <v>469</v>
      </c>
      <c r="D18" s="486" t="s">
        <v>470</v>
      </c>
      <c r="E18" s="443" t="s">
        <v>24</v>
      </c>
      <c r="F18" s="487" t="s">
        <v>650</v>
      </c>
      <c r="G18" s="136"/>
      <c r="H18" s="136">
        <v>7</v>
      </c>
      <c r="I18" s="179"/>
      <c r="J18" s="106"/>
      <c r="K18" s="54"/>
      <c r="L18" s="42"/>
      <c r="M18" s="248"/>
      <c r="P18" s="96">
        <v>7</v>
      </c>
      <c r="Q18" s="458" t="s">
        <v>33</v>
      </c>
      <c r="R18" s="484" t="s">
        <v>469</v>
      </c>
      <c r="S18" s="486" t="s">
        <v>470</v>
      </c>
      <c r="T18" s="443" t="s">
        <v>24</v>
      </c>
      <c r="U18" s="380" t="s">
        <v>650</v>
      </c>
      <c r="V18" s="16" t="s">
        <v>2</v>
      </c>
    </row>
    <row r="19" spans="1:27" ht="17.25" thickBot="1">
      <c r="A19" s="354">
        <v>8</v>
      </c>
      <c r="B19" s="458" t="s">
        <v>99</v>
      </c>
      <c r="C19" s="472" t="s">
        <v>567</v>
      </c>
      <c r="D19" s="442" t="s">
        <v>93</v>
      </c>
      <c r="E19" s="443" t="s">
        <v>24</v>
      </c>
      <c r="F19" s="487" t="s">
        <v>650</v>
      </c>
      <c r="G19" s="136"/>
      <c r="H19" s="136">
        <v>8</v>
      </c>
      <c r="I19" s="178"/>
      <c r="J19" s="106"/>
      <c r="K19" s="54"/>
      <c r="L19" s="42"/>
      <c r="M19" s="321"/>
      <c r="P19" s="96">
        <v>8</v>
      </c>
      <c r="Q19" s="458" t="s">
        <v>35</v>
      </c>
      <c r="R19" s="484" t="s">
        <v>471</v>
      </c>
      <c r="S19" s="486" t="s">
        <v>36</v>
      </c>
      <c r="T19" s="443" t="s">
        <v>24</v>
      </c>
      <c r="U19" s="380" t="s">
        <v>1237</v>
      </c>
      <c r="V19" s="16" t="s">
        <v>2</v>
      </c>
    </row>
    <row r="20" spans="1:27" ht="17.25" thickBot="1">
      <c r="A20" s="354">
        <v>9</v>
      </c>
      <c r="B20" s="458" t="s">
        <v>35</v>
      </c>
      <c r="C20" s="484" t="s">
        <v>471</v>
      </c>
      <c r="D20" s="486" t="s">
        <v>36</v>
      </c>
      <c r="E20" s="443" t="s">
        <v>24</v>
      </c>
      <c r="F20" s="487" t="s">
        <v>1237</v>
      </c>
      <c r="G20" s="136"/>
      <c r="H20" s="136">
        <v>9</v>
      </c>
      <c r="I20" s="178"/>
      <c r="J20" s="106"/>
      <c r="K20" s="54"/>
      <c r="L20" s="42"/>
      <c r="M20" s="248"/>
      <c r="P20" s="96">
        <v>9</v>
      </c>
      <c r="Q20" s="458" t="s">
        <v>38</v>
      </c>
      <c r="R20" s="484" t="s">
        <v>472</v>
      </c>
      <c r="S20" s="486" t="s">
        <v>39</v>
      </c>
      <c r="T20" s="443" t="s">
        <v>3</v>
      </c>
      <c r="U20" s="380" t="s">
        <v>1238</v>
      </c>
      <c r="V20" s="16" t="s">
        <v>2</v>
      </c>
    </row>
    <row r="21" spans="1:27" ht="17.25" thickBot="1">
      <c r="A21" s="354">
        <v>10</v>
      </c>
      <c r="B21" s="458" t="s">
        <v>38</v>
      </c>
      <c r="C21" s="484" t="s">
        <v>472</v>
      </c>
      <c r="D21" s="486" t="s">
        <v>39</v>
      </c>
      <c r="E21" s="443" t="s">
        <v>3</v>
      </c>
      <c r="F21" s="487" t="s">
        <v>1238</v>
      </c>
      <c r="G21" s="136"/>
      <c r="H21" s="136">
        <v>10</v>
      </c>
      <c r="I21" s="179"/>
      <c r="J21" s="106"/>
      <c r="K21" s="316"/>
      <c r="L21" s="42"/>
      <c r="M21" s="248"/>
      <c r="P21" s="96">
        <v>10</v>
      </c>
      <c r="Q21" s="458" t="s">
        <v>41</v>
      </c>
      <c r="R21" s="484" t="s">
        <v>473</v>
      </c>
      <c r="S21" s="486" t="s">
        <v>42</v>
      </c>
      <c r="T21" s="443" t="s">
        <v>24</v>
      </c>
      <c r="U21" s="380" t="s">
        <v>1238</v>
      </c>
      <c r="V21" s="16" t="s">
        <v>2</v>
      </c>
    </row>
    <row r="22" spans="1:27" ht="17.25" thickBot="1">
      <c r="A22" s="354">
        <v>11</v>
      </c>
      <c r="B22" s="458" t="s">
        <v>101</v>
      </c>
      <c r="C22" s="472" t="s">
        <v>568</v>
      </c>
      <c r="D22" s="442" t="s">
        <v>90</v>
      </c>
      <c r="E22" s="443" t="s">
        <v>24</v>
      </c>
      <c r="F22" s="487" t="s">
        <v>651</v>
      </c>
      <c r="G22" s="136"/>
      <c r="H22" s="136">
        <v>11</v>
      </c>
      <c r="I22" s="179"/>
      <c r="J22" s="106"/>
      <c r="K22" s="54"/>
      <c r="L22" s="42"/>
      <c r="M22" s="321"/>
      <c r="P22" s="96">
        <v>11</v>
      </c>
      <c r="Q22" s="458" t="s">
        <v>44</v>
      </c>
      <c r="R22" s="484" t="s">
        <v>474</v>
      </c>
      <c r="S22" s="486" t="s">
        <v>11</v>
      </c>
      <c r="T22" s="443" t="s">
        <v>3</v>
      </c>
      <c r="U22" s="380" t="s">
        <v>1237</v>
      </c>
      <c r="V22" s="16" t="s">
        <v>2</v>
      </c>
    </row>
    <row r="23" spans="1:27" ht="17.25" thickBot="1">
      <c r="A23" s="354">
        <v>12</v>
      </c>
      <c r="B23" s="458" t="s">
        <v>103</v>
      </c>
      <c r="C23" s="472" t="s">
        <v>569</v>
      </c>
      <c r="D23" s="442" t="s">
        <v>82</v>
      </c>
      <c r="E23" s="443" t="s">
        <v>3</v>
      </c>
      <c r="F23" s="487" t="s">
        <v>1238</v>
      </c>
      <c r="G23" s="136"/>
      <c r="H23" s="136">
        <v>12</v>
      </c>
      <c r="I23" s="179"/>
      <c r="J23" s="106"/>
      <c r="K23" s="54"/>
      <c r="L23" s="42"/>
      <c r="M23" s="321"/>
      <c r="P23" s="96">
        <v>12</v>
      </c>
      <c r="Q23" s="458" t="s">
        <v>46</v>
      </c>
      <c r="R23" s="484" t="s">
        <v>475</v>
      </c>
      <c r="S23" s="486" t="s">
        <v>47</v>
      </c>
      <c r="T23" s="443" t="s">
        <v>24</v>
      </c>
      <c r="U23" s="380" t="s">
        <v>650</v>
      </c>
      <c r="V23" s="16" t="s">
        <v>2</v>
      </c>
    </row>
    <row r="24" spans="1:27" ht="17.25" thickBot="1">
      <c r="A24" s="354">
        <v>13</v>
      </c>
      <c r="B24" s="458" t="s">
        <v>106</v>
      </c>
      <c r="C24" s="472" t="s">
        <v>570</v>
      </c>
      <c r="D24" s="442" t="s">
        <v>562</v>
      </c>
      <c r="E24" s="443" t="s">
        <v>24</v>
      </c>
      <c r="F24" s="487" t="s">
        <v>1236</v>
      </c>
      <c r="G24" s="136"/>
      <c r="H24" s="136">
        <v>13</v>
      </c>
      <c r="I24" s="307"/>
      <c r="J24" s="107"/>
      <c r="K24" s="74"/>
      <c r="L24" s="308"/>
      <c r="M24" s="327"/>
      <c r="P24" s="96">
        <v>13</v>
      </c>
      <c r="Q24" s="458" t="s">
        <v>49</v>
      </c>
      <c r="R24" s="484" t="s">
        <v>476</v>
      </c>
      <c r="S24" s="486" t="s">
        <v>37</v>
      </c>
      <c r="T24" s="443" t="s">
        <v>24</v>
      </c>
      <c r="U24" s="380" t="s">
        <v>650</v>
      </c>
      <c r="V24" s="16" t="s">
        <v>2</v>
      </c>
    </row>
    <row r="25" spans="1:27" ht="15.75" thickBot="1">
      <c r="A25" s="354">
        <v>14</v>
      </c>
      <c r="B25" s="458" t="s">
        <v>41</v>
      </c>
      <c r="C25" s="484" t="s">
        <v>473</v>
      </c>
      <c r="D25" s="486" t="s">
        <v>42</v>
      </c>
      <c r="E25" s="443" t="s">
        <v>24</v>
      </c>
      <c r="F25" s="487" t="s">
        <v>1238</v>
      </c>
      <c r="G25" s="136"/>
      <c r="H25" s="136">
        <v>14</v>
      </c>
      <c r="I25" s="178"/>
      <c r="J25" s="106"/>
      <c r="K25" s="54"/>
      <c r="L25" s="42"/>
      <c r="M25" s="26"/>
      <c r="P25" s="96">
        <v>14</v>
      </c>
      <c r="Q25" s="458" t="s">
        <v>50</v>
      </c>
      <c r="R25" s="484" t="s">
        <v>477</v>
      </c>
      <c r="S25" s="486" t="s">
        <v>51</v>
      </c>
      <c r="T25" s="443" t="s">
        <v>24</v>
      </c>
      <c r="U25" s="380" t="s">
        <v>1236</v>
      </c>
      <c r="V25" s="16" t="s">
        <v>2</v>
      </c>
    </row>
    <row r="26" spans="1:27" ht="17.25" thickBot="1">
      <c r="A26" s="354">
        <v>15</v>
      </c>
      <c r="B26" s="458" t="s">
        <v>332</v>
      </c>
      <c r="C26" s="472" t="s">
        <v>496</v>
      </c>
      <c r="D26" s="442" t="s">
        <v>290</v>
      </c>
      <c r="E26" s="443" t="s">
        <v>24</v>
      </c>
      <c r="F26" s="487" t="s">
        <v>1237</v>
      </c>
      <c r="G26" s="136"/>
      <c r="H26" s="136">
        <v>15</v>
      </c>
      <c r="I26" s="179"/>
      <c r="J26" s="106"/>
      <c r="K26" s="63"/>
      <c r="L26" s="42"/>
      <c r="M26" s="249"/>
      <c r="P26" s="96">
        <v>15</v>
      </c>
      <c r="Q26" s="458" t="s">
        <v>52</v>
      </c>
      <c r="R26" s="484" t="s">
        <v>478</v>
      </c>
      <c r="S26" s="486" t="s">
        <v>28</v>
      </c>
      <c r="T26" s="443" t="s">
        <v>3</v>
      </c>
      <c r="U26" s="380" t="s">
        <v>1237</v>
      </c>
      <c r="V26" s="16" t="s">
        <v>2</v>
      </c>
    </row>
    <row r="27" spans="1:27" ht="17.25" thickBot="1">
      <c r="A27" s="354">
        <v>16</v>
      </c>
      <c r="B27" s="458" t="s">
        <v>44</v>
      </c>
      <c r="C27" s="484" t="s">
        <v>474</v>
      </c>
      <c r="D27" s="486" t="s">
        <v>11</v>
      </c>
      <c r="E27" s="443" t="s">
        <v>3</v>
      </c>
      <c r="F27" s="487" t="s">
        <v>1237</v>
      </c>
      <c r="G27" s="136"/>
      <c r="H27" s="136">
        <v>16</v>
      </c>
      <c r="I27" s="178"/>
      <c r="J27" s="106"/>
      <c r="K27" s="54"/>
      <c r="L27" s="145"/>
      <c r="M27" s="321"/>
      <c r="P27" s="96">
        <v>16</v>
      </c>
      <c r="Q27" s="458" t="s">
        <v>54</v>
      </c>
      <c r="R27" s="484" t="s">
        <v>479</v>
      </c>
      <c r="S27" s="486" t="s">
        <v>53</v>
      </c>
      <c r="T27" s="443" t="s">
        <v>24</v>
      </c>
      <c r="U27" s="380" t="s">
        <v>651</v>
      </c>
      <c r="V27" s="16" t="s">
        <v>2</v>
      </c>
      <c r="W27" s="268"/>
      <c r="X27" s="269"/>
      <c r="Y27" s="267"/>
      <c r="Z27" s="269"/>
      <c r="AA27" s="270"/>
    </row>
    <row r="28" spans="1:27" ht="17.25" thickBot="1">
      <c r="A28" s="354">
        <v>17</v>
      </c>
      <c r="B28" s="458" t="s">
        <v>46</v>
      </c>
      <c r="C28" s="484" t="s">
        <v>475</v>
      </c>
      <c r="D28" s="486" t="s">
        <v>47</v>
      </c>
      <c r="E28" s="443" t="s">
        <v>24</v>
      </c>
      <c r="F28" s="487" t="s">
        <v>650</v>
      </c>
      <c r="G28" s="136"/>
      <c r="H28" s="136">
        <v>17</v>
      </c>
      <c r="I28" s="179"/>
      <c r="J28" s="106"/>
      <c r="K28" s="54"/>
      <c r="L28" s="177"/>
      <c r="M28" s="86"/>
      <c r="P28" s="96">
        <v>17</v>
      </c>
      <c r="Q28" s="458" t="s">
        <v>55</v>
      </c>
      <c r="R28" s="484" t="s">
        <v>480</v>
      </c>
      <c r="S28" s="486" t="s">
        <v>40</v>
      </c>
      <c r="T28" s="443" t="s">
        <v>24</v>
      </c>
      <c r="U28" s="380" t="s">
        <v>651</v>
      </c>
      <c r="V28" s="16" t="s">
        <v>2</v>
      </c>
    </row>
    <row r="29" spans="1:27" ht="17.25" thickBot="1">
      <c r="A29" s="354">
        <v>18</v>
      </c>
      <c r="B29" s="458" t="s">
        <v>49</v>
      </c>
      <c r="C29" s="484" t="s">
        <v>476</v>
      </c>
      <c r="D29" s="486" t="s">
        <v>37</v>
      </c>
      <c r="E29" s="443" t="s">
        <v>24</v>
      </c>
      <c r="F29" s="487" t="s">
        <v>650</v>
      </c>
      <c r="G29" s="136"/>
      <c r="H29" s="136">
        <v>18</v>
      </c>
      <c r="I29" s="179"/>
      <c r="J29" s="106"/>
      <c r="K29" s="54"/>
      <c r="L29" s="42"/>
      <c r="M29" s="252"/>
      <c r="P29" s="96">
        <v>18</v>
      </c>
      <c r="Q29" s="458" t="s">
        <v>56</v>
      </c>
      <c r="R29" s="484" t="s">
        <v>481</v>
      </c>
      <c r="S29" s="486" t="s">
        <v>48</v>
      </c>
      <c r="T29" s="443" t="s">
        <v>24</v>
      </c>
      <c r="U29" s="380" t="s">
        <v>1236</v>
      </c>
      <c r="V29" s="16" t="s">
        <v>2</v>
      </c>
    </row>
    <row r="30" spans="1:27" ht="17.25" thickBot="1">
      <c r="A30" s="354">
        <v>19</v>
      </c>
      <c r="B30" s="458" t="s">
        <v>108</v>
      </c>
      <c r="C30" s="472" t="s">
        <v>571</v>
      </c>
      <c r="D30" s="442" t="s">
        <v>102</v>
      </c>
      <c r="E30" s="443" t="s">
        <v>24</v>
      </c>
      <c r="F30" s="487" t="s">
        <v>1236</v>
      </c>
      <c r="G30" s="279"/>
      <c r="H30" s="136">
        <v>19</v>
      </c>
      <c r="I30" s="44"/>
      <c r="J30" s="136"/>
      <c r="K30" s="447"/>
      <c r="L30" s="40"/>
      <c r="M30" s="328"/>
      <c r="P30" s="96">
        <v>19</v>
      </c>
      <c r="Q30" s="458" t="s">
        <v>58</v>
      </c>
      <c r="R30" s="484" t="s">
        <v>482</v>
      </c>
      <c r="S30" s="486" t="s">
        <v>45</v>
      </c>
      <c r="T30" s="443" t="s">
        <v>24</v>
      </c>
      <c r="U30" s="380" t="s">
        <v>1238</v>
      </c>
      <c r="V30" s="16" t="s">
        <v>2</v>
      </c>
    </row>
    <row r="31" spans="1:27" ht="17.25" thickBot="1">
      <c r="A31" s="354">
        <v>20</v>
      </c>
      <c r="B31" s="458" t="s">
        <v>50</v>
      </c>
      <c r="C31" s="484" t="s">
        <v>477</v>
      </c>
      <c r="D31" s="486" t="s">
        <v>51</v>
      </c>
      <c r="E31" s="443" t="s">
        <v>24</v>
      </c>
      <c r="F31" s="487" t="s">
        <v>1236</v>
      </c>
      <c r="G31" s="136"/>
      <c r="H31" s="136">
        <v>20</v>
      </c>
      <c r="I31" s="178"/>
      <c r="J31" s="106"/>
      <c r="K31" s="54"/>
      <c r="L31" s="42"/>
      <c r="M31" s="249"/>
      <c r="P31" s="96">
        <v>20</v>
      </c>
      <c r="Q31" s="458" t="s">
        <v>61</v>
      </c>
      <c r="R31" s="484" t="s">
        <v>483</v>
      </c>
      <c r="S31" s="486" t="s">
        <v>65</v>
      </c>
      <c r="T31" s="443" t="s">
        <v>3</v>
      </c>
      <c r="U31" s="380" t="s">
        <v>650</v>
      </c>
      <c r="V31" s="16" t="s">
        <v>2</v>
      </c>
    </row>
    <row r="32" spans="1:27" ht="15.75" thickBot="1">
      <c r="A32" s="354">
        <v>21</v>
      </c>
      <c r="B32" s="458" t="s">
        <v>52</v>
      </c>
      <c r="C32" s="484" t="s">
        <v>478</v>
      </c>
      <c r="D32" s="486" t="s">
        <v>28</v>
      </c>
      <c r="E32" s="443" t="s">
        <v>3</v>
      </c>
      <c r="F32" s="487" t="s">
        <v>1237</v>
      </c>
      <c r="G32" s="136"/>
      <c r="H32" s="136">
        <v>21</v>
      </c>
      <c r="I32" s="339"/>
      <c r="J32" s="106"/>
      <c r="K32" s="54"/>
      <c r="L32" s="42"/>
      <c r="M32" s="26"/>
      <c r="P32" s="96">
        <v>21</v>
      </c>
      <c r="Q32" s="458" t="s">
        <v>64</v>
      </c>
      <c r="R32" s="484" t="s">
        <v>484</v>
      </c>
      <c r="S32" s="486" t="s">
        <v>485</v>
      </c>
      <c r="T32" s="443" t="s">
        <v>3</v>
      </c>
      <c r="U32" s="380" t="s">
        <v>1237</v>
      </c>
      <c r="V32" s="16" t="s">
        <v>2</v>
      </c>
    </row>
    <row r="33" spans="1:27" ht="17.25" thickBot="1">
      <c r="A33" s="354">
        <v>22</v>
      </c>
      <c r="B33" s="458" t="s">
        <v>54</v>
      </c>
      <c r="C33" s="484" t="s">
        <v>479</v>
      </c>
      <c r="D33" s="486" t="s">
        <v>53</v>
      </c>
      <c r="E33" s="443" t="s">
        <v>24</v>
      </c>
      <c r="F33" s="487" t="s">
        <v>651</v>
      </c>
      <c r="G33" s="136"/>
      <c r="H33" s="136">
        <v>22</v>
      </c>
      <c r="I33" s="456"/>
      <c r="J33" s="451"/>
      <c r="K33" s="426"/>
      <c r="L33" s="423"/>
      <c r="M33" s="249"/>
      <c r="P33" s="96">
        <v>22</v>
      </c>
      <c r="Q33" s="458" t="s">
        <v>66</v>
      </c>
      <c r="R33" s="484" t="s">
        <v>486</v>
      </c>
      <c r="S33" s="486" t="s">
        <v>9</v>
      </c>
      <c r="T33" s="443" t="s">
        <v>3</v>
      </c>
      <c r="U33" s="380" t="s">
        <v>651</v>
      </c>
      <c r="V33" s="16" t="s">
        <v>2</v>
      </c>
    </row>
    <row r="34" spans="1:27" ht="17.25" thickBot="1">
      <c r="A34" s="354">
        <v>23</v>
      </c>
      <c r="B34" s="458" t="s">
        <v>55</v>
      </c>
      <c r="C34" s="484" t="s">
        <v>480</v>
      </c>
      <c r="D34" s="486" t="s">
        <v>40</v>
      </c>
      <c r="E34" s="443" t="s">
        <v>24</v>
      </c>
      <c r="F34" s="487" t="s">
        <v>651</v>
      </c>
      <c r="G34" s="136"/>
      <c r="H34" s="136">
        <v>23</v>
      </c>
      <c r="I34" s="453"/>
      <c r="J34" s="272"/>
      <c r="K34" s="454"/>
      <c r="L34" s="455"/>
      <c r="M34" s="324"/>
      <c r="P34" s="96">
        <v>23</v>
      </c>
      <c r="Q34" s="458" t="s">
        <v>67</v>
      </c>
      <c r="R34" s="484" t="s">
        <v>487</v>
      </c>
      <c r="S34" s="486" t="s">
        <v>8</v>
      </c>
      <c r="T34" s="443" t="s">
        <v>3</v>
      </c>
      <c r="U34" s="380" t="s">
        <v>651</v>
      </c>
      <c r="V34" s="16" t="s">
        <v>2</v>
      </c>
    </row>
    <row r="35" spans="1:27" ht="17.25" thickBot="1">
      <c r="A35" s="354">
        <v>24</v>
      </c>
      <c r="B35" s="458" t="s">
        <v>56</v>
      </c>
      <c r="C35" s="484" t="s">
        <v>481</v>
      </c>
      <c r="D35" s="486" t="s">
        <v>48</v>
      </c>
      <c r="E35" s="443" t="s">
        <v>24</v>
      </c>
      <c r="F35" s="487" t="s">
        <v>1236</v>
      </c>
      <c r="G35" s="136"/>
      <c r="H35" s="136">
        <v>24</v>
      </c>
      <c r="I35" s="307"/>
      <c r="J35" s="107"/>
      <c r="K35" s="74"/>
      <c r="L35" s="308"/>
      <c r="M35" s="306"/>
      <c r="P35" s="96">
        <v>24</v>
      </c>
      <c r="Q35" s="458" t="s">
        <v>69</v>
      </c>
      <c r="R35" s="484" t="s">
        <v>488</v>
      </c>
      <c r="S35" s="486" t="s">
        <v>30</v>
      </c>
      <c r="T35" s="443" t="s">
        <v>3</v>
      </c>
      <c r="U35" s="380" t="s">
        <v>651</v>
      </c>
      <c r="V35" s="16" t="s">
        <v>2</v>
      </c>
    </row>
    <row r="36" spans="1:27" ht="17.25" thickBot="1">
      <c r="A36" s="354">
        <v>25</v>
      </c>
      <c r="B36" s="458" t="s">
        <v>58</v>
      </c>
      <c r="C36" s="484" t="s">
        <v>482</v>
      </c>
      <c r="D36" s="486" t="s">
        <v>45</v>
      </c>
      <c r="E36" s="443" t="s">
        <v>24</v>
      </c>
      <c r="F36" s="487" t="s">
        <v>1238</v>
      </c>
      <c r="G36" s="136"/>
      <c r="H36" s="136">
        <v>25</v>
      </c>
      <c r="I36" s="179"/>
      <c r="J36" s="106"/>
      <c r="K36" s="54"/>
      <c r="L36" s="42"/>
      <c r="M36" s="250"/>
      <c r="P36" s="96">
        <v>25</v>
      </c>
      <c r="Q36" s="458" t="s">
        <v>72</v>
      </c>
      <c r="R36" s="484" t="s">
        <v>490</v>
      </c>
      <c r="S36" s="486" t="s">
        <v>43</v>
      </c>
      <c r="T36" s="443" t="s">
        <v>24</v>
      </c>
      <c r="U36" s="380" t="s">
        <v>1236</v>
      </c>
      <c r="V36" s="16" t="s">
        <v>2</v>
      </c>
    </row>
    <row r="37" spans="1:27" ht="17.25" thickBot="1">
      <c r="A37" s="354">
        <v>26</v>
      </c>
      <c r="B37" s="458" t="s">
        <v>61</v>
      </c>
      <c r="C37" s="484" t="s">
        <v>483</v>
      </c>
      <c r="D37" s="486" t="s">
        <v>65</v>
      </c>
      <c r="E37" s="443" t="s">
        <v>3</v>
      </c>
      <c r="F37" s="487" t="s">
        <v>650</v>
      </c>
      <c r="G37" s="136"/>
      <c r="H37" s="136">
        <v>26</v>
      </c>
      <c r="I37" s="307"/>
      <c r="J37" s="107"/>
      <c r="K37" s="71"/>
      <c r="L37" s="308"/>
      <c r="M37" s="306"/>
      <c r="P37" s="96">
        <v>26</v>
      </c>
      <c r="Q37" s="458" t="s">
        <v>75</v>
      </c>
      <c r="R37" s="484" t="s">
        <v>491</v>
      </c>
      <c r="S37" s="486" t="s">
        <v>25</v>
      </c>
      <c r="T37" s="443" t="s">
        <v>3</v>
      </c>
      <c r="U37" s="380" t="s">
        <v>1238</v>
      </c>
      <c r="V37" s="16" t="s">
        <v>2</v>
      </c>
      <c r="W37" s="79"/>
      <c r="X37" s="125"/>
      <c r="Y37" s="78"/>
      <c r="Z37" s="125"/>
      <c r="AA37" s="88"/>
    </row>
    <row r="38" spans="1:27" ht="17.25" thickBot="1">
      <c r="A38" s="354">
        <v>27</v>
      </c>
      <c r="B38" s="458" t="s">
        <v>64</v>
      </c>
      <c r="C38" s="484" t="s">
        <v>484</v>
      </c>
      <c r="D38" s="486" t="s">
        <v>485</v>
      </c>
      <c r="E38" s="443" t="s">
        <v>3</v>
      </c>
      <c r="F38" s="487" t="s">
        <v>1237</v>
      </c>
      <c r="G38" s="136"/>
      <c r="H38" s="136">
        <v>27</v>
      </c>
      <c r="I38" s="179"/>
      <c r="J38" s="106"/>
      <c r="K38" s="54"/>
      <c r="L38" s="42"/>
      <c r="M38" s="250"/>
      <c r="P38" s="96">
        <v>27</v>
      </c>
      <c r="Q38" s="458" t="s">
        <v>97</v>
      </c>
      <c r="R38" s="472" t="s">
        <v>566</v>
      </c>
      <c r="S38" s="442" t="s">
        <v>563</v>
      </c>
      <c r="T38" s="443" t="s">
        <v>24</v>
      </c>
      <c r="U38" s="380" t="s">
        <v>1236</v>
      </c>
      <c r="V38" s="16" t="s">
        <v>2</v>
      </c>
    </row>
    <row r="39" spans="1:27" ht="17.25" thickBot="1">
      <c r="A39" s="354">
        <v>28</v>
      </c>
      <c r="B39" s="458" t="s">
        <v>66</v>
      </c>
      <c r="C39" s="484" t="s">
        <v>486</v>
      </c>
      <c r="D39" s="486" t="s">
        <v>9</v>
      </c>
      <c r="E39" s="443" t="s">
        <v>3</v>
      </c>
      <c r="F39" s="487" t="s">
        <v>651</v>
      </c>
      <c r="G39" s="136"/>
      <c r="H39" s="136">
        <v>28</v>
      </c>
      <c r="I39" s="179"/>
      <c r="J39" s="106"/>
      <c r="K39" s="63"/>
      <c r="L39" s="42"/>
      <c r="M39" s="250"/>
      <c r="P39" s="96">
        <v>28</v>
      </c>
      <c r="Q39" s="458" t="s">
        <v>99</v>
      </c>
      <c r="R39" s="472" t="s">
        <v>567</v>
      </c>
      <c r="S39" s="442" t="s">
        <v>93</v>
      </c>
      <c r="T39" s="443" t="s">
        <v>24</v>
      </c>
      <c r="U39" s="380" t="s">
        <v>650</v>
      </c>
      <c r="V39" s="16" t="s">
        <v>2</v>
      </c>
    </row>
    <row r="40" spans="1:27" ht="17.25" thickBot="1">
      <c r="A40" s="354">
        <v>29</v>
      </c>
      <c r="B40" s="458" t="s">
        <v>67</v>
      </c>
      <c r="C40" s="484" t="s">
        <v>487</v>
      </c>
      <c r="D40" s="486" t="s">
        <v>8</v>
      </c>
      <c r="E40" s="443" t="s">
        <v>3</v>
      </c>
      <c r="F40" s="487" t="s">
        <v>651</v>
      </c>
      <c r="G40" s="136"/>
      <c r="H40" s="136">
        <v>29</v>
      </c>
      <c r="I40" s="307"/>
      <c r="J40" s="107"/>
      <c r="K40" s="74"/>
      <c r="L40" s="310"/>
      <c r="M40" s="306"/>
      <c r="P40" s="96">
        <v>29</v>
      </c>
      <c r="Q40" s="458" t="s">
        <v>101</v>
      </c>
      <c r="R40" s="472" t="s">
        <v>568</v>
      </c>
      <c r="S40" s="442" t="s">
        <v>90</v>
      </c>
      <c r="T40" s="443" t="s">
        <v>24</v>
      </c>
      <c r="U40" s="380" t="s">
        <v>651</v>
      </c>
      <c r="V40" s="16" t="s">
        <v>2</v>
      </c>
    </row>
    <row r="41" spans="1:27" ht="17.25" thickBot="1">
      <c r="A41" s="354">
        <v>30</v>
      </c>
      <c r="B41" s="458" t="s">
        <v>69</v>
      </c>
      <c r="C41" s="484" t="s">
        <v>488</v>
      </c>
      <c r="D41" s="486" t="s">
        <v>30</v>
      </c>
      <c r="E41" s="443" t="s">
        <v>3</v>
      </c>
      <c r="F41" s="487" t="s">
        <v>651</v>
      </c>
      <c r="G41" s="136"/>
      <c r="H41" s="136">
        <v>30</v>
      </c>
      <c r="I41" s="307"/>
      <c r="J41" s="107"/>
      <c r="K41" s="74"/>
      <c r="L41" s="308"/>
      <c r="M41" s="306"/>
      <c r="P41" s="96">
        <v>30</v>
      </c>
      <c r="Q41" s="458" t="s">
        <v>103</v>
      </c>
      <c r="R41" s="472" t="s">
        <v>569</v>
      </c>
      <c r="S41" s="442" t="s">
        <v>82</v>
      </c>
      <c r="T41" s="443" t="s">
        <v>3</v>
      </c>
      <c r="U41" s="380" t="s">
        <v>1238</v>
      </c>
      <c r="V41" s="16" t="s">
        <v>2</v>
      </c>
      <c r="W41" s="500" t="s">
        <v>71</v>
      </c>
      <c r="X41" s="1002" t="s">
        <v>489</v>
      </c>
      <c r="Y41" s="570" t="s">
        <v>12</v>
      </c>
      <c r="Z41" s="503" t="s">
        <v>3</v>
      </c>
      <c r="AA41" s="795" t="s">
        <v>650</v>
      </c>
    </row>
    <row r="42" spans="1:27" ht="17.25" thickBot="1">
      <c r="A42" s="354">
        <v>31</v>
      </c>
      <c r="B42" s="458" t="s">
        <v>72</v>
      </c>
      <c r="C42" s="484" t="s">
        <v>490</v>
      </c>
      <c r="D42" s="486" t="s">
        <v>43</v>
      </c>
      <c r="E42" s="443" t="s">
        <v>24</v>
      </c>
      <c r="F42" s="487" t="s">
        <v>1236</v>
      </c>
      <c r="G42" s="136"/>
      <c r="H42" s="136">
        <v>31</v>
      </c>
      <c r="I42" s="336"/>
      <c r="J42" s="69"/>
      <c r="K42" s="54"/>
      <c r="L42" s="55"/>
      <c r="M42" s="452"/>
      <c r="P42" s="96">
        <v>31</v>
      </c>
      <c r="Q42" s="368" t="s">
        <v>106</v>
      </c>
      <c r="R42" s="282" t="s">
        <v>570</v>
      </c>
      <c r="S42" s="286" t="s">
        <v>562</v>
      </c>
      <c r="T42" s="382" t="s">
        <v>24</v>
      </c>
      <c r="U42" s="380" t="s">
        <v>1236</v>
      </c>
      <c r="V42" s="16" t="s">
        <v>2</v>
      </c>
    </row>
    <row r="43" spans="1:27" ht="17.25" thickBot="1">
      <c r="A43" s="902">
        <v>32</v>
      </c>
      <c r="B43" s="236" t="s">
        <v>75</v>
      </c>
      <c r="C43" s="933" t="s">
        <v>491</v>
      </c>
      <c r="D43" s="935" t="s">
        <v>25</v>
      </c>
      <c r="E43" s="889" t="s">
        <v>3</v>
      </c>
      <c r="F43" s="890" t="s">
        <v>1238</v>
      </c>
      <c r="G43" s="136"/>
      <c r="H43" s="136">
        <v>32</v>
      </c>
      <c r="I43" s="179"/>
      <c r="J43" s="106"/>
      <c r="K43" s="54"/>
      <c r="L43" s="42"/>
      <c r="M43" s="324"/>
      <c r="P43" s="96">
        <v>32</v>
      </c>
      <c r="Q43" s="383" t="s">
        <v>108</v>
      </c>
      <c r="R43" s="350" t="s">
        <v>571</v>
      </c>
      <c r="S43" s="385" t="s">
        <v>102</v>
      </c>
      <c r="T43" s="379" t="s">
        <v>24</v>
      </c>
      <c r="U43" s="380" t="s">
        <v>1236</v>
      </c>
      <c r="V43" s="16" t="s">
        <v>2</v>
      </c>
    </row>
    <row r="44" spans="1:27" ht="16.5" thickBot="1">
      <c r="A44" s="877" t="s">
        <v>24</v>
      </c>
      <c r="B44" s="440">
        <v>20</v>
      </c>
      <c r="C44" s="903"/>
      <c r="D44" s="904"/>
      <c r="E44" s="905"/>
      <c r="F44" s="906"/>
      <c r="G44" s="331"/>
      <c r="H44" s="331"/>
      <c r="P44" s="96">
        <v>1</v>
      </c>
      <c r="Q44" s="138" t="s">
        <v>110</v>
      </c>
      <c r="R44" s="431" t="s">
        <v>572</v>
      </c>
      <c r="S44" s="210" t="s">
        <v>92</v>
      </c>
      <c r="T44" s="211" t="s">
        <v>24</v>
      </c>
      <c r="U44" s="56" t="s">
        <v>1237</v>
      </c>
      <c r="V44" s="136" t="s">
        <v>62</v>
      </c>
    </row>
    <row r="45" spans="1:27" ht="17.25" thickBot="1">
      <c r="A45" s="359" t="s">
        <v>3</v>
      </c>
      <c r="B45" s="907">
        <v>12</v>
      </c>
      <c r="C45" s="907"/>
      <c r="D45" s="908"/>
      <c r="E45" s="907"/>
      <c r="F45" s="509"/>
      <c r="G45" s="332"/>
      <c r="H45" s="332"/>
      <c r="I45" s="332"/>
      <c r="J45" s="332"/>
      <c r="K45" s="332"/>
      <c r="L45" s="332"/>
      <c r="P45" s="96">
        <v>2</v>
      </c>
      <c r="Q45" s="138" t="s">
        <v>112</v>
      </c>
      <c r="R45" s="431" t="s">
        <v>573</v>
      </c>
      <c r="S45" s="210" t="s">
        <v>98</v>
      </c>
      <c r="T45" s="56" t="s">
        <v>24</v>
      </c>
      <c r="U45" s="56" t="s">
        <v>1238</v>
      </c>
      <c r="V45" s="136" t="s">
        <v>62</v>
      </c>
      <c r="W45" s="734" t="s">
        <v>159</v>
      </c>
      <c r="X45" s="739" t="s">
        <v>525</v>
      </c>
      <c r="Y45" s="502" t="s">
        <v>131</v>
      </c>
      <c r="Z45" s="503" t="s">
        <v>3</v>
      </c>
      <c r="AA45" s="795" t="s">
        <v>1237</v>
      </c>
    </row>
    <row r="46" spans="1:27" ht="15.75" thickBot="1">
      <c r="E46" s="810" t="s">
        <v>1242</v>
      </c>
      <c r="P46" s="96">
        <v>3</v>
      </c>
      <c r="Q46" s="458" t="s">
        <v>114</v>
      </c>
      <c r="R46" s="493" t="s">
        <v>574</v>
      </c>
      <c r="S46" s="442" t="s">
        <v>117</v>
      </c>
      <c r="T46" s="443" t="s">
        <v>3</v>
      </c>
      <c r="U46" s="380" t="s">
        <v>1236</v>
      </c>
      <c r="V46" s="136" t="s">
        <v>62</v>
      </c>
    </row>
    <row r="47" spans="1:27" ht="15.75" thickBot="1">
      <c r="A47" s="103"/>
      <c r="B47" s="116"/>
      <c r="C47" s="103"/>
      <c r="D47" s="118"/>
      <c r="E47" s="115" t="s">
        <v>84</v>
      </c>
      <c r="F47" s="103"/>
      <c r="G47" s="103"/>
      <c r="H47" s="103"/>
      <c r="I47" s="103"/>
      <c r="J47" s="103"/>
      <c r="K47" s="103"/>
      <c r="L47" s="103"/>
      <c r="P47" s="96">
        <v>4</v>
      </c>
      <c r="Q47" s="458" t="s">
        <v>116</v>
      </c>
      <c r="R47" s="472" t="s">
        <v>575</v>
      </c>
      <c r="S47" s="442" t="s">
        <v>68</v>
      </c>
      <c r="T47" s="443" t="s">
        <v>3</v>
      </c>
      <c r="U47" s="380" t="s">
        <v>1238</v>
      </c>
      <c r="V47" s="136" t="s">
        <v>62</v>
      </c>
    </row>
    <row r="48" spans="1:27" ht="15.75" thickBot="1">
      <c r="A48" s="103"/>
      <c r="B48" s="103"/>
      <c r="C48" s="115"/>
      <c r="D48" s="120"/>
      <c r="E48" s="121" t="str">
        <f>WLKLS!B12</f>
        <v>Hj. EHA JULAEHA, S.Pd.</v>
      </c>
      <c r="F48" s="122"/>
      <c r="G48" s="122"/>
      <c r="H48" s="122"/>
      <c r="I48" s="122"/>
      <c r="J48" s="122"/>
      <c r="K48" s="122"/>
      <c r="L48" s="122"/>
      <c r="P48" s="96">
        <v>5</v>
      </c>
      <c r="Q48" s="458" t="s">
        <v>119</v>
      </c>
      <c r="R48" s="472" t="s">
        <v>576</v>
      </c>
      <c r="S48" s="442" t="s">
        <v>91</v>
      </c>
      <c r="T48" s="445" t="s">
        <v>24</v>
      </c>
      <c r="U48" s="380" t="s">
        <v>1237</v>
      </c>
      <c r="V48" s="136" t="s">
        <v>62</v>
      </c>
    </row>
    <row r="49" spans="1:22" ht="15.75" thickBot="1">
      <c r="A49" s="103"/>
      <c r="B49" s="103"/>
      <c r="C49" s="115"/>
      <c r="D49" s="120"/>
      <c r="E49" s="247" t="str">
        <f>WLKLS!C12</f>
        <v>NIP. 198007162008012005</v>
      </c>
      <c r="F49" s="115"/>
      <c r="G49" s="115"/>
      <c r="H49" s="115"/>
      <c r="I49" s="115"/>
      <c r="J49" s="115"/>
      <c r="K49" s="115"/>
      <c r="L49" s="115"/>
      <c r="P49" s="96">
        <v>6</v>
      </c>
      <c r="Q49" s="458" t="s">
        <v>121</v>
      </c>
      <c r="R49" s="472" t="s">
        <v>577</v>
      </c>
      <c r="S49" s="442" t="s">
        <v>70</v>
      </c>
      <c r="T49" s="443" t="s">
        <v>3</v>
      </c>
      <c r="U49" s="380" t="s">
        <v>651</v>
      </c>
      <c r="V49" s="136" t="s">
        <v>62</v>
      </c>
    </row>
    <row r="50" spans="1:22" ht="6.75" customHeight="1" thickBot="1">
      <c r="A50" s="103"/>
      <c r="B50" s="103"/>
      <c r="C50" s="115"/>
      <c r="D50" s="120"/>
      <c r="E50" s="123"/>
      <c r="F50" s="115"/>
      <c r="G50" s="115"/>
      <c r="H50" s="115"/>
      <c r="I50" s="115"/>
      <c r="J50" s="115"/>
      <c r="K50" s="115"/>
      <c r="L50" s="115"/>
      <c r="P50" s="96">
        <v>7</v>
      </c>
      <c r="Q50" s="458" t="s">
        <v>123</v>
      </c>
      <c r="R50" s="472" t="s">
        <v>578</v>
      </c>
      <c r="S50" s="442" t="s">
        <v>80</v>
      </c>
      <c r="T50" s="443" t="s">
        <v>3</v>
      </c>
      <c r="U50" s="380" t="s">
        <v>651</v>
      </c>
      <c r="V50" s="136" t="s">
        <v>62</v>
      </c>
    </row>
    <row r="51" spans="1:22" ht="15.75" thickBot="1">
      <c r="A51" s="1018" t="s">
        <v>0</v>
      </c>
      <c r="B51" s="1018"/>
      <c r="C51" s="1018"/>
      <c r="D51" s="1018"/>
      <c r="E51" s="1018"/>
      <c r="F51" s="1018"/>
      <c r="G51" s="300"/>
      <c r="H51" s="300"/>
      <c r="I51" s="300"/>
      <c r="J51" s="300"/>
      <c r="K51" s="300"/>
      <c r="L51" s="300"/>
      <c r="P51" s="96">
        <v>8</v>
      </c>
      <c r="Q51" s="458" t="s">
        <v>124</v>
      </c>
      <c r="R51" s="472" t="s">
        <v>579</v>
      </c>
      <c r="S51" s="442" t="s">
        <v>87</v>
      </c>
      <c r="T51" s="445" t="s">
        <v>24</v>
      </c>
      <c r="U51" s="380" t="s">
        <v>1237</v>
      </c>
      <c r="V51" s="136" t="s">
        <v>62</v>
      </c>
    </row>
    <row r="52" spans="1:22" ht="15.75" thickBot="1">
      <c r="A52" s="1018" t="s">
        <v>1</v>
      </c>
      <c r="B52" s="1018"/>
      <c r="C52" s="1018"/>
      <c r="D52" s="1018"/>
      <c r="E52" s="1018"/>
      <c r="F52" s="1018"/>
      <c r="G52" s="300"/>
      <c r="H52" s="300"/>
      <c r="I52" s="300"/>
      <c r="J52" s="300"/>
      <c r="K52" s="300"/>
      <c r="L52" s="300"/>
      <c r="P52" s="96">
        <v>9</v>
      </c>
      <c r="Q52" s="458" t="s">
        <v>126</v>
      </c>
      <c r="R52" s="472" t="s">
        <v>582</v>
      </c>
      <c r="S52" s="442" t="s">
        <v>561</v>
      </c>
      <c r="T52" s="443" t="s">
        <v>3</v>
      </c>
      <c r="U52" s="380" t="s">
        <v>651</v>
      </c>
      <c r="V52" s="136" t="s">
        <v>62</v>
      </c>
    </row>
    <row r="53" spans="1:22" ht="15.75" thickBot="1">
      <c r="A53" s="1018" t="s">
        <v>4</v>
      </c>
      <c r="B53" s="1018"/>
      <c r="C53" s="1018"/>
      <c r="D53" s="1018"/>
      <c r="E53" s="1018"/>
      <c r="F53" s="1018"/>
      <c r="G53" s="300"/>
      <c r="H53" s="300"/>
      <c r="I53" s="300"/>
      <c r="J53" s="300"/>
      <c r="K53" s="300"/>
      <c r="L53" s="300"/>
      <c r="P53" s="96">
        <v>10</v>
      </c>
      <c r="Q53" s="458" t="s">
        <v>128</v>
      </c>
      <c r="R53" s="472" t="s">
        <v>580</v>
      </c>
      <c r="S53" s="442" t="s">
        <v>89</v>
      </c>
      <c r="T53" s="443" t="s">
        <v>24</v>
      </c>
      <c r="U53" s="380" t="s">
        <v>651</v>
      </c>
      <c r="V53" s="136" t="s">
        <v>62</v>
      </c>
    </row>
    <row r="54" spans="1:22" ht="15.75" thickBot="1">
      <c r="A54" s="1019" t="s">
        <v>6</v>
      </c>
      <c r="B54" s="1019"/>
      <c r="C54" s="1019"/>
      <c r="D54" s="1019"/>
      <c r="E54" s="1019"/>
      <c r="F54" s="1019"/>
      <c r="G54" s="301"/>
      <c r="H54" s="301"/>
      <c r="I54" s="301"/>
      <c r="J54" s="301"/>
      <c r="K54" s="301"/>
      <c r="L54" s="301"/>
      <c r="P54" s="96">
        <v>11</v>
      </c>
      <c r="Q54" s="458" t="s">
        <v>130</v>
      </c>
      <c r="R54" s="472" t="s">
        <v>581</v>
      </c>
      <c r="S54" s="442" t="s">
        <v>63</v>
      </c>
      <c r="T54" s="443" t="s">
        <v>3</v>
      </c>
      <c r="U54" s="380" t="s">
        <v>650</v>
      </c>
      <c r="V54" s="136" t="s">
        <v>62</v>
      </c>
    </row>
    <row r="55" spans="1:22" ht="15.75" thickBot="1">
      <c r="A55" s="1020" t="s">
        <v>7</v>
      </c>
      <c r="B55" s="1020"/>
      <c r="C55" s="1020"/>
      <c r="D55" s="1020"/>
      <c r="E55" s="1020"/>
      <c r="F55" s="1020"/>
      <c r="G55" s="304"/>
      <c r="H55" s="304"/>
      <c r="I55" s="304"/>
      <c r="J55" s="304"/>
      <c r="K55" s="304"/>
      <c r="L55" s="304"/>
      <c r="P55" s="96">
        <v>12</v>
      </c>
      <c r="Q55" s="458" t="s">
        <v>132</v>
      </c>
      <c r="R55" s="472" t="s">
        <v>586</v>
      </c>
      <c r="S55" s="442" t="s">
        <v>585</v>
      </c>
      <c r="T55" s="443" t="s">
        <v>3</v>
      </c>
      <c r="U55" s="380" t="s">
        <v>650</v>
      </c>
      <c r="V55" s="136" t="s">
        <v>62</v>
      </c>
    </row>
    <row r="56" spans="1:22" ht="16.5" thickTop="1" thickBot="1">
      <c r="A56" s="97"/>
      <c r="B56" s="98"/>
      <c r="C56" s="98"/>
      <c r="D56" s="99"/>
      <c r="E56" s="98"/>
      <c r="F56" s="98"/>
      <c r="G56" s="40"/>
      <c r="H56" s="40"/>
      <c r="I56" s="40"/>
      <c r="J56" s="40"/>
      <c r="K56" s="40"/>
      <c r="L56" s="40"/>
      <c r="P56" s="96">
        <v>13</v>
      </c>
      <c r="Q56" s="458" t="s">
        <v>134</v>
      </c>
      <c r="R56" s="472" t="s">
        <v>583</v>
      </c>
      <c r="S56" s="442" t="s">
        <v>76</v>
      </c>
      <c r="T56" s="443" t="s">
        <v>3</v>
      </c>
      <c r="U56" s="380" t="s">
        <v>650</v>
      </c>
      <c r="V56" s="136" t="s">
        <v>62</v>
      </c>
    </row>
    <row r="57" spans="1:22" ht="16.5" thickBot="1">
      <c r="A57" s="1021" t="s">
        <v>1053</v>
      </c>
      <c r="B57" s="1021"/>
      <c r="C57" s="1021"/>
      <c r="D57" s="1021"/>
      <c r="E57" s="1021"/>
      <c r="F57" s="1021"/>
      <c r="G57" s="302"/>
      <c r="H57" s="302"/>
      <c r="I57" s="302"/>
      <c r="J57" s="302"/>
      <c r="K57" s="302"/>
      <c r="L57" s="302"/>
      <c r="P57" s="96">
        <v>14</v>
      </c>
      <c r="Q57" s="458" t="s">
        <v>136</v>
      </c>
      <c r="R57" s="472" t="s">
        <v>584</v>
      </c>
      <c r="S57" s="442" t="s">
        <v>73</v>
      </c>
      <c r="T57" s="445" t="s">
        <v>3</v>
      </c>
      <c r="U57" s="380" t="s">
        <v>1237</v>
      </c>
      <c r="V57" s="136" t="s">
        <v>62</v>
      </c>
    </row>
    <row r="58" spans="1:22" ht="16.5" thickBot="1">
      <c r="A58" s="1022" t="s">
        <v>1241</v>
      </c>
      <c r="B58" s="1022"/>
      <c r="C58" s="1022"/>
      <c r="D58" s="1022"/>
      <c r="E58" s="1022"/>
      <c r="F58" s="1022"/>
      <c r="G58" s="303"/>
      <c r="H58" s="303"/>
      <c r="I58" s="303"/>
      <c r="J58" s="303"/>
      <c r="K58" s="303"/>
      <c r="L58" s="303"/>
      <c r="P58" s="96">
        <v>15</v>
      </c>
      <c r="Q58" s="458" t="s">
        <v>138</v>
      </c>
      <c r="R58" s="472" t="s">
        <v>587</v>
      </c>
      <c r="S58" s="442" t="s">
        <v>560</v>
      </c>
      <c r="T58" s="445" t="s">
        <v>3</v>
      </c>
      <c r="U58" s="380" t="s">
        <v>1237</v>
      </c>
      <c r="V58" s="136" t="s">
        <v>62</v>
      </c>
    </row>
    <row r="59" spans="1:22" ht="15.75" thickBot="1">
      <c r="A59" s="100"/>
      <c r="B59" s="100"/>
      <c r="C59" s="101"/>
      <c r="D59" s="102"/>
      <c r="E59" s="103"/>
      <c r="F59" s="103"/>
      <c r="G59" s="103"/>
      <c r="H59" s="103"/>
      <c r="I59" s="103"/>
      <c r="J59" s="103"/>
      <c r="K59" s="103"/>
      <c r="L59" s="103"/>
      <c r="P59" s="96">
        <v>16</v>
      </c>
      <c r="Q59" s="458" t="s">
        <v>140</v>
      </c>
      <c r="R59" s="472" t="s">
        <v>588</v>
      </c>
      <c r="S59" s="442" t="s">
        <v>74</v>
      </c>
      <c r="T59" s="445" t="s">
        <v>3</v>
      </c>
      <c r="U59" s="380" t="s">
        <v>1237</v>
      </c>
      <c r="V59" s="136" t="s">
        <v>62</v>
      </c>
    </row>
    <row r="60" spans="1:22" ht="16.5" thickBot="1">
      <c r="A60" s="1023" t="s">
        <v>13</v>
      </c>
      <c r="B60" s="1024"/>
      <c r="C60" s="1025"/>
      <c r="D60" s="1026" t="s">
        <v>14</v>
      </c>
      <c r="E60" s="1026" t="s">
        <v>15</v>
      </c>
      <c r="F60" s="400" t="s">
        <v>346</v>
      </c>
      <c r="G60" s="335"/>
      <c r="H60" s="335"/>
      <c r="I60" s="335"/>
      <c r="J60" s="335"/>
      <c r="K60" s="335"/>
      <c r="L60" s="335"/>
      <c r="P60" s="96">
        <v>17</v>
      </c>
      <c r="Q60" s="458" t="s">
        <v>142</v>
      </c>
      <c r="R60" s="472" t="s">
        <v>589</v>
      </c>
      <c r="S60" s="442" t="s">
        <v>81</v>
      </c>
      <c r="T60" s="443" t="s">
        <v>3</v>
      </c>
      <c r="U60" s="380" t="s">
        <v>1236</v>
      </c>
      <c r="V60" s="136" t="s">
        <v>62</v>
      </c>
    </row>
    <row r="61" spans="1:22" ht="16.5" thickBot="1">
      <c r="A61" s="796" t="s">
        <v>18</v>
      </c>
      <c r="B61" s="796" t="s">
        <v>19</v>
      </c>
      <c r="C61" s="796" t="s">
        <v>20</v>
      </c>
      <c r="D61" s="1027"/>
      <c r="E61" s="1027"/>
      <c r="F61" s="797" t="s">
        <v>347</v>
      </c>
      <c r="G61" s="335"/>
      <c r="H61" s="335"/>
      <c r="I61" s="335"/>
      <c r="J61" s="335"/>
      <c r="K61" s="335"/>
      <c r="L61" s="335"/>
      <c r="P61" s="96">
        <v>18</v>
      </c>
      <c r="Q61" s="356" t="s">
        <v>144</v>
      </c>
      <c r="R61" s="347" t="s">
        <v>590</v>
      </c>
      <c r="S61" s="377" t="s">
        <v>100</v>
      </c>
      <c r="T61" s="376" t="s">
        <v>24</v>
      </c>
      <c r="U61" s="380" t="s">
        <v>650</v>
      </c>
      <c r="V61" s="136" t="s">
        <v>62</v>
      </c>
    </row>
    <row r="62" spans="1:22" ht="17.25" thickBot="1">
      <c r="A62" s="877">
        <v>1</v>
      </c>
      <c r="B62" s="878" t="s">
        <v>179</v>
      </c>
      <c r="C62" s="879" t="s">
        <v>526</v>
      </c>
      <c r="D62" s="806" t="s">
        <v>127</v>
      </c>
      <c r="E62" s="807" t="s">
        <v>3</v>
      </c>
      <c r="F62" s="808" t="s">
        <v>651</v>
      </c>
      <c r="G62" s="136"/>
      <c r="H62" s="136">
        <v>1</v>
      </c>
      <c r="I62" s="402"/>
      <c r="J62" s="69"/>
      <c r="K62" s="54"/>
      <c r="L62" s="55"/>
      <c r="M62" s="403"/>
      <c r="P62" s="96">
        <v>19</v>
      </c>
      <c r="Q62" s="458" t="s">
        <v>146</v>
      </c>
      <c r="R62" s="472" t="s">
        <v>591</v>
      </c>
      <c r="S62" s="442" t="s">
        <v>95</v>
      </c>
      <c r="T62" s="443" t="s">
        <v>24</v>
      </c>
      <c r="U62" s="380" t="s">
        <v>651</v>
      </c>
      <c r="V62" s="136" t="s">
        <v>62</v>
      </c>
    </row>
    <row r="63" spans="1:22" ht="17.25" thickBot="1">
      <c r="A63" s="358">
        <v>2</v>
      </c>
      <c r="B63" s="384" t="s">
        <v>181</v>
      </c>
      <c r="C63" s="346" t="s">
        <v>527</v>
      </c>
      <c r="D63" s="377" t="s">
        <v>122</v>
      </c>
      <c r="E63" s="376" t="s">
        <v>3</v>
      </c>
      <c r="F63" s="880" t="s">
        <v>651</v>
      </c>
      <c r="G63" s="136"/>
      <c r="H63" s="136">
        <v>2</v>
      </c>
      <c r="I63" s="311"/>
      <c r="J63" s="107"/>
      <c r="K63" s="74"/>
      <c r="L63" s="308"/>
      <c r="M63" s="327"/>
      <c r="P63" s="96">
        <v>20</v>
      </c>
      <c r="Q63" s="458" t="s">
        <v>148</v>
      </c>
      <c r="R63" s="472" t="s">
        <v>592</v>
      </c>
      <c r="S63" s="442" t="s">
        <v>94</v>
      </c>
      <c r="T63" s="443" t="s">
        <v>24</v>
      </c>
      <c r="U63" s="380" t="s">
        <v>651</v>
      </c>
      <c r="V63" s="136" t="s">
        <v>62</v>
      </c>
    </row>
    <row r="64" spans="1:22" ht="17.25" thickBot="1">
      <c r="A64" s="358">
        <v>3</v>
      </c>
      <c r="B64" s="384" t="s">
        <v>183</v>
      </c>
      <c r="C64" s="346" t="s">
        <v>528</v>
      </c>
      <c r="D64" s="377" t="s">
        <v>151</v>
      </c>
      <c r="E64" s="376" t="s">
        <v>24</v>
      </c>
      <c r="F64" s="880" t="s">
        <v>1237</v>
      </c>
      <c r="G64" s="136"/>
      <c r="H64" s="136">
        <v>3</v>
      </c>
      <c r="I64" s="344"/>
      <c r="J64" s="106"/>
      <c r="K64" s="54"/>
      <c r="L64" s="42"/>
      <c r="M64" s="321"/>
      <c r="P64" s="96">
        <v>21</v>
      </c>
      <c r="Q64" s="458" t="s">
        <v>152</v>
      </c>
      <c r="R64" s="472" t="s">
        <v>594</v>
      </c>
      <c r="S64" s="442" t="s">
        <v>85</v>
      </c>
      <c r="T64" s="443" t="s">
        <v>3</v>
      </c>
      <c r="U64" s="380" t="s">
        <v>1236</v>
      </c>
      <c r="V64" s="136" t="s">
        <v>62</v>
      </c>
    </row>
    <row r="65" spans="1:27" ht="17.25" thickBot="1">
      <c r="A65" s="358">
        <v>4</v>
      </c>
      <c r="B65" s="384" t="s">
        <v>185</v>
      </c>
      <c r="C65" s="346" t="s">
        <v>529</v>
      </c>
      <c r="D65" s="377" t="s">
        <v>143</v>
      </c>
      <c r="E65" s="376" t="s">
        <v>24</v>
      </c>
      <c r="F65" s="880" t="s">
        <v>1238</v>
      </c>
      <c r="G65" s="136"/>
      <c r="H65" s="136">
        <v>4</v>
      </c>
      <c r="I65" s="178"/>
      <c r="J65" s="106"/>
      <c r="K65" s="54"/>
      <c r="L65" s="42"/>
      <c r="M65" s="248"/>
      <c r="P65" s="96">
        <v>22</v>
      </c>
      <c r="Q65" s="458" t="s">
        <v>154</v>
      </c>
      <c r="R65" s="472" t="s">
        <v>595</v>
      </c>
      <c r="S65" s="442" t="s">
        <v>83</v>
      </c>
      <c r="T65" s="443" t="s">
        <v>3</v>
      </c>
      <c r="U65" s="380" t="s">
        <v>1236</v>
      </c>
      <c r="V65" s="136" t="s">
        <v>62</v>
      </c>
      <c r="W65" s="135"/>
      <c r="X65" s="136"/>
      <c r="Y65" s="137"/>
      <c r="Z65" s="136"/>
      <c r="AA65" s="136"/>
    </row>
    <row r="66" spans="1:27" ht="17.25" thickBot="1">
      <c r="A66" s="358">
        <v>5</v>
      </c>
      <c r="B66" s="384" t="s">
        <v>187</v>
      </c>
      <c r="C66" s="346" t="s">
        <v>530</v>
      </c>
      <c r="D66" s="377" t="s">
        <v>160</v>
      </c>
      <c r="E66" s="376" t="s">
        <v>24</v>
      </c>
      <c r="F66" s="880" t="s">
        <v>1238</v>
      </c>
      <c r="G66" s="136"/>
      <c r="H66" s="136">
        <v>5</v>
      </c>
      <c r="I66" s="178"/>
      <c r="J66" s="106"/>
      <c r="K66" s="54"/>
      <c r="L66" s="42"/>
      <c r="M66" s="26"/>
      <c r="P66" s="96">
        <v>23</v>
      </c>
      <c r="Q66" s="458" t="s">
        <v>155</v>
      </c>
      <c r="R66" s="472" t="s">
        <v>596</v>
      </c>
      <c r="S66" s="442" t="s">
        <v>88</v>
      </c>
      <c r="T66" s="443" t="s">
        <v>24</v>
      </c>
      <c r="U66" s="380" t="s">
        <v>1238</v>
      </c>
      <c r="V66" s="136" t="s">
        <v>62</v>
      </c>
    </row>
    <row r="67" spans="1:27" ht="17.25" thickBot="1">
      <c r="A67" s="358">
        <v>6</v>
      </c>
      <c r="B67" s="384" t="s">
        <v>189</v>
      </c>
      <c r="C67" s="346" t="s">
        <v>531</v>
      </c>
      <c r="D67" s="377" t="s">
        <v>153</v>
      </c>
      <c r="E67" s="376" t="s">
        <v>24</v>
      </c>
      <c r="F67" s="880" t="s">
        <v>651</v>
      </c>
      <c r="G67" s="136"/>
      <c r="H67" s="136">
        <v>6</v>
      </c>
      <c r="I67" s="160"/>
      <c r="J67" s="107"/>
      <c r="K67" s="74"/>
      <c r="L67" s="308"/>
      <c r="M67" s="327"/>
      <c r="P67" s="96">
        <v>24</v>
      </c>
      <c r="Q67" s="458" t="s">
        <v>157</v>
      </c>
      <c r="R67" s="472" t="s">
        <v>597</v>
      </c>
      <c r="S67" s="442" t="s">
        <v>86</v>
      </c>
      <c r="T67" s="443" t="s">
        <v>24</v>
      </c>
      <c r="U67" s="380" t="s">
        <v>650</v>
      </c>
      <c r="V67" s="136" t="s">
        <v>62</v>
      </c>
    </row>
    <row r="68" spans="1:27" ht="17.25" thickBot="1">
      <c r="A68" s="358">
        <v>7</v>
      </c>
      <c r="B68" s="384" t="s">
        <v>191</v>
      </c>
      <c r="C68" s="346" t="s">
        <v>532</v>
      </c>
      <c r="D68" s="377" t="s">
        <v>137</v>
      </c>
      <c r="E68" s="376" t="s">
        <v>24</v>
      </c>
      <c r="F68" s="880" t="s">
        <v>651</v>
      </c>
      <c r="G68" s="136"/>
      <c r="H68" s="136">
        <v>7</v>
      </c>
      <c r="I68" s="178"/>
      <c r="J68" s="106"/>
      <c r="K68" s="54"/>
      <c r="L68" s="42"/>
      <c r="M68" s="321"/>
      <c r="P68" s="96">
        <v>25</v>
      </c>
      <c r="Q68" s="488" t="s">
        <v>179</v>
      </c>
      <c r="R68" s="477" t="s">
        <v>526</v>
      </c>
      <c r="S68" s="442" t="s">
        <v>127</v>
      </c>
      <c r="T68" s="443" t="s">
        <v>3</v>
      </c>
      <c r="U68" s="380" t="s">
        <v>651</v>
      </c>
      <c r="V68" s="136" t="s">
        <v>62</v>
      </c>
    </row>
    <row r="69" spans="1:27" ht="17.25" thickBot="1">
      <c r="A69" s="358">
        <v>8</v>
      </c>
      <c r="B69" s="384" t="s">
        <v>192</v>
      </c>
      <c r="C69" s="346" t="s">
        <v>533</v>
      </c>
      <c r="D69" s="377" t="s">
        <v>135</v>
      </c>
      <c r="E69" s="376" t="s">
        <v>24</v>
      </c>
      <c r="F69" s="880" t="s">
        <v>651</v>
      </c>
      <c r="G69" s="136"/>
      <c r="H69" s="136">
        <v>8</v>
      </c>
      <c r="I69" s="178"/>
      <c r="J69" s="106"/>
      <c r="K69" s="54"/>
      <c r="L69" s="42"/>
      <c r="M69" s="248"/>
      <c r="P69" s="96">
        <v>26</v>
      </c>
      <c r="Q69" s="488" t="s">
        <v>181</v>
      </c>
      <c r="R69" s="477" t="s">
        <v>527</v>
      </c>
      <c r="S69" s="442" t="s">
        <v>122</v>
      </c>
      <c r="T69" s="443" t="s">
        <v>3</v>
      </c>
      <c r="U69" s="380" t="s">
        <v>651</v>
      </c>
      <c r="V69" s="136" t="s">
        <v>62</v>
      </c>
    </row>
    <row r="70" spans="1:27" ht="17.25" thickBot="1">
      <c r="A70" s="358">
        <v>9</v>
      </c>
      <c r="B70" s="356" t="s">
        <v>110</v>
      </c>
      <c r="C70" s="347" t="s">
        <v>572</v>
      </c>
      <c r="D70" s="377" t="s">
        <v>92</v>
      </c>
      <c r="E70" s="898" t="s">
        <v>24</v>
      </c>
      <c r="F70" s="880" t="s">
        <v>1237</v>
      </c>
      <c r="G70" s="136"/>
      <c r="H70" s="136">
        <v>9</v>
      </c>
      <c r="I70" s="178"/>
      <c r="J70" s="106"/>
      <c r="K70" s="54"/>
      <c r="L70" s="42"/>
      <c r="M70" s="26"/>
      <c r="P70" s="96">
        <v>27</v>
      </c>
      <c r="Q70" s="488" t="s">
        <v>183</v>
      </c>
      <c r="R70" s="477" t="s">
        <v>528</v>
      </c>
      <c r="S70" s="442" t="s">
        <v>151</v>
      </c>
      <c r="T70" s="443" t="s">
        <v>24</v>
      </c>
      <c r="U70" s="380" t="s">
        <v>1237</v>
      </c>
      <c r="V70" s="136" t="s">
        <v>62</v>
      </c>
    </row>
    <row r="71" spans="1:27" ht="17.25" thickBot="1">
      <c r="A71" s="358">
        <v>10</v>
      </c>
      <c r="B71" s="356" t="s">
        <v>112</v>
      </c>
      <c r="C71" s="347" t="s">
        <v>573</v>
      </c>
      <c r="D71" s="377" t="s">
        <v>98</v>
      </c>
      <c r="E71" s="376" t="s">
        <v>24</v>
      </c>
      <c r="F71" s="880" t="s">
        <v>1238</v>
      </c>
      <c r="G71" s="136"/>
      <c r="H71" s="136">
        <v>10</v>
      </c>
      <c r="I71" s="44"/>
      <c r="J71" s="136"/>
      <c r="K71" s="447"/>
      <c r="L71" s="40"/>
      <c r="M71" s="34"/>
      <c r="P71" s="96">
        <v>28</v>
      </c>
      <c r="Q71" s="488" t="s">
        <v>185</v>
      </c>
      <c r="R71" s="477" t="s">
        <v>529</v>
      </c>
      <c r="S71" s="442" t="s">
        <v>143</v>
      </c>
      <c r="T71" s="443" t="s">
        <v>24</v>
      </c>
      <c r="U71" s="380" t="s">
        <v>1238</v>
      </c>
      <c r="V71" s="136" t="s">
        <v>62</v>
      </c>
    </row>
    <row r="72" spans="1:27" ht="17.25" thickBot="1">
      <c r="A72" s="358">
        <v>11</v>
      </c>
      <c r="B72" s="356" t="s">
        <v>114</v>
      </c>
      <c r="C72" s="614" t="s">
        <v>574</v>
      </c>
      <c r="D72" s="377" t="s">
        <v>117</v>
      </c>
      <c r="E72" s="376" t="s">
        <v>3</v>
      </c>
      <c r="F72" s="880" t="s">
        <v>1236</v>
      </c>
      <c r="G72" s="136"/>
      <c r="H72" s="136">
        <v>11</v>
      </c>
      <c r="I72" s="339"/>
      <c r="J72" s="106"/>
      <c r="K72" s="316"/>
      <c r="L72" s="42"/>
      <c r="M72" s="321"/>
      <c r="P72" s="96">
        <v>29</v>
      </c>
      <c r="Q72" s="488" t="s">
        <v>187</v>
      </c>
      <c r="R72" s="477" t="s">
        <v>530</v>
      </c>
      <c r="S72" s="442" t="s">
        <v>160</v>
      </c>
      <c r="T72" s="443" t="s">
        <v>24</v>
      </c>
      <c r="U72" s="380" t="s">
        <v>1238</v>
      </c>
      <c r="V72" s="136" t="s">
        <v>62</v>
      </c>
    </row>
    <row r="73" spans="1:27" ht="17.25" thickBot="1">
      <c r="A73" s="358">
        <v>12</v>
      </c>
      <c r="B73" s="356" t="s">
        <v>116</v>
      </c>
      <c r="C73" s="347" t="s">
        <v>575</v>
      </c>
      <c r="D73" s="377" t="s">
        <v>68</v>
      </c>
      <c r="E73" s="376" t="s">
        <v>3</v>
      </c>
      <c r="F73" s="880" t="s">
        <v>1238</v>
      </c>
      <c r="G73" s="136"/>
      <c r="H73" s="136">
        <v>12</v>
      </c>
      <c r="I73" s="307"/>
      <c r="J73" s="107"/>
      <c r="K73" s="317"/>
      <c r="L73" s="308"/>
      <c r="M73" s="327"/>
      <c r="P73" s="96">
        <v>30</v>
      </c>
      <c r="Q73" s="488" t="s">
        <v>189</v>
      </c>
      <c r="R73" s="477" t="s">
        <v>531</v>
      </c>
      <c r="S73" s="442" t="s">
        <v>153</v>
      </c>
      <c r="T73" s="443" t="s">
        <v>24</v>
      </c>
      <c r="U73" s="380" t="s">
        <v>651</v>
      </c>
      <c r="V73" s="136" t="s">
        <v>62</v>
      </c>
    </row>
    <row r="74" spans="1:27" ht="17.25" thickBot="1">
      <c r="A74" s="358">
        <v>13</v>
      </c>
      <c r="B74" s="356" t="s">
        <v>119</v>
      </c>
      <c r="C74" s="347" t="s">
        <v>576</v>
      </c>
      <c r="D74" s="377" t="s">
        <v>91</v>
      </c>
      <c r="E74" s="898" t="s">
        <v>24</v>
      </c>
      <c r="F74" s="880" t="s">
        <v>1237</v>
      </c>
      <c r="G74" s="136"/>
      <c r="H74" s="136">
        <v>13</v>
      </c>
      <c r="I74" s="339"/>
      <c r="J74" s="106"/>
      <c r="K74" s="54"/>
      <c r="L74" s="42"/>
      <c r="M74" s="248"/>
      <c r="P74" s="96">
        <v>31</v>
      </c>
      <c r="Q74" s="488" t="s">
        <v>191</v>
      </c>
      <c r="R74" s="477" t="s">
        <v>532</v>
      </c>
      <c r="S74" s="442" t="s">
        <v>137</v>
      </c>
      <c r="T74" s="443" t="s">
        <v>24</v>
      </c>
      <c r="U74" s="380" t="s">
        <v>651</v>
      </c>
      <c r="V74" s="136" t="s">
        <v>62</v>
      </c>
    </row>
    <row r="75" spans="1:27" ht="17.25" thickBot="1">
      <c r="A75" s="358">
        <v>14</v>
      </c>
      <c r="B75" s="356" t="s">
        <v>121</v>
      </c>
      <c r="C75" s="347" t="s">
        <v>577</v>
      </c>
      <c r="D75" s="377" t="s">
        <v>70</v>
      </c>
      <c r="E75" s="376" t="s">
        <v>3</v>
      </c>
      <c r="F75" s="880" t="s">
        <v>651</v>
      </c>
      <c r="G75" s="136"/>
      <c r="H75" s="136">
        <v>14</v>
      </c>
      <c r="I75" s="339"/>
      <c r="J75" s="106"/>
      <c r="K75" s="54"/>
      <c r="L75" s="42"/>
      <c r="M75" s="324"/>
      <c r="P75" s="96">
        <v>32</v>
      </c>
      <c r="Q75" s="798" t="s">
        <v>192</v>
      </c>
      <c r="R75" s="801" t="s">
        <v>533</v>
      </c>
      <c r="S75" s="766" t="s">
        <v>135</v>
      </c>
      <c r="T75" s="767" t="s">
        <v>24</v>
      </c>
      <c r="U75" s="380" t="s">
        <v>651</v>
      </c>
      <c r="V75" s="136" t="s">
        <v>62</v>
      </c>
    </row>
    <row r="76" spans="1:27" ht="17.25" thickBot="1">
      <c r="A76" s="358">
        <v>15</v>
      </c>
      <c r="B76" s="356" t="s">
        <v>123</v>
      </c>
      <c r="C76" s="347" t="s">
        <v>578</v>
      </c>
      <c r="D76" s="377" t="s">
        <v>80</v>
      </c>
      <c r="E76" s="376" t="s">
        <v>3</v>
      </c>
      <c r="F76" s="880" t="s">
        <v>651</v>
      </c>
      <c r="G76" s="136"/>
      <c r="H76" s="136">
        <v>15</v>
      </c>
      <c r="I76" s="339"/>
      <c r="J76" s="106"/>
      <c r="K76" s="63"/>
      <c r="L76" s="42"/>
      <c r="M76" s="323"/>
      <c r="P76" s="96">
        <v>1</v>
      </c>
      <c r="Q76" s="799" t="s">
        <v>194</v>
      </c>
      <c r="R76" s="349" t="s">
        <v>534</v>
      </c>
      <c r="S76" s="385" t="s">
        <v>105</v>
      </c>
      <c r="T76" s="379" t="s">
        <v>3</v>
      </c>
      <c r="U76" s="380" t="s">
        <v>1236</v>
      </c>
      <c r="V76" s="136" t="s">
        <v>104</v>
      </c>
    </row>
    <row r="77" spans="1:27" ht="17.25" thickBot="1">
      <c r="A77" s="358">
        <v>16</v>
      </c>
      <c r="B77" s="356" t="s">
        <v>124</v>
      </c>
      <c r="C77" s="347" t="s">
        <v>579</v>
      </c>
      <c r="D77" s="377" t="s">
        <v>87</v>
      </c>
      <c r="E77" s="898" t="s">
        <v>24</v>
      </c>
      <c r="F77" s="880" t="s">
        <v>1237</v>
      </c>
      <c r="G77" s="136"/>
      <c r="H77" s="136">
        <v>16</v>
      </c>
      <c r="I77" s="178"/>
      <c r="J77" s="106"/>
      <c r="K77" s="54"/>
      <c r="L77" s="42"/>
      <c r="M77" s="250"/>
      <c r="P77" s="96">
        <v>2</v>
      </c>
      <c r="Q77" s="384" t="s">
        <v>195</v>
      </c>
      <c r="R77" s="346" t="s">
        <v>535</v>
      </c>
      <c r="S77" s="377" t="s">
        <v>107</v>
      </c>
      <c r="T77" s="376" t="s">
        <v>3</v>
      </c>
      <c r="U77" s="380" t="s">
        <v>1236</v>
      </c>
      <c r="V77" s="136" t="s">
        <v>104</v>
      </c>
    </row>
    <row r="78" spans="1:27" ht="17.25" thickBot="1">
      <c r="A78" s="358">
        <v>17</v>
      </c>
      <c r="B78" s="356" t="s">
        <v>128</v>
      </c>
      <c r="C78" s="347" t="s">
        <v>580</v>
      </c>
      <c r="D78" s="377" t="s">
        <v>89</v>
      </c>
      <c r="E78" s="376" t="s">
        <v>24</v>
      </c>
      <c r="F78" s="880" t="s">
        <v>651</v>
      </c>
      <c r="G78" s="136"/>
      <c r="H78" s="136">
        <v>17</v>
      </c>
      <c r="I78" s="178"/>
      <c r="J78" s="106"/>
      <c r="K78" s="54"/>
      <c r="L78" s="42"/>
      <c r="M78" s="324"/>
      <c r="P78" s="96">
        <v>3</v>
      </c>
      <c r="Q78" s="384" t="s">
        <v>197</v>
      </c>
      <c r="R78" s="346" t="s">
        <v>536</v>
      </c>
      <c r="S78" s="377" t="s">
        <v>139</v>
      </c>
      <c r="T78" s="376" t="s">
        <v>24</v>
      </c>
      <c r="U78" s="380" t="s">
        <v>651</v>
      </c>
      <c r="V78" s="136" t="s">
        <v>104</v>
      </c>
    </row>
    <row r="79" spans="1:27" ht="17.25" thickBot="1">
      <c r="A79" s="358">
        <v>18</v>
      </c>
      <c r="B79" s="356" t="s">
        <v>126</v>
      </c>
      <c r="C79" s="347" t="s">
        <v>582</v>
      </c>
      <c r="D79" s="377" t="s">
        <v>1631</v>
      </c>
      <c r="E79" s="376" t="s">
        <v>3</v>
      </c>
      <c r="F79" s="880" t="s">
        <v>651</v>
      </c>
      <c r="G79" s="136"/>
      <c r="H79" s="136">
        <v>18</v>
      </c>
      <c r="I79" s="339"/>
      <c r="J79" s="106"/>
      <c r="K79" s="54"/>
      <c r="L79" s="42"/>
      <c r="M79" s="324"/>
      <c r="P79" s="96">
        <v>4</v>
      </c>
      <c r="Q79" s="384" t="s">
        <v>199</v>
      </c>
      <c r="R79" s="346" t="s">
        <v>537</v>
      </c>
      <c r="S79" s="377" t="s">
        <v>133</v>
      </c>
      <c r="T79" s="376" t="s">
        <v>3</v>
      </c>
      <c r="U79" s="380" t="s">
        <v>650</v>
      </c>
      <c r="V79" s="136" t="s">
        <v>104</v>
      </c>
    </row>
    <row r="80" spans="1:27" ht="17.25" thickBot="1">
      <c r="A80" s="358">
        <v>19</v>
      </c>
      <c r="B80" s="356" t="s">
        <v>130</v>
      </c>
      <c r="C80" s="347" t="s">
        <v>581</v>
      </c>
      <c r="D80" s="377" t="s">
        <v>63</v>
      </c>
      <c r="E80" s="376" t="s">
        <v>3</v>
      </c>
      <c r="F80" s="880" t="s">
        <v>650</v>
      </c>
      <c r="G80" s="136"/>
      <c r="H80" s="136">
        <v>19</v>
      </c>
      <c r="I80" s="160"/>
      <c r="J80" s="107"/>
      <c r="K80" s="74"/>
      <c r="L80" s="308"/>
      <c r="M80" s="306"/>
      <c r="P80" s="96">
        <v>5</v>
      </c>
      <c r="Q80" s="488" t="s">
        <v>201</v>
      </c>
      <c r="R80" s="477" t="s">
        <v>538</v>
      </c>
      <c r="S80" s="442" t="s">
        <v>147</v>
      </c>
      <c r="T80" s="443" t="s">
        <v>24</v>
      </c>
      <c r="U80" s="380" t="s">
        <v>650</v>
      </c>
      <c r="V80" s="136" t="s">
        <v>104</v>
      </c>
    </row>
    <row r="81" spans="1:22" ht="17.25" thickBot="1">
      <c r="A81" s="358">
        <v>20</v>
      </c>
      <c r="B81" s="356" t="s">
        <v>140</v>
      </c>
      <c r="C81" s="347" t="s">
        <v>588</v>
      </c>
      <c r="D81" s="377" t="s">
        <v>1632</v>
      </c>
      <c r="E81" s="898" t="s">
        <v>3</v>
      </c>
      <c r="F81" s="880" t="s">
        <v>1237</v>
      </c>
      <c r="G81" s="136"/>
      <c r="H81" s="136">
        <v>20</v>
      </c>
      <c r="I81" s="339"/>
      <c r="J81" s="106"/>
      <c r="K81" s="260"/>
      <c r="L81" s="42"/>
      <c r="M81" s="324"/>
      <c r="P81" s="96">
        <v>6</v>
      </c>
      <c r="Q81" s="384" t="s">
        <v>204</v>
      </c>
      <c r="R81" s="346" t="s">
        <v>539</v>
      </c>
      <c r="S81" s="377" t="s">
        <v>129</v>
      </c>
      <c r="T81" s="376" t="s">
        <v>3</v>
      </c>
      <c r="U81" s="380" t="s">
        <v>650</v>
      </c>
      <c r="V81" s="136" t="s">
        <v>104</v>
      </c>
    </row>
    <row r="82" spans="1:22" ht="17.25" thickBot="1">
      <c r="A82" s="358">
        <v>21</v>
      </c>
      <c r="B82" s="356" t="s">
        <v>134</v>
      </c>
      <c r="C82" s="347" t="s">
        <v>583</v>
      </c>
      <c r="D82" s="377" t="s">
        <v>76</v>
      </c>
      <c r="E82" s="376" t="s">
        <v>3</v>
      </c>
      <c r="F82" s="880" t="s">
        <v>650</v>
      </c>
      <c r="G82" s="136"/>
      <c r="H82" s="136">
        <v>21</v>
      </c>
      <c r="I82" s="178"/>
      <c r="J82" s="106"/>
      <c r="K82" s="54"/>
      <c r="L82" s="42"/>
      <c r="M82" s="323"/>
      <c r="P82" s="96">
        <v>7</v>
      </c>
      <c r="Q82" s="384" t="s">
        <v>206</v>
      </c>
      <c r="R82" s="346" t="s">
        <v>540</v>
      </c>
      <c r="S82" s="377" t="s">
        <v>109</v>
      </c>
      <c r="T82" s="376" t="s">
        <v>3</v>
      </c>
      <c r="U82" s="380" t="s">
        <v>1237</v>
      </c>
      <c r="V82" s="136" t="s">
        <v>104</v>
      </c>
    </row>
    <row r="83" spans="1:22" ht="17.25" thickBot="1">
      <c r="A83" s="358">
        <v>22</v>
      </c>
      <c r="B83" s="356" t="s">
        <v>142</v>
      </c>
      <c r="C83" s="347" t="s">
        <v>589</v>
      </c>
      <c r="D83" s="377" t="s">
        <v>1633</v>
      </c>
      <c r="E83" s="376" t="s">
        <v>3</v>
      </c>
      <c r="F83" s="880" t="s">
        <v>1236</v>
      </c>
      <c r="G83" s="136"/>
      <c r="H83" s="136">
        <v>22</v>
      </c>
      <c r="I83" s="339"/>
      <c r="J83" s="106"/>
      <c r="K83" s="54"/>
      <c r="L83" s="177"/>
      <c r="M83" s="250"/>
      <c r="P83" s="96">
        <v>8</v>
      </c>
      <c r="Q83" s="384" t="s">
        <v>207</v>
      </c>
      <c r="R83" s="346" t="s">
        <v>541</v>
      </c>
      <c r="S83" s="377" t="s">
        <v>115</v>
      </c>
      <c r="T83" s="376" t="s">
        <v>3</v>
      </c>
      <c r="U83" s="380" t="s">
        <v>1237</v>
      </c>
      <c r="V83" s="136" t="s">
        <v>104</v>
      </c>
    </row>
    <row r="84" spans="1:22" ht="17.25" thickBot="1">
      <c r="A84" s="358">
        <v>23</v>
      </c>
      <c r="B84" s="356" t="s">
        <v>136</v>
      </c>
      <c r="C84" s="347" t="s">
        <v>584</v>
      </c>
      <c r="D84" s="377" t="s">
        <v>73</v>
      </c>
      <c r="E84" s="898" t="s">
        <v>3</v>
      </c>
      <c r="F84" s="880" t="s">
        <v>1237</v>
      </c>
      <c r="G84" s="136"/>
      <c r="H84" s="136">
        <v>23</v>
      </c>
      <c r="I84" s="340"/>
      <c r="J84" s="106"/>
      <c r="K84" s="329"/>
      <c r="L84" s="38"/>
      <c r="M84" s="324"/>
      <c r="P84" s="96">
        <v>9</v>
      </c>
      <c r="Q84" s="384" t="s">
        <v>210</v>
      </c>
      <c r="R84" s="346" t="s">
        <v>542</v>
      </c>
      <c r="S84" s="377" t="s">
        <v>113</v>
      </c>
      <c r="T84" s="376" t="s">
        <v>3</v>
      </c>
      <c r="U84" s="380" t="s">
        <v>1236</v>
      </c>
      <c r="V84" s="136" t="s">
        <v>104</v>
      </c>
    </row>
    <row r="85" spans="1:22" ht="17.25" thickBot="1">
      <c r="A85" s="358">
        <v>24</v>
      </c>
      <c r="B85" s="356" t="s">
        <v>132</v>
      </c>
      <c r="C85" s="347" t="s">
        <v>586</v>
      </c>
      <c r="D85" s="377" t="s">
        <v>585</v>
      </c>
      <c r="E85" s="376" t="s">
        <v>3</v>
      </c>
      <c r="F85" s="880" t="s">
        <v>650</v>
      </c>
      <c r="G85" s="136"/>
      <c r="H85" s="136">
        <v>24</v>
      </c>
      <c r="I85" s="450"/>
      <c r="J85" s="451"/>
      <c r="K85" s="426"/>
      <c r="L85" s="42"/>
      <c r="M85" s="250"/>
      <c r="P85" s="96">
        <v>10</v>
      </c>
      <c r="Q85" s="384" t="s">
        <v>212</v>
      </c>
      <c r="R85" s="346" t="s">
        <v>557</v>
      </c>
      <c r="S85" s="377" t="s">
        <v>118</v>
      </c>
      <c r="T85" s="376" t="s">
        <v>3</v>
      </c>
      <c r="U85" s="380" t="s">
        <v>1238</v>
      </c>
      <c r="V85" s="136" t="s">
        <v>104</v>
      </c>
    </row>
    <row r="86" spans="1:22" ht="17.25" thickBot="1">
      <c r="A86" s="358">
        <v>25</v>
      </c>
      <c r="B86" s="356" t="s">
        <v>138</v>
      </c>
      <c r="C86" s="347" t="s">
        <v>587</v>
      </c>
      <c r="D86" s="377" t="s">
        <v>560</v>
      </c>
      <c r="E86" s="898" t="s">
        <v>3</v>
      </c>
      <c r="F86" s="880" t="s">
        <v>1237</v>
      </c>
      <c r="G86" s="136"/>
      <c r="H86" s="136">
        <v>25</v>
      </c>
      <c r="I86" s="449"/>
      <c r="J86" s="272"/>
      <c r="K86" s="405"/>
      <c r="L86" s="133"/>
      <c r="M86" s="325"/>
      <c r="P86" s="96">
        <v>11</v>
      </c>
      <c r="Q86" s="384" t="s">
        <v>213</v>
      </c>
      <c r="R86" s="346" t="s">
        <v>543</v>
      </c>
      <c r="S86" s="377" t="s">
        <v>111</v>
      </c>
      <c r="T86" s="376" t="s">
        <v>3</v>
      </c>
      <c r="U86" s="380" t="s">
        <v>1238</v>
      </c>
      <c r="V86" s="136" t="s">
        <v>104</v>
      </c>
    </row>
    <row r="87" spans="1:22" ht="17.25" thickBot="1">
      <c r="A87" s="358">
        <v>26</v>
      </c>
      <c r="B87" s="356" t="s">
        <v>144</v>
      </c>
      <c r="C87" s="347" t="s">
        <v>590</v>
      </c>
      <c r="D87" s="377" t="s">
        <v>100</v>
      </c>
      <c r="E87" s="376" t="s">
        <v>24</v>
      </c>
      <c r="F87" s="880" t="s">
        <v>650</v>
      </c>
      <c r="G87" s="136"/>
      <c r="H87" s="136">
        <v>26</v>
      </c>
      <c r="I87" s="179"/>
      <c r="J87" s="106"/>
      <c r="K87" s="54"/>
      <c r="L87" s="42"/>
      <c r="M87" s="249"/>
      <c r="P87" s="96">
        <v>12</v>
      </c>
      <c r="Q87" s="384" t="s">
        <v>215</v>
      </c>
      <c r="R87" s="346" t="s">
        <v>544</v>
      </c>
      <c r="S87" s="377" t="s">
        <v>120</v>
      </c>
      <c r="T87" s="376" t="s">
        <v>3</v>
      </c>
      <c r="U87" s="380" t="s">
        <v>1238</v>
      </c>
      <c r="V87" s="136" t="s">
        <v>104</v>
      </c>
    </row>
    <row r="88" spans="1:22" ht="17.25" thickBot="1">
      <c r="A88" s="358">
        <v>27</v>
      </c>
      <c r="B88" s="356" t="s">
        <v>146</v>
      </c>
      <c r="C88" s="347" t="s">
        <v>591</v>
      </c>
      <c r="D88" s="377" t="s">
        <v>95</v>
      </c>
      <c r="E88" s="376" t="s">
        <v>24</v>
      </c>
      <c r="F88" s="880" t="s">
        <v>651</v>
      </c>
      <c r="G88" s="136"/>
      <c r="H88" s="136">
        <v>27</v>
      </c>
      <c r="P88" s="96">
        <v>13</v>
      </c>
      <c r="Q88" s="384" t="s">
        <v>217</v>
      </c>
      <c r="R88" s="346" t="s">
        <v>545</v>
      </c>
      <c r="S88" s="377" t="s">
        <v>546</v>
      </c>
      <c r="T88" s="376" t="s">
        <v>3</v>
      </c>
      <c r="U88" s="380" t="s">
        <v>1236</v>
      </c>
      <c r="V88" s="136" t="s">
        <v>104</v>
      </c>
    </row>
    <row r="89" spans="1:22" ht="17.25" thickBot="1">
      <c r="A89" s="358">
        <v>28</v>
      </c>
      <c r="B89" s="356" t="s">
        <v>148</v>
      </c>
      <c r="C89" s="347" t="s">
        <v>592</v>
      </c>
      <c r="D89" s="377" t="s">
        <v>94</v>
      </c>
      <c r="E89" s="376" t="s">
        <v>24</v>
      </c>
      <c r="F89" s="880" t="s">
        <v>651</v>
      </c>
      <c r="G89" s="136"/>
      <c r="H89" s="136">
        <v>28</v>
      </c>
      <c r="I89" s="136"/>
      <c r="J89" s="136"/>
      <c r="K89" s="136"/>
      <c r="L89" s="136"/>
      <c r="P89" s="96">
        <v>14</v>
      </c>
      <c r="Q89" s="384" t="s">
        <v>219</v>
      </c>
      <c r="R89" s="346" t="s">
        <v>547</v>
      </c>
      <c r="S89" s="377" t="s">
        <v>158</v>
      </c>
      <c r="T89" s="376" t="s">
        <v>24</v>
      </c>
      <c r="U89" s="380" t="s">
        <v>650</v>
      </c>
      <c r="V89" s="136" t="s">
        <v>104</v>
      </c>
    </row>
    <row r="90" spans="1:22" ht="16.5" customHeight="1" thickBot="1">
      <c r="A90" s="358">
        <v>29</v>
      </c>
      <c r="B90" s="356" t="s">
        <v>152</v>
      </c>
      <c r="C90" s="347" t="s">
        <v>594</v>
      </c>
      <c r="D90" s="377" t="s">
        <v>85</v>
      </c>
      <c r="E90" s="376" t="s">
        <v>3</v>
      </c>
      <c r="F90" s="880" t="s">
        <v>1236</v>
      </c>
      <c r="G90" s="136"/>
      <c r="H90" s="136">
        <v>29</v>
      </c>
      <c r="I90" s="136"/>
      <c r="J90" s="136"/>
      <c r="K90" s="136"/>
      <c r="L90" s="136"/>
      <c r="P90" s="96">
        <v>15</v>
      </c>
      <c r="Q90" s="384" t="s">
        <v>221</v>
      </c>
      <c r="R90" s="346" t="s">
        <v>548</v>
      </c>
      <c r="S90" s="377" t="s">
        <v>149</v>
      </c>
      <c r="T90" s="376" t="s">
        <v>24</v>
      </c>
      <c r="U90" s="380" t="s">
        <v>650</v>
      </c>
      <c r="V90" s="136" t="s">
        <v>104</v>
      </c>
    </row>
    <row r="91" spans="1:22" ht="15.75" customHeight="1" thickBot="1">
      <c r="A91" s="358">
        <v>30</v>
      </c>
      <c r="B91" s="356" t="s">
        <v>154</v>
      </c>
      <c r="C91" s="347" t="s">
        <v>595</v>
      </c>
      <c r="D91" s="377" t="s">
        <v>83</v>
      </c>
      <c r="E91" s="376" t="s">
        <v>3</v>
      </c>
      <c r="F91" s="880" t="s">
        <v>1236</v>
      </c>
      <c r="G91" s="332"/>
      <c r="H91" s="332"/>
      <c r="I91" s="332"/>
      <c r="J91" s="332"/>
      <c r="K91" s="332"/>
      <c r="L91" s="332"/>
      <c r="P91" s="96">
        <v>16</v>
      </c>
      <c r="Q91" s="384" t="s">
        <v>223</v>
      </c>
      <c r="R91" s="346" t="s">
        <v>549</v>
      </c>
      <c r="S91" s="377" t="s">
        <v>162</v>
      </c>
      <c r="T91" s="376" t="s">
        <v>24</v>
      </c>
      <c r="U91" s="380" t="s">
        <v>1237</v>
      </c>
      <c r="V91" s="136" t="s">
        <v>104</v>
      </c>
    </row>
    <row r="92" spans="1:22" ht="15" customHeight="1" thickBot="1">
      <c r="A92" s="358">
        <v>31</v>
      </c>
      <c r="B92" s="356" t="s">
        <v>155</v>
      </c>
      <c r="C92" s="347" t="s">
        <v>596</v>
      </c>
      <c r="D92" s="377" t="s">
        <v>88</v>
      </c>
      <c r="E92" s="376" t="s">
        <v>24</v>
      </c>
      <c r="F92" s="880" t="s">
        <v>1238</v>
      </c>
      <c r="G92" s="332"/>
      <c r="H92" s="332"/>
      <c r="I92" s="332"/>
      <c r="J92" s="332"/>
      <c r="K92" s="332"/>
      <c r="L92" s="332"/>
      <c r="P92" s="96">
        <v>17</v>
      </c>
      <c r="Q92" s="384" t="s">
        <v>225</v>
      </c>
      <c r="R92" s="346" t="s">
        <v>550</v>
      </c>
      <c r="S92" s="377" t="s">
        <v>145</v>
      </c>
      <c r="T92" s="376" t="s">
        <v>24</v>
      </c>
      <c r="U92" s="380" t="s">
        <v>1236</v>
      </c>
      <c r="V92" s="136" t="s">
        <v>104</v>
      </c>
    </row>
    <row r="93" spans="1:22" ht="15" customHeight="1" thickBot="1">
      <c r="A93" s="45">
        <v>32</v>
      </c>
      <c r="B93" s="236" t="s">
        <v>157</v>
      </c>
      <c r="C93" s="887" t="s">
        <v>597</v>
      </c>
      <c r="D93" s="888" t="s">
        <v>86</v>
      </c>
      <c r="E93" s="889" t="s">
        <v>24</v>
      </c>
      <c r="F93" s="890" t="s">
        <v>650</v>
      </c>
      <c r="P93" s="96">
        <v>18</v>
      </c>
      <c r="Q93" s="384" t="s">
        <v>227</v>
      </c>
      <c r="R93" s="346" t="s">
        <v>551</v>
      </c>
      <c r="S93" s="377" t="s">
        <v>141</v>
      </c>
      <c r="T93" s="376" t="s">
        <v>24</v>
      </c>
      <c r="U93" s="380" t="s">
        <v>1236</v>
      </c>
      <c r="V93" s="136" t="s">
        <v>104</v>
      </c>
    </row>
    <row r="94" spans="1:22" ht="15" customHeight="1" thickBot="1">
      <c r="A94" s="901" t="s">
        <v>24</v>
      </c>
      <c r="B94" s="909">
        <v>16</v>
      </c>
      <c r="C94" s="879"/>
      <c r="D94" s="806"/>
      <c r="E94" s="807"/>
      <c r="F94" s="808"/>
      <c r="P94" s="96"/>
      <c r="Q94" s="384"/>
      <c r="R94" s="346"/>
      <c r="S94" s="377"/>
      <c r="T94" s="376"/>
      <c r="U94" s="808"/>
      <c r="V94" s="136"/>
    </row>
    <row r="95" spans="1:22" ht="15" customHeight="1" thickBot="1">
      <c r="A95" s="263" t="s">
        <v>3</v>
      </c>
      <c r="B95" s="910">
        <v>16</v>
      </c>
      <c r="C95" s="801"/>
      <c r="D95" s="766"/>
      <c r="E95" s="767"/>
      <c r="F95" s="899"/>
      <c r="P95" s="96"/>
      <c r="Q95" s="384"/>
      <c r="R95" s="346"/>
      <c r="S95" s="377"/>
      <c r="T95" s="376"/>
      <c r="U95" s="808"/>
      <c r="V95" s="136"/>
    </row>
    <row r="96" spans="1:22" ht="15" customHeight="1" thickBot="1">
      <c r="A96" s="103"/>
      <c r="B96" s="116"/>
      <c r="C96" s="103"/>
      <c r="D96" s="118"/>
      <c r="E96" s="810" t="s">
        <v>1242</v>
      </c>
      <c r="F96" s="103"/>
      <c r="G96" s="103"/>
      <c r="H96" s="103"/>
      <c r="I96" s="103"/>
      <c r="J96" s="103"/>
      <c r="K96" s="103"/>
      <c r="L96" s="103"/>
      <c r="P96" s="96">
        <v>19</v>
      </c>
      <c r="Q96" s="384" t="s">
        <v>228</v>
      </c>
      <c r="R96" s="345" t="s">
        <v>552</v>
      </c>
      <c r="S96" s="377" t="s">
        <v>161</v>
      </c>
      <c r="T96" s="376" t="s">
        <v>24</v>
      </c>
      <c r="U96" s="380" t="s">
        <v>1236</v>
      </c>
      <c r="V96" s="136" t="s">
        <v>104</v>
      </c>
    </row>
    <row r="97" spans="1:27" ht="9.75" customHeight="1" thickBot="1">
      <c r="A97" s="103"/>
      <c r="B97" s="116"/>
      <c r="C97" s="103"/>
      <c r="D97" s="118"/>
      <c r="E97" s="115" t="s">
        <v>84</v>
      </c>
      <c r="F97" s="103"/>
      <c r="G97" s="103"/>
      <c r="H97" s="103"/>
      <c r="I97" s="103"/>
      <c r="J97" s="103"/>
      <c r="K97" s="103"/>
      <c r="L97" s="103"/>
      <c r="P97" s="96">
        <v>20</v>
      </c>
      <c r="Q97" s="384" t="s">
        <v>229</v>
      </c>
      <c r="R97" s="345" t="s">
        <v>553</v>
      </c>
      <c r="S97" s="377" t="s">
        <v>125</v>
      </c>
      <c r="T97" s="376" t="s">
        <v>3</v>
      </c>
      <c r="U97" s="380" t="s">
        <v>1236</v>
      </c>
      <c r="V97" s="136" t="s">
        <v>104</v>
      </c>
    </row>
    <row r="98" spans="1:27" ht="15.75" thickBot="1">
      <c r="A98" s="103"/>
      <c r="B98" s="103"/>
      <c r="C98" s="115"/>
      <c r="D98" s="119"/>
      <c r="F98" s="115"/>
      <c r="G98" s="115"/>
      <c r="H98" s="115"/>
      <c r="I98" s="115"/>
      <c r="J98" s="115"/>
      <c r="K98" s="115"/>
      <c r="L98" s="115"/>
      <c r="P98" s="96">
        <v>21</v>
      </c>
      <c r="Q98" s="384" t="s">
        <v>231</v>
      </c>
      <c r="R98" s="345" t="s">
        <v>554</v>
      </c>
      <c r="S98" s="377" t="s">
        <v>156</v>
      </c>
      <c r="T98" s="376" t="s">
        <v>24</v>
      </c>
      <c r="U98" s="380" t="s">
        <v>1236</v>
      </c>
      <c r="V98" s="136" t="s">
        <v>104</v>
      </c>
    </row>
    <row r="99" spans="1:27" ht="15.75" thickBot="1">
      <c r="E99" s="121" t="str">
        <f>WLKLS!B13</f>
        <v>SULASTRI, S.Pd.</v>
      </c>
      <c r="P99" s="96">
        <v>22</v>
      </c>
      <c r="Q99" s="384" t="s">
        <v>233</v>
      </c>
      <c r="R99" s="345" t="s">
        <v>555</v>
      </c>
      <c r="S99" s="377" t="s">
        <v>556</v>
      </c>
      <c r="T99" s="376" t="s">
        <v>24</v>
      </c>
      <c r="U99" s="380" t="s">
        <v>1236</v>
      </c>
      <c r="V99" s="136" t="s">
        <v>104</v>
      </c>
    </row>
    <row r="100" spans="1:27" ht="15.75" thickBot="1">
      <c r="E100" s="123" t="str">
        <f>WLKLS!C13</f>
        <v>NIP. 197808012008012012</v>
      </c>
      <c r="P100" s="96">
        <v>23</v>
      </c>
      <c r="Q100" s="356" t="s">
        <v>235</v>
      </c>
      <c r="R100" s="347" t="s">
        <v>598</v>
      </c>
      <c r="S100" s="793" t="s">
        <v>202</v>
      </c>
      <c r="T100" s="376" t="s">
        <v>24</v>
      </c>
      <c r="U100" s="380" t="s">
        <v>651</v>
      </c>
      <c r="V100" s="136" t="s">
        <v>104</v>
      </c>
    </row>
    <row r="101" spans="1:27" ht="15.75" thickBot="1">
      <c r="A101" s="1018" t="s">
        <v>0</v>
      </c>
      <c r="B101" s="1018"/>
      <c r="C101" s="1018"/>
      <c r="D101" s="1018"/>
      <c r="E101" s="1018"/>
      <c r="F101" s="1018"/>
      <c r="G101" s="300"/>
      <c r="H101" s="300"/>
      <c r="I101" s="300"/>
      <c r="J101" s="300"/>
      <c r="K101" s="300"/>
      <c r="L101" s="300"/>
      <c r="P101" s="96">
        <v>24</v>
      </c>
      <c r="Q101" s="356" t="s">
        <v>252</v>
      </c>
      <c r="R101" s="347" t="s">
        <v>599</v>
      </c>
      <c r="S101" s="377" t="s">
        <v>242</v>
      </c>
      <c r="T101" s="376" t="s">
        <v>24</v>
      </c>
      <c r="U101" s="380" t="s">
        <v>651</v>
      </c>
      <c r="V101" s="136" t="s">
        <v>104</v>
      </c>
    </row>
    <row r="102" spans="1:27" ht="15.75" thickBot="1">
      <c r="A102" s="1018" t="s">
        <v>1</v>
      </c>
      <c r="B102" s="1018"/>
      <c r="C102" s="1018"/>
      <c r="D102" s="1018"/>
      <c r="E102" s="1018"/>
      <c r="F102" s="1018"/>
      <c r="G102" s="300"/>
      <c r="H102" s="300"/>
      <c r="I102" s="300"/>
      <c r="J102" s="300"/>
      <c r="K102" s="300"/>
      <c r="L102" s="300"/>
      <c r="P102" s="96">
        <v>25</v>
      </c>
      <c r="Q102" s="387" t="s">
        <v>254</v>
      </c>
      <c r="R102" s="497" t="s">
        <v>601</v>
      </c>
      <c r="S102" s="498" t="s">
        <v>559</v>
      </c>
      <c r="T102" s="388" t="s">
        <v>24</v>
      </c>
      <c r="U102" s="380" t="s">
        <v>1238</v>
      </c>
      <c r="V102" s="136" t="s">
        <v>104</v>
      </c>
    </row>
    <row r="103" spans="1:27" ht="15.75" thickBot="1">
      <c r="A103" s="1018" t="s">
        <v>4</v>
      </c>
      <c r="B103" s="1018"/>
      <c r="C103" s="1018"/>
      <c r="D103" s="1018"/>
      <c r="E103" s="1018"/>
      <c r="F103" s="1018"/>
      <c r="G103" s="300"/>
      <c r="H103" s="300"/>
      <c r="I103" s="300"/>
      <c r="J103" s="300"/>
      <c r="K103" s="300"/>
      <c r="L103" s="300"/>
      <c r="P103" s="96">
        <v>26</v>
      </c>
      <c r="Q103" s="356" t="s">
        <v>255</v>
      </c>
      <c r="R103" s="347" t="s">
        <v>602</v>
      </c>
      <c r="S103" s="377" t="s">
        <v>164</v>
      </c>
      <c r="T103" s="376" t="s">
        <v>3</v>
      </c>
      <c r="U103" s="380" t="s">
        <v>1237</v>
      </c>
      <c r="V103" s="136" t="s">
        <v>104</v>
      </c>
      <c r="W103" s="686" t="s">
        <v>253</v>
      </c>
      <c r="X103" s="768" t="s">
        <v>600</v>
      </c>
      <c r="Y103" s="415" t="s">
        <v>174</v>
      </c>
      <c r="Z103" s="474" t="s">
        <v>3</v>
      </c>
      <c r="AA103" s="795" t="s">
        <v>1238</v>
      </c>
    </row>
    <row r="104" spans="1:27" ht="15.75" thickBot="1">
      <c r="A104" s="1019" t="s">
        <v>6</v>
      </c>
      <c r="B104" s="1019"/>
      <c r="C104" s="1019"/>
      <c r="D104" s="1019"/>
      <c r="E104" s="1019"/>
      <c r="F104" s="1019"/>
      <c r="G104" s="301"/>
      <c r="H104" s="301"/>
      <c r="I104" s="301"/>
      <c r="J104" s="301"/>
      <c r="K104" s="301"/>
      <c r="L104" s="301"/>
      <c r="P104" s="96">
        <v>27</v>
      </c>
      <c r="Q104" s="356" t="s">
        <v>256</v>
      </c>
      <c r="R104" s="347" t="s">
        <v>603</v>
      </c>
      <c r="S104" s="377" t="s">
        <v>196</v>
      </c>
      <c r="T104" s="376" t="s">
        <v>24</v>
      </c>
      <c r="U104" s="380" t="s">
        <v>650</v>
      </c>
      <c r="V104" s="136" t="s">
        <v>104</v>
      </c>
    </row>
    <row r="105" spans="1:27" ht="15.75" thickBot="1">
      <c r="A105" s="1020" t="s">
        <v>7</v>
      </c>
      <c r="B105" s="1020"/>
      <c r="C105" s="1020"/>
      <c r="D105" s="1020"/>
      <c r="E105" s="1020"/>
      <c r="F105" s="1020"/>
      <c r="G105" s="304"/>
      <c r="H105" s="304"/>
      <c r="I105" s="304"/>
      <c r="J105" s="304"/>
      <c r="K105" s="304"/>
      <c r="L105" s="304"/>
      <c r="P105" s="96">
        <v>28</v>
      </c>
      <c r="Q105" s="356" t="s">
        <v>258</v>
      </c>
      <c r="R105" s="347" t="s">
        <v>604</v>
      </c>
      <c r="S105" s="377" t="s">
        <v>198</v>
      </c>
      <c r="T105" s="376" t="s">
        <v>24</v>
      </c>
      <c r="U105" s="380" t="s">
        <v>1237</v>
      </c>
      <c r="V105" s="136" t="s">
        <v>104</v>
      </c>
    </row>
    <row r="106" spans="1:27" ht="16.5" thickTop="1" thickBot="1">
      <c r="A106" s="97"/>
      <c r="B106" s="98"/>
      <c r="C106" s="98"/>
      <c r="D106" s="99"/>
      <c r="E106" s="98"/>
      <c r="F106" s="98"/>
      <c r="G106" s="40"/>
      <c r="H106" s="40"/>
      <c r="I106" s="40"/>
      <c r="J106" s="40"/>
      <c r="K106" s="40"/>
      <c r="L106" s="40"/>
      <c r="P106" s="96">
        <v>29</v>
      </c>
      <c r="Q106" s="368" t="s">
        <v>259</v>
      </c>
      <c r="R106" s="282" t="s">
        <v>605</v>
      </c>
      <c r="S106" s="286" t="s">
        <v>172</v>
      </c>
      <c r="T106" s="382" t="s">
        <v>3</v>
      </c>
      <c r="U106" s="380" t="s">
        <v>1237</v>
      </c>
      <c r="V106" s="136" t="s">
        <v>104</v>
      </c>
    </row>
    <row r="107" spans="1:27" ht="15.75">
      <c r="A107" s="1021" t="s">
        <v>1052</v>
      </c>
      <c r="B107" s="1021"/>
      <c r="C107" s="1021"/>
      <c r="D107" s="1021"/>
      <c r="E107" s="1021"/>
      <c r="F107" s="1021"/>
      <c r="G107" s="302"/>
      <c r="H107" s="302"/>
      <c r="I107" s="302"/>
      <c r="J107" s="302"/>
      <c r="K107" s="302"/>
      <c r="L107" s="302"/>
      <c r="P107" s="96">
        <v>30</v>
      </c>
      <c r="Q107" s="481" t="s">
        <v>260</v>
      </c>
      <c r="R107" s="470" t="s">
        <v>606</v>
      </c>
      <c r="S107" s="485" t="s">
        <v>177</v>
      </c>
      <c r="T107" s="482" t="s">
        <v>3</v>
      </c>
      <c r="U107" s="483" t="s">
        <v>1237</v>
      </c>
      <c r="V107" s="136" t="s">
        <v>104</v>
      </c>
    </row>
    <row r="108" spans="1:27" ht="15.75">
      <c r="A108" s="1022" t="s">
        <v>1241</v>
      </c>
      <c r="B108" s="1022"/>
      <c r="C108" s="1022"/>
      <c r="D108" s="1022"/>
      <c r="E108" s="1022"/>
      <c r="F108" s="1022"/>
      <c r="G108" s="303"/>
      <c r="H108" s="303"/>
      <c r="I108" s="303"/>
      <c r="J108" s="303"/>
      <c r="K108" s="303"/>
      <c r="L108" s="303"/>
      <c r="P108" s="96">
        <v>31</v>
      </c>
      <c r="Q108" s="481" t="s">
        <v>262</v>
      </c>
      <c r="R108" s="470" t="s">
        <v>614</v>
      </c>
      <c r="S108" s="485" t="s">
        <v>166</v>
      </c>
      <c r="T108" s="482" t="s">
        <v>3</v>
      </c>
      <c r="U108" s="483" t="s">
        <v>650</v>
      </c>
      <c r="V108" s="136" t="s">
        <v>104</v>
      </c>
    </row>
    <row r="109" spans="1:27" ht="15.75" thickBot="1">
      <c r="A109" s="100"/>
      <c r="B109" s="100"/>
      <c r="C109" s="101"/>
      <c r="D109" s="102"/>
      <c r="E109" s="103"/>
      <c r="F109" s="103"/>
      <c r="G109" s="103"/>
      <c r="H109" s="103"/>
      <c r="I109" s="103"/>
      <c r="J109" s="103"/>
      <c r="K109" s="103"/>
      <c r="L109" s="103"/>
      <c r="P109" s="96">
        <v>32</v>
      </c>
      <c r="Q109" s="356" t="s">
        <v>263</v>
      </c>
      <c r="R109" s="347" t="s">
        <v>608</v>
      </c>
      <c r="S109" s="377" t="s">
        <v>186</v>
      </c>
      <c r="T109" s="376" t="s">
        <v>24</v>
      </c>
      <c r="U109" s="483" t="s">
        <v>650</v>
      </c>
      <c r="V109" s="136" t="s">
        <v>104</v>
      </c>
    </row>
    <row r="110" spans="1:27" ht="16.5" thickBot="1">
      <c r="A110" s="1023" t="s">
        <v>13</v>
      </c>
      <c r="B110" s="1024"/>
      <c r="C110" s="1025"/>
      <c r="D110" s="1026" t="s">
        <v>14</v>
      </c>
      <c r="E110" s="1026" t="s">
        <v>15</v>
      </c>
      <c r="F110" s="448" t="s">
        <v>346</v>
      </c>
      <c r="G110" s="330"/>
      <c r="H110" s="330"/>
      <c r="I110" s="330"/>
      <c r="J110" s="330"/>
      <c r="K110" s="330"/>
      <c r="L110" s="330"/>
      <c r="P110" s="96">
        <v>1</v>
      </c>
      <c r="Q110" s="356" t="s">
        <v>264</v>
      </c>
      <c r="R110" s="347" t="s">
        <v>609</v>
      </c>
      <c r="S110" s="377" t="s">
        <v>165</v>
      </c>
      <c r="T110" s="376" t="s">
        <v>3</v>
      </c>
      <c r="U110" s="483" t="s">
        <v>651</v>
      </c>
      <c r="V110" s="136" t="s">
        <v>163</v>
      </c>
    </row>
    <row r="111" spans="1:27" ht="16.5" thickBot="1">
      <c r="A111" s="796" t="s">
        <v>18</v>
      </c>
      <c r="B111" s="796" t="s">
        <v>19</v>
      </c>
      <c r="C111" s="796" t="s">
        <v>20</v>
      </c>
      <c r="D111" s="1027"/>
      <c r="E111" s="1027"/>
      <c r="F111" s="797" t="s">
        <v>347</v>
      </c>
      <c r="G111" s="330"/>
      <c r="H111" s="330"/>
      <c r="I111" s="330"/>
      <c r="J111" s="330"/>
      <c r="K111" s="330"/>
      <c r="L111" s="330"/>
      <c r="P111" s="96">
        <v>2</v>
      </c>
      <c r="Q111" s="356" t="s">
        <v>265</v>
      </c>
      <c r="R111" s="347" t="s">
        <v>610</v>
      </c>
      <c r="S111" s="377" t="s">
        <v>169</v>
      </c>
      <c r="T111" s="376" t="s">
        <v>3</v>
      </c>
      <c r="U111" s="483" t="s">
        <v>651</v>
      </c>
      <c r="V111" s="136" t="s">
        <v>163</v>
      </c>
    </row>
    <row r="112" spans="1:27" ht="16.5">
      <c r="A112" s="877">
        <v>1</v>
      </c>
      <c r="B112" s="804" t="s">
        <v>235</v>
      </c>
      <c r="C112" s="805" t="s">
        <v>598</v>
      </c>
      <c r="D112" s="931" t="s">
        <v>202</v>
      </c>
      <c r="E112" s="807" t="s">
        <v>24</v>
      </c>
      <c r="F112" s="808" t="s">
        <v>651</v>
      </c>
      <c r="G112" s="136"/>
      <c r="H112" s="136">
        <v>1</v>
      </c>
      <c r="I112" s="338"/>
      <c r="J112" s="106"/>
      <c r="K112" s="316"/>
      <c r="L112" s="177"/>
      <c r="M112" s="321"/>
      <c r="P112" s="96">
        <v>3</v>
      </c>
      <c r="Q112" s="356" t="s">
        <v>266</v>
      </c>
      <c r="R112" s="347" t="s">
        <v>612</v>
      </c>
      <c r="S112" s="792" t="s">
        <v>558</v>
      </c>
      <c r="T112" s="376" t="s">
        <v>3</v>
      </c>
      <c r="U112" s="483" t="s">
        <v>1238</v>
      </c>
      <c r="V112" s="136" t="s">
        <v>163</v>
      </c>
    </row>
    <row r="113" spans="1:22" ht="16.5">
      <c r="A113" s="358">
        <v>2</v>
      </c>
      <c r="B113" s="356" t="s">
        <v>252</v>
      </c>
      <c r="C113" s="347" t="s">
        <v>599</v>
      </c>
      <c r="D113" s="377" t="s">
        <v>242</v>
      </c>
      <c r="E113" s="376" t="s">
        <v>24</v>
      </c>
      <c r="F113" s="880" t="s">
        <v>651</v>
      </c>
      <c r="G113" s="136"/>
      <c r="H113" s="136">
        <v>2</v>
      </c>
      <c r="I113" s="338"/>
      <c r="J113" s="106"/>
      <c r="K113" s="63"/>
      <c r="L113" s="177"/>
      <c r="M113" s="321"/>
      <c r="P113" s="96">
        <v>4</v>
      </c>
      <c r="Q113" s="356" t="s">
        <v>267</v>
      </c>
      <c r="R113" s="347" t="s">
        <v>613</v>
      </c>
      <c r="S113" s="377" t="s">
        <v>168</v>
      </c>
      <c r="T113" s="376" t="s">
        <v>3</v>
      </c>
      <c r="U113" s="483" t="s">
        <v>1238</v>
      </c>
      <c r="V113" s="136" t="s">
        <v>163</v>
      </c>
    </row>
    <row r="114" spans="1:22" ht="17.25" thickBot="1">
      <c r="A114" s="358">
        <v>3</v>
      </c>
      <c r="B114" s="356" t="s">
        <v>254</v>
      </c>
      <c r="C114" s="347" t="s">
        <v>601</v>
      </c>
      <c r="D114" s="377" t="s">
        <v>559</v>
      </c>
      <c r="E114" s="376" t="s">
        <v>24</v>
      </c>
      <c r="F114" s="880" t="s">
        <v>1238</v>
      </c>
      <c r="G114" s="136"/>
      <c r="H114" s="136">
        <v>3</v>
      </c>
      <c r="I114" s="338"/>
      <c r="J114" s="106"/>
      <c r="K114" s="316"/>
      <c r="L114" s="177"/>
      <c r="M114" s="248"/>
      <c r="P114" s="96">
        <v>5</v>
      </c>
      <c r="Q114" s="356" t="s">
        <v>268</v>
      </c>
      <c r="R114" s="347" t="s">
        <v>611</v>
      </c>
      <c r="S114" s="377" t="s">
        <v>175</v>
      </c>
      <c r="T114" s="376" t="s">
        <v>3</v>
      </c>
      <c r="U114" s="483" t="s">
        <v>1236</v>
      </c>
      <c r="V114" s="136" t="s">
        <v>163</v>
      </c>
    </row>
    <row r="115" spans="1:22" ht="17.25" thickBot="1">
      <c r="A115" s="358">
        <v>4</v>
      </c>
      <c r="B115" s="356" t="s">
        <v>255</v>
      </c>
      <c r="C115" s="347" t="s">
        <v>602</v>
      </c>
      <c r="D115" s="377" t="s">
        <v>164</v>
      </c>
      <c r="E115" s="376" t="s">
        <v>3</v>
      </c>
      <c r="F115" s="880" t="s">
        <v>1237</v>
      </c>
      <c r="G115" s="635" t="s">
        <v>1190</v>
      </c>
      <c r="H115" s="136">
        <v>4</v>
      </c>
      <c r="I115" s="406"/>
      <c r="J115" s="106"/>
      <c r="K115" s="54"/>
      <c r="L115" s="177"/>
      <c r="M115" s="252"/>
      <c r="P115" s="96">
        <v>6</v>
      </c>
      <c r="Q115" s="356" t="s">
        <v>269</v>
      </c>
      <c r="R115" s="347" t="s">
        <v>615</v>
      </c>
      <c r="S115" s="377" t="s">
        <v>271</v>
      </c>
      <c r="T115" s="376" t="s">
        <v>24</v>
      </c>
      <c r="U115" s="483" t="s">
        <v>1236</v>
      </c>
      <c r="V115" s="136" t="s">
        <v>163</v>
      </c>
    </row>
    <row r="116" spans="1:22" ht="17.25" thickBot="1">
      <c r="A116" s="358">
        <v>5</v>
      </c>
      <c r="B116" s="356" t="s">
        <v>256</v>
      </c>
      <c r="C116" s="347" t="s">
        <v>603</v>
      </c>
      <c r="D116" s="377" t="s">
        <v>196</v>
      </c>
      <c r="E116" s="376" t="s">
        <v>24</v>
      </c>
      <c r="F116" s="880" t="s">
        <v>650</v>
      </c>
      <c r="G116" s="136"/>
      <c r="H116" s="136">
        <v>5</v>
      </c>
      <c r="I116" s="337"/>
      <c r="J116" s="106"/>
      <c r="K116" s="54"/>
      <c r="L116" s="42"/>
      <c r="M116" s="249"/>
      <c r="P116" s="96">
        <v>7</v>
      </c>
      <c r="Q116" s="356" t="s">
        <v>270</v>
      </c>
      <c r="R116" s="347" t="s">
        <v>616</v>
      </c>
      <c r="S116" s="377" t="s">
        <v>180</v>
      </c>
      <c r="T116" s="376" t="s">
        <v>24</v>
      </c>
      <c r="U116" s="483" t="s">
        <v>650</v>
      </c>
      <c r="V116" s="136" t="s">
        <v>163</v>
      </c>
    </row>
    <row r="117" spans="1:22" ht="15.75" thickBot="1">
      <c r="A117" s="358">
        <v>6</v>
      </c>
      <c r="B117" s="356" t="s">
        <v>258</v>
      </c>
      <c r="C117" s="347" t="s">
        <v>604</v>
      </c>
      <c r="D117" s="377" t="s">
        <v>198</v>
      </c>
      <c r="E117" s="376" t="s">
        <v>24</v>
      </c>
      <c r="F117" s="880" t="s">
        <v>1237</v>
      </c>
      <c r="G117" s="136"/>
      <c r="H117" s="136">
        <v>6</v>
      </c>
      <c r="I117" s="337"/>
      <c r="J117" s="106"/>
      <c r="K117" s="54"/>
      <c r="L117" s="42"/>
      <c r="M117" s="86"/>
      <c r="P117" s="96">
        <v>8</v>
      </c>
      <c r="Q117" s="356" t="s">
        <v>272</v>
      </c>
      <c r="R117" s="347" t="s">
        <v>617</v>
      </c>
      <c r="S117" s="377" t="s">
        <v>184</v>
      </c>
      <c r="T117" s="376" t="s">
        <v>24</v>
      </c>
      <c r="U117" s="483" t="s">
        <v>1236</v>
      </c>
      <c r="V117" s="136" t="s">
        <v>163</v>
      </c>
    </row>
    <row r="118" spans="1:22" ht="17.25" thickBot="1">
      <c r="A118" s="358">
        <v>7</v>
      </c>
      <c r="B118" s="356" t="s">
        <v>259</v>
      </c>
      <c r="C118" s="347" t="s">
        <v>605</v>
      </c>
      <c r="D118" s="377" t="s">
        <v>172</v>
      </c>
      <c r="E118" s="376" t="s">
        <v>3</v>
      </c>
      <c r="F118" s="880" t="s">
        <v>1237</v>
      </c>
      <c r="G118" s="136"/>
      <c r="H118" s="136">
        <v>7</v>
      </c>
      <c r="I118" s="337"/>
      <c r="J118" s="106"/>
      <c r="K118" s="54"/>
      <c r="L118" s="42"/>
      <c r="M118" s="252"/>
      <c r="P118" s="96">
        <v>9</v>
      </c>
      <c r="Q118" s="356" t="s">
        <v>273</v>
      </c>
      <c r="R118" s="347" t="s">
        <v>618</v>
      </c>
      <c r="S118" s="377" t="s">
        <v>176</v>
      </c>
      <c r="T118" s="376" t="s">
        <v>3</v>
      </c>
      <c r="U118" s="483" t="s">
        <v>1236</v>
      </c>
      <c r="V118" s="136" t="s">
        <v>163</v>
      </c>
    </row>
    <row r="119" spans="1:22" ht="15.75" thickBot="1">
      <c r="A119" s="358">
        <v>8</v>
      </c>
      <c r="B119" s="356" t="s">
        <v>260</v>
      </c>
      <c r="C119" s="347" t="s">
        <v>606</v>
      </c>
      <c r="D119" s="377" t="s">
        <v>177</v>
      </c>
      <c r="E119" s="376" t="s">
        <v>3</v>
      </c>
      <c r="F119" s="880" t="s">
        <v>1237</v>
      </c>
      <c r="G119" s="136"/>
      <c r="H119" s="136">
        <v>8</v>
      </c>
      <c r="I119" s="338"/>
      <c r="J119" s="106"/>
      <c r="K119" s="54"/>
      <c r="L119" s="177"/>
      <c r="M119" s="86"/>
      <c r="P119" s="96">
        <v>10</v>
      </c>
      <c r="Q119" s="356" t="s">
        <v>274</v>
      </c>
      <c r="R119" s="347" t="s">
        <v>619</v>
      </c>
      <c r="S119" s="377" t="s">
        <v>193</v>
      </c>
      <c r="T119" s="376" t="s">
        <v>24</v>
      </c>
      <c r="U119" s="483" t="s">
        <v>1237</v>
      </c>
      <c r="V119" s="136" t="s">
        <v>163</v>
      </c>
    </row>
    <row r="120" spans="1:22" ht="17.25" thickBot="1">
      <c r="A120" s="358">
        <v>9</v>
      </c>
      <c r="B120" s="384" t="s">
        <v>194</v>
      </c>
      <c r="C120" s="346" t="s">
        <v>534</v>
      </c>
      <c r="D120" s="377" t="s">
        <v>105</v>
      </c>
      <c r="E120" s="376" t="s">
        <v>3</v>
      </c>
      <c r="F120" s="880" t="s">
        <v>1236</v>
      </c>
      <c r="G120" s="136"/>
      <c r="H120" s="136">
        <v>9</v>
      </c>
      <c r="I120" s="341"/>
      <c r="J120" s="107"/>
      <c r="K120" s="74"/>
      <c r="L120" s="308"/>
      <c r="M120" s="326"/>
      <c r="P120" s="96">
        <v>11</v>
      </c>
      <c r="Q120" s="356" t="s">
        <v>275</v>
      </c>
      <c r="R120" s="347" t="s">
        <v>620</v>
      </c>
      <c r="S120" s="377" t="s">
        <v>182</v>
      </c>
      <c r="T120" s="376" t="s">
        <v>24</v>
      </c>
      <c r="U120" s="483" t="s">
        <v>1238</v>
      </c>
      <c r="V120" s="136" t="s">
        <v>163</v>
      </c>
    </row>
    <row r="121" spans="1:22" ht="17.25" thickBot="1">
      <c r="A121" s="358">
        <v>10</v>
      </c>
      <c r="B121" s="384" t="s">
        <v>195</v>
      </c>
      <c r="C121" s="346" t="s">
        <v>535</v>
      </c>
      <c r="D121" s="377" t="s">
        <v>107</v>
      </c>
      <c r="E121" s="376" t="s">
        <v>3</v>
      </c>
      <c r="F121" s="880" t="s">
        <v>1236</v>
      </c>
      <c r="G121" s="136"/>
      <c r="H121" s="136">
        <v>10</v>
      </c>
      <c r="I121" s="337"/>
      <c r="J121" s="106"/>
      <c r="K121" s="54"/>
      <c r="L121" s="42"/>
      <c r="M121" s="249"/>
      <c r="P121" s="96">
        <v>12</v>
      </c>
      <c r="Q121" s="356" t="s">
        <v>276</v>
      </c>
      <c r="R121" s="347" t="s">
        <v>621</v>
      </c>
      <c r="S121" s="377" t="s">
        <v>167</v>
      </c>
      <c r="T121" s="376" t="s">
        <v>3</v>
      </c>
      <c r="U121" s="483" t="s">
        <v>1236</v>
      </c>
      <c r="V121" s="136" t="s">
        <v>163</v>
      </c>
    </row>
    <row r="122" spans="1:22" ht="17.25" thickBot="1">
      <c r="A122" s="358">
        <v>11</v>
      </c>
      <c r="B122" s="384" t="s">
        <v>197</v>
      </c>
      <c r="C122" s="346" t="s">
        <v>536</v>
      </c>
      <c r="D122" s="377" t="s">
        <v>139</v>
      </c>
      <c r="E122" s="376" t="s">
        <v>24</v>
      </c>
      <c r="F122" s="880" t="s">
        <v>651</v>
      </c>
      <c r="G122" s="136"/>
      <c r="H122" s="136">
        <v>11</v>
      </c>
      <c r="I122" s="337"/>
      <c r="J122" s="106"/>
      <c r="K122" s="54"/>
      <c r="L122" s="42"/>
      <c r="M122" s="252"/>
      <c r="P122" s="96">
        <v>13</v>
      </c>
      <c r="Q122" s="356" t="s">
        <v>277</v>
      </c>
      <c r="R122" s="347" t="s">
        <v>622</v>
      </c>
      <c r="S122" s="377" t="s">
        <v>205</v>
      </c>
      <c r="T122" s="376" t="s">
        <v>24</v>
      </c>
      <c r="U122" s="483" t="s">
        <v>650</v>
      </c>
      <c r="V122" s="136" t="s">
        <v>163</v>
      </c>
    </row>
    <row r="123" spans="1:22" ht="15.75" thickBot="1">
      <c r="A123" s="358">
        <v>12</v>
      </c>
      <c r="B123" s="356" t="s">
        <v>262</v>
      </c>
      <c r="C123" s="347" t="s">
        <v>614</v>
      </c>
      <c r="D123" s="377" t="s">
        <v>166</v>
      </c>
      <c r="E123" s="376" t="s">
        <v>3</v>
      </c>
      <c r="F123" s="880" t="s">
        <v>650</v>
      </c>
      <c r="G123" s="136"/>
      <c r="H123" s="136">
        <v>12</v>
      </c>
      <c r="I123" s="337"/>
      <c r="J123" s="106"/>
      <c r="K123" s="54"/>
      <c r="L123" s="42"/>
      <c r="M123" s="86"/>
      <c r="P123" s="96">
        <v>14</v>
      </c>
      <c r="Q123" s="356" t="s">
        <v>278</v>
      </c>
      <c r="R123" s="347" t="s">
        <v>623</v>
      </c>
      <c r="S123" s="377" t="s">
        <v>170</v>
      </c>
      <c r="T123" s="376" t="s">
        <v>3</v>
      </c>
      <c r="U123" s="483" t="s">
        <v>651</v>
      </c>
      <c r="V123" s="136" t="s">
        <v>163</v>
      </c>
    </row>
    <row r="124" spans="1:22" ht="17.25" thickBot="1">
      <c r="A124" s="358">
        <v>13</v>
      </c>
      <c r="B124" s="384" t="s">
        <v>199</v>
      </c>
      <c r="C124" s="346" t="s">
        <v>537</v>
      </c>
      <c r="D124" s="377" t="s">
        <v>133</v>
      </c>
      <c r="E124" s="376" t="s">
        <v>3</v>
      </c>
      <c r="F124" s="880" t="s">
        <v>650</v>
      </c>
      <c r="G124" s="136"/>
      <c r="H124" s="136">
        <v>13</v>
      </c>
      <c r="I124" s="337"/>
      <c r="J124" s="106"/>
      <c r="K124" s="316"/>
      <c r="L124" s="42"/>
      <c r="M124" s="252"/>
      <c r="P124" s="96">
        <v>15</v>
      </c>
      <c r="Q124" s="356" t="s">
        <v>280</v>
      </c>
      <c r="R124" s="347" t="s">
        <v>625</v>
      </c>
      <c r="S124" s="377" t="s">
        <v>57</v>
      </c>
      <c r="T124" s="376" t="s">
        <v>24</v>
      </c>
      <c r="U124" s="483" t="s">
        <v>651</v>
      </c>
      <c r="V124" s="136" t="s">
        <v>163</v>
      </c>
    </row>
    <row r="125" spans="1:22" ht="16.5">
      <c r="A125" s="358">
        <v>14</v>
      </c>
      <c r="B125" s="356" t="s">
        <v>263</v>
      </c>
      <c r="C125" s="347" t="s">
        <v>608</v>
      </c>
      <c r="D125" s="377" t="s">
        <v>186</v>
      </c>
      <c r="E125" s="376" t="s">
        <v>24</v>
      </c>
      <c r="F125" s="880" t="s">
        <v>650</v>
      </c>
      <c r="G125" s="136"/>
      <c r="H125" s="136">
        <v>14</v>
      </c>
      <c r="I125" s="337"/>
      <c r="J125" s="106"/>
      <c r="K125" s="54"/>
      <c r="L125" s="42"/>
      <c r="M125" s="249"/>
      <c r="P125" s="96">
        <v>16</v>
      </c>
      <c r="Q125" s="356" t="s">
        <v>281</v>
      </c>
      <c r="R125" s="347" t="s">
        <v>626</v>
      </c>
      <c r="S125" s="377" t="s">
        <v>190</v>
      </c>
      <c r="T125" s="376" t="s">
        <v>24</v>
      </c>
      <c r="U125" s="483" t="s">
        <v>1237</v>
      </c>
      <c r="V125" s="136" t="s">
        <v>163</v>
      </c>
    </row>
    <row r="126" spans="1:22" ht="16.5">
      <c r="A126" s="358">
        <v>15</v>
      </c>
      <c r="B126" s="384" t="s">
        <v>201</v>
      </c>
      <c r="C126" s="346" t="s">
        <v>538</v>
      </c>
      <c r="D126" s="377" t="s">
        <v>147</v>
      </c>
      <c r="E126" s="376" t="s">
        <v>24</v>
      </c>
      <c r="F126" s="880" t="s">
        <v>650</v>
      </c>
      <c r="G126" s="136"/>
      <c r="H126" s="136">
        <v>15</v>
      </c>
      <c r="I126" s="337"/>
      <c r="J126" s="106"/>
      <c r="K126" s="54"/>
      <c r="L126" s="177"/>
      <c r="M126" s="328"/>
      <c r="P126" s="96">
        <v>17</v>
      </c>
      <c r="Q126" s="356" t="s">
        <v>282</v>
      </c>
      <c r="R126" s="347" t="s">
        <v>627</v>
      </c>
      <c r="S126" s="377" t="s">
        <v>203</v>
      </c>
      <c r="T126" s="376" t="s">
        <v>24</v>
      </c>
      <c r="U126" s="483" t="s">
        <v>1236</v>
      </c>
      <c r="V126" s="136" t="s">
        <v>163</v>
      </c>
    </row>
    <row r="127" spans="1:22" ht="16.5">
      <c r="A127" s="358">
        <v>16</v>
      </c>
      <c r="B127" s="384" t="s">
        <v>204</v>
      </c>
      <c r="C127" s="346" t="s">
        <v>539</v>
      </c>
      <c r="D127" s="377" t="s">
        <v>129</v>
      </c>
      <c r="E127" s="376" t="s">
        <v>3</v>
      </c>
      <c r="F127" s="880" t="s">
        <v>650</v>
      </c>
      <c r="G127" s="136"/>
      <c r="H127" s="136">
        <v>16</v>
      </c>
      <c r="I127" s="337"/>
      <c r="J127" s="106"/>
      <c r="K127" s="54"/>
      <c r="L127" s="42"/>
      <c r="M127" s="325"/>
      <c r="P127" s="96">
        <v>18</v>
      </c>
      <c r="Q127" s="356" t="s">
        <v>283</v>
      </c>
      <c r="R127" s="347" t="s">
        <v>628</v>
      </c>
      <c r="S127" s="377" t="s">
        <v>188</v>
      </c>
      <c r="T127" s="376" t="s">
        <v>24</v>
      </c>
      <c r="U127" s="483" t="s">
        <v>1237</v>
      </c>
      <c r="V127" s="136" t="s">
        <v>163</v>
      </c>
    </row>
    <row r="128" spans="1:22" ht="16.5">
      <c r="A128" s="358">
        <v>17</v>
      </c>
      <c r="B128" s="384" t="s">
        <v>206</v>
      </c>
      <c r="C128" s="346" t="s">
        <v>540</v>
      </c>
      <c r="D128" s="377" t="s">
        <v>109</v>
      </c>
      <c r="E128" s="376" t="s">
        <v>3</v>
      </c>
      <c r="F128" s="880" t="s">
        <v>1237</v>
      </c>
      <c r="G128" s="136"/>
      <c r="H128" s="136">
        <v>17</v>
      </c>
      <c r="I128" s="337"/>
      <c r="J128" s="106"/>
      <c r="K128" s="54"/>
      <c r="L128" s="42"/>
      <c r="M128" s="34"/>
      <c r="P128" s="96">
        <v>19</v>
      </c>
      <c r="Q128" s="356" t="s">
        <v>284</v>
      </c>
      <c r="R128" s="347" t="s">
        <v>493</v>
      </c>
      <c r="S128" s="377" t="s">
        <v>251</v>
      </c>
      <c r="T128" s="376" t="s">
        <v>24</v>
      </c>
      <c r="U128" s="483" t="s">
        <v>650</v>
      </c>
      <c r="V128" s="136" t="s">
        <v>163</v>
      </c>
    </row>
    <row r="129" spans="1:22" ht="16.5">
      <c r="A129" s="358">
        <v>18</v>
      </c>
      <c r="B129" s="384" t="s">
        <v>207</v>
      </c>
      <c r="C129" s="346" t="s">
        <v>541</v>
      </c>
      <c r="D129" s="377" t="s">
        <v>115</v>
      </c>
      <c r="E129" s="376" t="s">
        <v>3</v>
      </c>
      <c r="F129" s="880" t="s">
        <v>1237</v>
      </c>
      <c r="G129" s="136"/>
      <c r="H129" s="136">
        <v>18</v>
      </c>
      <c r="I129" s="337"/>
      <c r="J129" s="106"/>
      <c r="K129" s="63"/>
      <c r="L129" s="42"/>
      <c r="M129" s="328"/>
      <c r="N129" s="138"/>
      <c r="O129" s="136"/>
      <c r="P129" s="96">
        <v>20</v>
      </c>
      <c r="Q129" s="356" t="s">
        <v>286</v>
      </c>
      <c r="R129" s="347" t="s">
        <v>494</v>
      </c>
      <c r="S129" s="377" t="s">
        <v>246</v>
      </c>
      <c r="T129" s="376" t="s">
        <v>24</v>
      </c>
      <c r="U129" s="483" t="s">
        <v>650</v>
      </c>
      <c r="V129" s="136" t="s">
        <v>163</v>
      </c>
    </row>
    <row r="130" spans="1:22" ht="16.5">
      <c r="A130" s="358">
        <v>19</v>
      </c>
      <c r="B130" s="384" t="s">
        <v>210</v>
      </c>
      <c r="C130" s="346" t="s">
        <v>542</v>
      </c>
      <c r="D130" s="377" t="s">
        <v>113</v>
      </c>
      <c r="E130" s="376" t="s">
        <v>3</v>
      </c>
      <c r="F130" s="880" t="s">
        <v>1236</v>
      </c>
      <c r="G130" s="136"/>
      <c r="H130" s="136">
        <v>19</v>
      </c>
      <c r="I130" s="337"/>
      <c r="J130" s="106"/>
      <c r="K130" s="54"/>
      <c r="L130" s="42"/>
      <c r="M130" s="328"/>
      <c r="N130" s="139"/>
      <c r="O130" s="136"/>
      <c r="P130" s="96">
        <v>21</v>
      </c>
      <c r="Q130" s="356" t="s">
        <v>287</v>
      </c>
      <c r="R130" s="347" t="s">
        <v>495</v>
      </c>
      <c r="S130" s="377" t="s">
        <v>244</v>
      </c>
      <c r="T130" s="376" t="s">
        <v>24</v>
      </c>
      <c r="U130" s="483" t="s">
        <v>650</v>
      </c>
      <c r="V130" s="136" t="s">
        <v>163</v>
      </c>
    </row>
    <row r="131" spans="1:22" ht="16.5">
      <c r="A131" s="358">
        <v>20</v>
      </c>
      <c r="B131" s="384" t="s">
        <v>212</v>
      </c>
      <c r="C131" s="346" t="s">
        <v>557</v>
      </c>
      <c r="D131" s="377" t="s">
        <v>118</v>
      </c>
      <c r="E131" s="376" t="s">
        <v>3</v>
      </c>
      <c r="F131" s="880" t="s">
        <v>1238</v>
      </c>
      <c r="G131" s="136"/>
      <c r="H131" s="136">
        <v>20</v>
      </c>
      <c r="I131" s="337"/>
      <c r="J131" s="106"/>
      <c r="K131" s="54"/>
      <c r="L131" s="42"/>
      <c r="M131" s="325"/>
      <c r="P131" s="96">
        <v>22</v>
      </c>
      <c r="Q131" s="356" t="s">
        <v>288</v>
      </c>
      <c r="R131" s="347" t="s">
        <v>497</v>
      </c>
      <c r="S131" s="377" t="s">
        <v>226</v>
      </c>
      <c r="T131" s="376" t="s">
        <v>3</v>
      </c>
      <c r="U131" s="483" t="s">
        <v>1236</v>
      </c>
      <c r="V131" s="136" t="s">
        <v>163</v>
      </c>
    </row>
    <row r="132" spans="1:22" ht="16.5">
      <c r="A132" s="358">
        <v>21</v>
      </c>
      <c r="B132" s="384" t="s">
        <v>213</v>
      </c>
      <c r="C132" s="346" t="s">
        <v>543</v>
      </c>
      <c r="D132" s="377" t="s">
        <v>111</v>
      </c>
      <c r="E132" s="376" t="s">
        <v>3</v>
      </c>
      <c r="F132" s="880" t="s">
        <v>1238</v>
      </c>
      <c r="G132" s="136"/>
      <c r="H132" s="136">
        <v>21</v>
      </c>
      <c r="I132" s="337"/>
      <c r="J132" s="106"/>
      <c r="K132" s="54"/>
      <c r="L132" s="42"/>
      <c r="M132" s="34"/>
      <c r="P132" s="96">
        <v>23</v>
      </c>
      <c r="Q132" s="356" t="s">
        <v>289</v>
      </c>
      <c r="R132" s="347" t="s">
        <v>498</v>
      </c>
      <c r="S132" s="377" t="s">
        <v>232</v>
      </c>
      <c r="T132" s="376" t="s">
        <v>24</v>
      </c>
      <c r="U132" s="483" t="s">
        <v>1237</v>
      </c>
      <c r="V132" s="136" t="s">
        <v>163</v>
      </c>
    </row>
    <row r="133" spans="1:22" ht="16.5">
      <c r="A133" s="358">
        <v>22</v>
      </c>
      <c r="B133" s="384" t="s">
        <v>215</v>
      </c>
      <c r="C133" s="346" t="s">
        <v>544</v>
      </c>
      <c r="D133" s="377" t="s">
        <v>120</v>
      </c>
      <c r="E133" s="376" t="s">
        <v>3</v>
      </c>
      <c r="F133" s="880" t="s">
        <v>1238</v>
      </c>
      <c r="G133" s="136"/>
      <c r="H133" s="136">
        <v>22</v>
      </c>
      <c r="I133" s="342"/>
      <c r="J133" s="107"/>
      <c r="K133" s="74"/>
      <c r="L133" s="308"/>
      <c r="M133" s="322"/>
      <c r="P133" s="96">
        <v>24</v>
      </c>
      <c r="Q133" s="356" t="s">
        <v>291</v>
      </c>
      <c r="R133" s="347" t="s">
        <v>499</v>
      </c>
      <c r="S133" s="377" t="s">
        <v>241</v>
      </c>
      <c r="T133" s="376" t="s">
        <v>24</v>
      </c>
      <c r="U133" s="483" t="s">
        <v>1237</v>
      </c>
      <c r="V133" s="136" t="s">
        <v>163</v>
      </c>
    </row>
    <row r="134" spans="1:22" ht="16.5">
      <c r="A134" s="358">
        <v>23</v>
      </c>
      <c r="B134" s="384" t="s">
        <v>217</v>
      </c>
      <c r="C134" s="346" t="s">
        <v>545</v>
      </c>
      <c r="D134" s="377" t="s">
        <v>546</v>
      </c>
      <c r="E134" s="376" t="s">
        <v>3</v>
      </c>
      <c r="F134" s="880" t="s">
        <v>1236</v>
      </c>
      <c r="G134" s="136"/>
      <c r="H134" s="136">
        <v>23</v>
      </c>
      <c r="I134" s="337"/>
      <c r="J134" s="106"/>
      <c r="K134" s="54"/>
      <c r="L134" s="42"/>
      <c r="M134" s="328"/>
      <c r="P134" s="96">
        <v>25</v>
      </c>
      <c r="Q134" s="356" t="s">
        <v>292</v>
      </c>
      <c r="R134" s="789" t="s">
        <v>500</v>
      </c>
      <c r="S134" s="377" t="s">
        <v>216</v>
      </c>
      <c r="T134" s="376" t="s">
        <v>3</v>
      </c>
      <c r="U134" s="483" t="s">
        <v>1236</v>
      </c>
      <c r="V134" s="136" t="s">
        <v>163</v>
      </c>
    </row>
    <row r="135" spans="1:22" ht="16.5">
      <c r="A135" s="358">
        <v>24</v>
      </c>
      <c r="B135" s="384" t="s">
        <v>219</v>
      </c>
      <c r="C135" s="346" t="s">
        <v>547</v>
      </c>
      <c r="D135" s="377" t="s">
        <v>158</v>
      </c>
      <c r="E135" s="376" t="s">
        <v>24</v>
      </c>
      <c r="F135" s="880" t="s">
        <v>650</v>
      </c>
      <c r="G135" s="136"/>
      <c r="H135" s="136">
        <v>24</v>
      </c>
      <c r="I135" s="337"/>
      <c r="J135" s="106"/>
      <c r="K135" s="54"/>
      <c r="L135" s="42"/>
      <c r="M135" s="328"/>
      <c r="P135" s="96">
        <v>26</v>
      </c>
      <c r="Q135" s="356" t="s">
        <v>293</v>
      </c>
      <c r="R135" s="347" t="s">
        <v>501</v>
      </c>
      <c r="S135" s="378" t="s">
        <v>247</v>
      </c>
      <c r="T135" s="376" t="s">
        <v>24</v>
      </c>
      <c r="U135" s="483" t="s">
        <v>1237</v>
      </c>
      <c r="V135" s="136" t="s">
        <v>163</v>
      </c>
    </row>
    <row r="136" spans="1:22" ht="16.5">
      <c r="A136" s="358">
        <v>25</v>
      </c>
      <c r="B136" s="384" t="s">
        <v>221</v>
      </c>
      <c r="C136" s="346" t="s">
        <v>548</v>
      </c>
      <c r="D136" s="377" t="s">
        <v>149</v>
      </c>
      <c r="E136" s="376" t="s">
        <v>24</v>
      </c>
      <c r="F136" s="880" t="s">
        <v>650</v>
      </c>
      <c r="G136" s="136"/>
      <c r="H136" s="136">
        <v>25</v>
      </c>
      <c r="I136" s="337"/>
      <c r="J136" s="106"/>
      <c r="K136" s="54"/>
      <c r="L136" s="42"/>
      <c r="M136" s="328"/>
      <c r="P136" s="96">
        <v>27</v>
      </c>
      <c r="Q136" s="356" t="s">
        <v>629</v>
      </c>
      <c r="R136" s="347" t="s">
        <v>502</v>
      </c>
      <c r="S136" s="378" t="s">
        <v>222</v>
      </c>
      <c r="T136" s="376" t="s">
        <v>3</v>
      </c>
      <c r="U136" s="483" t="s">
        <v>1237</v>
      </c>
      <c r="V136" s="136" t="s">
        <v>163</v>
      </c>
    </row>
    <row r="137" spans="1:22" ht="16.5">
      <c r="A137" s="358">
        <v>26</v>
      </c>
      <c r="B137" s="384" t="s">
        <v>223</v>
      </c>
      <c r="C137" s="346" t="s">
        <v>549</v>
      </c>
      <c r="D137" s="377" t="s">
        <v>162</v>
      </c>
      <c r="E137" s="376" t="s">
        <v>24</v>
      </c>
      <c r="F137" s="880" t="s">
        <v>1237</v>
      </c>
      <c r="G137" s="136"/>
      <c r="H137" s="136">
        <v>26</v>
      </c>
      <c r="P137" s="96">
        <v>1</v>
      </c>
      <c r="Q137" s="356" t="s">
        <v>294</v>
      </c>
      <c r="R137" s="347" t="s">
        <v>503</v>
      </c>
      <c r="S137" s="378" t="s">
        <v>248</v>
      </c>
      <c r="T137" s="376" t="s">
        <v>24</v>
      </c>
      <c r="U137" s="483" t="s">
        <v>1237</v>
      </c>
      <c r="V137" s="136" t="s">
        <v>208</v>
      </c>
    </row>
    <row r="138" spans="1:22" ht="16.5">
      <c r="A138" s="358">
        <v>27</v>
      </c>
      <c r="B138" s="384" t="s">
        <v>225</v>
      </c>
      <c r="C138" s="346" t="s">
        <v>550</v>
      </c>
      <c r="D138" s="377" t="s">
        <v>145</v>
      </c>
      <c r="E138" s="376" t="s">
        <v>24</v>
      </c>
      <c r="F138" s="880" t="s">
        <v>1236</v>
      </c>
      <c r="G138" s="136"/>
      <c r="H138" s="136">
        <v>27</v>
      </c>
      <c r="I138" s="136"/>
      <c r="J138" s="136"/>
      <c r="K138" s="136"/>
      <c r="L138" s="136"/>
      <c r="P138" s="96">
        <v>2</v>
      </c>
      <c r="Q138" s="356" t="s">
        <v>295</v>
      </c>
      <c r="R138" s="347" t="s">
        <v>504</v>
      </c>
      <c r="S138" s="378" t="s">
        <v>224</v>
      </c>
      <c r="T138" s="376" t="s">
        <v>3</v>
      </c>
      <c r="U138" s="483" t="s">
        <v>1237</v>
      </c>
      <c r="V138" s="136" t="s">
        <v>208</v>
      </c>
    </row>
    <row r="139" spans="1:22" ht="16.5">
      <c r="A139" s="358">
        <v>28</v>
      </c>
      <c r="B139" s="384" t="s">
        <v>227</v>
      </c>
      <c r="C139" s="346" t="s">
        <v>551</v>
      </c>
      <c r="D139" s="377" t="s">
        <v>141</v>
      </c>
      <c r="E139" s="376" t="s">
        <v>24</v>
      </c>
      <c r="F139" s="880" t="s">
        <v>1236</v>
      </c>
      <c r="G139" s="136"/>
      <c r="H139" s="136">
        <v>28</v>
      </c>
      <c r="I139" s="136"/>
      <c r="J139" s="136"/>
      <c r="K139" s="136"/>
      <c r="L139" s="136"/>
      <c r="P139" s="96">
        <v>3</v>
      </c>
      <c r="Q139" s="356" t="s">
        <v>296</v>
      </c>
      <c r="R139" s="347" t="s">
        <v>507</v>
      </c>
      <c r="S139" s="360" t="s">
        <v>299</v>
      </c>
      <c r="T139" s="376" t="s">
        <v>3</v>
      </c>
      <c r="U139" s="483" t="s">
        <v>650</v>
      </c>
      <c r="V139" s="136" t="s">
        <v>208</v>
      </c>
    </row>
    <row r="140" spans="1:22">
      <c r="A140" s="358">
        <v>29</v>
      </c>
      <c r="B140" s="384" t="s">
        <v>228</v>
      </c>
      <c r="C140" s="345" t="s">
        <v>552</v>
      </c>
      <c r="D140" s="377" t="s">
        <v>161</v>
      </c>
      <c r="E140" s="376" t="s">
        <v>24</v>
      </c>
      <c r="F140" s="880" t="s">
        <v>1236</v>
      </c>
      <c r="G140" s="136"/>
      <c r="H140" s="136">
        <v>29</v>
      </c>
      <c r="I140" s="136"/>
      <c r="J140" s="136"/>
      <c r="K140" s="136"/>
      <c r="L140" s="136"/>
      <c r="P140" s="96">
        <v>4</v>
      </c>
      <c r="Q140" s="481" t="s">
        <v>298</v>
      </c>
      <c r="R140" s="470" t="s">
        <v>506</v>
      </c>
      <c r="S140" s="791" t="s">
        <v>218</v>
      </c>
      <c r="T140" s="482" t="s">
        <v>3</v>
      </c>
      <c r="U140" s="483" t="s">
        <v>650</v>
      </c>
      <c r="V140" s="136" t="s">
        <v>208</v>
      </c>
    </row>
    <row r="141" spans="1:22">
      <c r="A141" s="358">
        <v>30</v>
      </c>
      <c r="B141" s="384" t="s">
        <v>229</v>
      </c>
      <c r="C141" s="345" t="s">
        <v>553</v>
      </c>
      <c r="D141" s="377" t="s">
        <v>125</v>
      </c>
      <c r="E141" s="376" t="s">
        <v>3</v>
      </c>
      <c r="F141" s="880" t="s">
        <v>1236</v>
      </c>
      <c r="G141" s="332"/>
      <c r="H141" s="332"/>
      <c r="I141" s="332"/>
      <c r="J141" s="332"/>
      <c r="K141" s="332"/>
      <c r="L141" s="332"/>
      <c r="P141" s="96">
        <v>5</v>
      </c>
      <c r="Q141" s="458" t="s">
        <v>300</v>
      </c>
      <c r="R141" s="472" t="s">
        <v>508</v>
      </c>
      <c r="S141" s="489" t="s">
        <v>249</v>
      </c>
      <c r="T141" s="443" t="s">
        <v>24</v>
      </c>
      <c r="U141" s="483" t="s">
        <v>1238</v>
      </c>
      <c r="V141" s="136" t="s">
        <v>208</v>
      </c>
    </row>
    <row r="142" spans="1:22">
      <c r="A142" s="358">
        <v>31</v>
      </c>
      <c r="B142" s="384" t="s">
        <v>231</v>
      </c>
      <c r="C142" s="345" t="s">
        <v>554</v>
      </c>
      <c r="D142" s="377" t="s">
        <v>156</v>
      </c>
      <c r="E142" s="376" t="s">
        <v>24</v>
      </c>
      <c r="F142" s="880" t="s">
        <v>1236</v>
      </c>
      <c r="G142" s="332"/>
      <c r="H142" s="332"/>
      <c r="I142" s="332"/>
      <c r="J142" s="332"/>
      <c r="K142" s="332"/>
      <c r="L142" s="332"/>
      <c r="P142" s="96">
        <v>6</v>
      </c>
      <c r="Q142" s="458" t="s">
        <v>301</v>
      </c>
      <c r="R142" s="472" t="s">
        <v>509</v>
      </c>
      <c r="S142" s="489" t="s">
        <v>243</v>
      </c>
      <c r="T142" s="443" t="s">
        <v>24</v>
      </c>
      <c r="U142" s="483" t="s">
        <v>1236</v>
      </c>
      <c r="V142" s="136" t="s">
        <v>208</v>
      </c>
    </row>
    <row r="143" spans="1:22" ht="15.75" thickBot="1">
      <c r="A143" s="886">
        <v>32</v>
      </c>
      <c r="B143" s="900" t="s">
        <v>233</v>
      </c>
      <c r="C143" s="930" t="s">
        <v>555</v>
      </c>
      <c r="D143" s="888" t="s">
        <v>556</v>
      </c>
      <c r="E143" s="889" t="s">
        <v>24</v>
      </c>
      <c r="F143" s="890" t="s">
        <v>1236</v>
      </c>
      <c r="P143" s="96">
        <v>7</v>
      </c>
      <c r="Q143" s="458" t="s">
        <v>302</v>
      </c>
      <c r="R143" s="472" t="s">
        <v>510</v>
      </c>
      <c r="S143" s="489" t="s">
        <v>245</v>
      </c>
      <c r="T143" s="443" t="s">
        <v>24</v>
      </c>
      <c r="U143" s="483" t="s">
        <v>1238</v>
      </c>
      <c r="V143" s="136" t="s">
        <v>208</v>
      </c>
    </row>
    <row r="144" spans="1:22">
      <c r="A144" s="896" t="s">
        <v>24</v>
      </c>
      <c r="B144" s="891">
        <v>16</v>
      </c>
      <c r="C144" s="892"/>
      <c r="D144" s="893"/>
      <c r="E144" s="894"/>
      <c r="F144" s="895"/>
      <c r="G144" s="103"/>
      <c r="H144" s="103"/>
      <c r="I144" s="103"/>
      <c r="J144" s="103"/>
      <c r="K144" s="103"/>
      <c r="L144" s="103"/>
      <c r="P144" s="96">
        <v>8</v>
      </c>
      <c r="Q144" s="458" t="s">
        <v>303</v>
      </c>
      <c r="R144" s="472" t="s">
        <v>511</v>
      </c>
      <c r="S144" s="489" t="s">
        <v>240</v>
      </c>
      <c r="T144" s="443" t="s">
        <v>24</v>
      </c>
      <c r="U144" s="483" t="s">
        <v>1237</v>
      </c>
      <c r="V144" s="136" t="s">
        <v>208</v>
      </c>
    </row>
    <row r="145" spans="1:28" ht="15.75" thickBot="1">
      <c r="A145" s="897" t="s">
        <v>3</v>
      </c>
      <c r="B145" s="881">
        <v>16</v>
      </c>
      <c r="C145" s="882"/>
      <c r="D145" s="883"/>
      <c r="E145" s="884"/>
      <c r="F145" s="885"/>
      <c r="G145" s="115"/>
      <c r="H145" s="115"/>
      <c r="I145" s="115"/>
      <c r="J145" s="115"/>
      <c r="K145" s="115"/>
      <c r="L145" s="115"/>
      <c r="P145" s="96">
        <v>9</v>
      </c>
      <c r="Q145" s="458" t="s">
        <v>304</v>
      </c>
      <c r="R145" s="472" t="s">
        <v>512</v>
      </c>
      <c r="S145" s="489" t="s">
        <v>238</v>
      </c>
      <c r="T145" s="443" t="s">
        <v>24</v>
      </c>
      <c r="U145" s="483" t="s">
        <v>650</v>
      </c>
      <c r="V145" s="136" t="s">
        <v>208</v>
      </c>
    </row>
    <row r="146" spans="1:28">
      <c r="E146" s="810" t="s">
        <v>1242</v>
      </c>
      <c r="P146" s="96">
        <v>10</v>
      </c>
      <c r="Q146" s="481" t="s">
        <v>305</v>
      </c>
      <c r="R146" s="470" t="s">
        <v>513</v>
      </c>
      <c r="S146" s="791" t="s">
        <v>237</v>
      </c>
      <c r="T146" s="482" t="s">
        <v>24</v>
      </c>
      <c r="U146" s="483" t="s">
        <v>651</v>
      </c>
      <c r="V146" s="136" t="s">
        <v>208</v>
      </c>
    </row>
    <row r="147" spans="1:28">
      <c r="E147" s="115" t="s">
        <v>84</v>
      </c>
      <c r="P147" s="96">
        <v>11</v>
      </c>
      <c r="Q147" s="481" t="s">
        <v>306</v>
      </c>
      <c r="R147" s="470" t="s">
        <v>514</v>
      </c>
      <c r="S147" s="791" t="s">
        <v>209</v>
      </c>
      <c r="T147" s="482" t="s">
        <v>3</v>
      </c>
      <c r="U147" s="483" t="s">
        <v>651</v>
      </c>
      <c r="V147" s="136" t="s">
        <v>208</v>
      </c>
    </row>
    <row r="148" spans="1:28">
      <c r="P148" s="96">
        <v>12</v>
      </c>
      <c r="Q148" s="458" t="s">
        <v>307</v>
      </c>
      <c r="R148" s="472" t="s">
        <v>515</v>
      </c>
      <c r="S148" s="489" t="s">
        <v>230</v>
      </c>
      <c r="T148" s="443" t="s">
        <v>59</v>
      </c>
      <c r="U148" s="483" t="s">
        <v>651</v>
      </c>
      <c r="V148" s="136" t="s">
        <v>208</v>
      </c>
    </row>
    <row r="149" spans="1:28">
      <c r="E149" s="121" t="str">
        <f>WLKLS!B14</f>
        <v>SITI NURHALIMAH, S.Pd.I.</v>
      </c>
      <c r="P149" s="96">
        <v>13</v>
      </c>
      <c r="Q149" s="458" t="s">
        <v>308</v>
      </c>
      <c r="R149" s="472" t="s">
        <v>516</v>
      </c>
      <c r="S149" s="489" t="s">
        <v>236</v>
      </c>
      <c r="T149" s="443" t="s">
        <v>24</v>
      </c>
      <c r="U149" s="483" t="s">
        <v>651</v>
      </c>
      <c r="V149" s="136" t="s">
        <v>208</v>
      </c>
      <c r="X149" s="500" t="s">
        <v>279</v>
      </c>
      <c r="Y149" s="501" t="s">
        <v>624</v>
      </c>
      <c r="Z149" s="502" t="s">
        <v>171</v>
      </c>
      <c r="AA149" s="503" t="s">
        <v>3</v>
      </c>
      <c r="AB149" s="794" t="s">
        <v>650</v>
      </c>
    </row>
    <row r="150" spans="1:28">
      <c r="E150" s="123" t="str">
        <f>WLKLS!C14</f>
        <v>NIP. 198103052014062001</v>
      </c>
      <c r="P150" s="96">
        <v>14</v>
      </c>
      <c r="Q150" s="458" t="s">
        <v>309</v>
      </c>
      <c r="R150" s="472" t="s">
        <v>517</v>
      </c>
      <c r="S150" s="489" t="s">
        <v>239</v>
      </c>
      <c r="T150" s="443" t="s">
        <v>24</v>
      </c>
      <c r="U150" s="483" t="s">
        <v>1238</v>
      </c>
      <c r="V150" s="136" t="s">
        <v>208</v>
      </c>
    </row>
    <row r="151" spans="1:28" ht="5.25" customHeight="1">
      <c r="P151" s="96">
        <v>15</v>
      </c>
      <c r="Q151" s="458" t="s">
        <v>310</v>
      </c>
      <c r="R151" s="472" t="s">
        <v>518</v>
      </c>
      <c r="S151" s="489" t="s">
        <v>234</v>
      </c>
      <c r="T151" s="443" t="s">
        <v>24</v>
      </c>
      <c r="U151" s="483" t="s">
        <v>651</v>
      </c>
      <c r="V151" s="136" t="s">
        <v>208</v>
      </c>
    </row>
    <row r="152" spans="1:28">
      <c r="A152" s="1018" t="s">
        <v>0</v>
      </c>
      <c r="B152" s="1018"/>
      <c r="C152" s="1018"/>
      <c r="D152" s="1018"/>
      <c r="E152" s="1018"/>
      <c r="F152" s="1018"/>
      <c r="G152" s="300"/>
      <c r="H152" s="300"/>
      <c r="I152" s="300"/>
      <c r="J152" s="300"/>
      <c r="K152" s="300"/>
      <c r="L152" s="300"/>
      <c r="P152" s="96">
        <v>16</v>
      </c>
      <c r="Q152" s="458" t="s">
        <v>311</v>
      </c>
      <c r="R152" s="472" t="s">
        <v>519</v>
      </c>
      <c r="S152" s="489" t="s">
        <v>211</v>
      </c>
      <c r="T152" s="443" t="s">
        <v>3</v>
      </c>
      <c r="U152" s="483" t="s">
        <v>651</v>
      </c>
      <c r="V152" s="136" t="s">
        <v>208</v>
      </c>
    </row>
    <row r="153" spans="1:28">
      <c r="A153" s="1018" t="s">
        <v>1</v>
      </c>
      <c r="B153" s="1018"/>
      <c r="C153" s="1018"/>
      <c r="D153" s="1018"/>
      <c r="E153" s="1018"/>
      <c r="F153" s="1018"/>
      <c r="G153" s="300"/>
      <c r="H153" s="300"/>
      <c r="I153" s="300"/>
      <c r="J153" s="300"/>
      <c r="K153" s="300"/>
      <c r="L153" s="300"/>
      <c r="P153" s="96">
        <v>17</v>
      </c>
      <c r="Q153" s="458" t="s">
        <v>312</v>
      </c>
      <c r="R153" s="472" t="s">
        <v>520</v>
      </c>
      <c r="S153" s="442" t="s">
        <v>200</v>
      </c>
      <c r="T153" s="443" t="s">
        <v>24</v>
      </c>
      <c r="U153" s="483" t="s">
        <v>1237</v>
      </c>
      <c r="V153" s="136" t="s">
        <v>208</v>
      </c>
    </row>
    <row r="154" spans="1:28">
      <c r="A154" s="1018" t="s">
        <v>4</v>
      </c>
      <c r="B154" s="1018"/>
      <c r="C154" s="1018"/>
      <c r="D154" s="1018"/>
      <c r="E154" s="1018"/>
      <c r="F154" s="1018"/>
      <c r="G154" s="300"/>
      <c r="H154" s="300"/>
      <c r="I154" s="300"/>
      <c r="J154" s="300"/>
      <c r="K154" s="300"/>
      <c r="L154" s="300"/>
      <c r="P154" s="96">
        <v>18</v>
      </c>
      <c r="Q154" s="458" t="s">
        <v>313</v>
      </c>
      <c r="R154" s="472" t="s">
        <v>521</v>
      </c>
      <c r="S154" s="442" t="s">
        <v>214</v>
      </c>
      <c r="T154" s="443" t="s">
        <v>3</v>
      </c>
      <c r="U154" s="483" t="s">
        <v>1238</v>
      </c>
      <c r="V154" s="136" t="s">
        <v>208</v>
      </c>
    </row>
    <row r="155" spans="1:28">
      <c r="A155" s="1019" t="s">
        <v>6</v>
      </c>
      <c r="B155" s="1019"/>
      <c r="C155" s="1019"/>
      <c r="D155" s="1019"/>
      <c r="E155" s="1019"/>
      <c r="F155" s="1019"/>
      <c r="G155" s="301"/>
      <c r="H155" s="301"/>
      <c r="I155" s="301"/>
      <c r="J155" s="301"/>
      <c r="K155" s="301"/>
      <c r="L155" s="301"/>
      <c r="P155" s="96">
        <v>19</v>
      </c>
      <c r="Q155" s="458" t="s">
        <v>314</v>
      </c>
      <c r="R155" s="472" t="s">
        <v>522</v>
      </c>
      <c r="S155" s="442" t="s">
        <v>250</v>
      </c>
      <c r="T155" s="443" t="s">
        <v>24</v>
      </c>
      <c r="U155" s="483" t="s">
        <v>650</v>
      </c>
      <c r="V155" s="136" t="s">
        <v>208</v>
      </c>
    </row>
    <row r="156" spans="1:28" ht="15.75" thickBot="1">
      <c r="A156" s="1020" t="s">
        <v>7</v>
      </c>
      <c r="B156" s="1020"/>
      <c r="C156" s="1020"/>
      <c r="D156" s="1020"/>
      <c r="E156" s="1020"/>
      <c r="F156" s="1020"/>
      <c r="G156" s="304"/>
      <c r="H156" s="304"/>
      <c r="I156" s="304"/>
      <c r="J156" s="304"/>
      <c r="K156" s="304"/>
      <c r="L156" s="304"/>
      <c r="P156" s="96">
        <v>20</v>
      </c>
      <c r="Q156" s="458" t="s">
        <v>315</v>
      </c>
      <c r="R156" s="472" t="s">
        <v>523</v>
      </c>
      <c r="S156" s="442" t="s">
        <v>220</v>
      </c>
      <c r="T156" s="443" t="s">
        <v>3</v>
      </c>
      <c r="U156" s="483" t="s">
        <v>1238</v>
      </c>
      <c r="V156" s="136" t="s">
        <v>208</v>
      </c>
    </row>
    <row r="157" spans="1:28" ht="17.25" thickTop="1">
      <c r="A157" s="97"/>
      <c r="B157" s="98"/>
      <c r="C157" s="98"/>
      <c r="D157" s="99"/>
      <c r="E157" s="98"/>
      <c r="F157" s="98"/>
      <c r="G157" s="40"/>
      <c r="H157" s="40"/>
      <c r="I157" s="40"/>
      <c r="J157" s="40"/>
      <c r="K157" s="40"/>
      <c r="L157" s="40"/>
      <c r="P157" s="96">
        <v>21</v>
      </c>
      <c r="Q157" s="788" t="s">
        <v>78</v>
      </c>
      <c r="R157" s="790" t="s">
        <v>492</v>
      </c>
      <c r="S157" s="486" t="s">
        <v>79</v>
      </c>
      <c r="T157" s="458" t="s">
        <v>3</v>
      </c>
      <c r="U157" s="483" t="s">
        <v>650</v>
      </c>
      <c r="V157" s="136" t="s">
        <v>208</v>
      </c>
      <c r="X157" s="312" t="s">
        <v>336</v>
      </c>
      <c r="Y157" s="313" t="s">
        <v>631</v>
      </c>
      <c r="Z157" s="71" t="s">
        <v>337</v>
      </c>
      <c r="AA157" s="314" t="s">
        <v>3</v>
      </c>
      <c r="AB157" s="315" t="s">
        <v>350</v>
      </c>
    </row>
    <row r="158" spans="1:28" ht="15.75">
      <c r="A158" s="1021" t="s">
        <v>1051</v>
      </c>
      <c r="B158" s="1021"/>
      <c r="C158" s="1021"/>
      <c r="D158" s="1021"/>
      <c r="E158" s="1021"/>
      <c r="F158" s="1021"/>
      <c r="G158" s="302"/>
      <c r="H158" s="302"/>
      <c r="I158" s="302"/>
      <c r="J158" s="302"/>
      <c r="K158" s="302"/>
      <c r="L158" s="302"/>
      <c r="P158" s="96">
        <v>22</v>
      </c>
      <c r="Q158" s="494" t="s">
        <v>653</v>
      </c>
      <c r="R158" s="422"/>
      <c r="S158" s="495" t="s">
        <v>652</v>
      </c>
      <c r="T158" s="494" t="s">
        <v>3</v>
      </c>
      <c r="U158" s="483" t="s">
        <v>1236</v>
      </c>
      <c r="V158" s="136" t="s">
        <v>208</v>
      </c>
    </row>
    <row r="159" spans="1:28" ht="15.75">
      <c r="A159" s="1022" t="s">
        <v>1241</v>
      </c>
      <c r="B159" s="1022"/>
      <c r="C159" s="1022"/>
      <c r="D159" s="1022"/>
      <c r="E159" s="1022"/>
      <c r="F159" s="1022"/>
      <c r="G159" s="303"/>
      <c r="H159" s="303"/>
      <c r="I159" s="303"/>
      <c r="J159" s="303"/>
      <c r="K159" s="303"/>
      <c r="L159" s="303"/>
      <c r="P159" s="96">
        <v>23</v>
      </c>
      <c r="Q159" s="423" t="s">
        <v>1078</v>
      </c>
      <c r="R159" s="424" t="s">
        <v>879</v>
      </c>
      <c r="S159" s="422" t="s">
        <v>1077</v>
      </c>
      <c r="T159" s="423" t="s">
        <v>24</v>
      </c>
      <c r="U159" s="483" t="s">
        <v>1238</v>
      </c>
      <c r="V159" s="136" t="s">
        <v>208</v>
      </c>
    </row>
    <row r="160" spans="1:28" ht="15.75" thickBot="1">
      <c r="A160" s="100"/>
      <c r="B160" s="100"/>
      <c r="C160" s="101"/>
      <c r="D160" s="102"/>
      <c r="E160" s="103"/>
      <c r="F160" s="103"/>
      <c r="G160" s="103"/>
      <c r="H160" s="103"/>
      <c r="I160" s="103"/>
      <c r="J160" s="103"/>
      <c r="K160" s="103"/>
      <c r="L160" s="103"/>
      <c r="P160" s="96">
        <v>24</v>
      </c>
      <c r="Q160" s="492" t="s">
        <v>1083</v>
      </c>
      <c r="R160" s="422"/>
      <c r="S160" s="491" t="s">
        <v>1081</v>
      </c>
      <c r="T160" s="492" t="s">
        <v>3</v>
      </c>
      <c r="U160" s="483" t="s">
        <v>1238</v>
      </c>
      <c r="V160" s="136" t="s">
        <v>208</v>
      </c>
    </row>
    <row r="161" spans="1:28" ht="17.25" thickBot="1">
      <c r="A161" s="1023" t="s">
        <v>13</v>
      </c>
      <c r="B161" s="1024"/>
      <c r="C161" s="1025"/>
      <c r="D161" s="1026" t="s">
        <v>14</v>
      </c>
      <c r="E161" s="1026" t="s">
        <v>15</v>
      </c>
      <c r="F161" s="400" t="s">
        <v>346</v>
      </c>
      <c r="G161" s="330"/>
      <c r="H161" s="330"/>
      <c r="I161" s="330"/>
      <c r="J161" s="330"/>
      <c r="K161" s="330"/>
      <c r="L161" s="330"/>
      <c r="P161" s="96">
        <v>25</v>
      </c>
      <c r="Q161" s="488" t="s">
        <v>1213</v>
      </c>
      <c r="R161" s="477"/>
      <c r="S161" s="442" t="s">
        <v>1216</v>
      </c>
      <c r="T161" s="443" t="s">
        <v>24</v>
      </c>
      <c r="U161" s="483" t="s">
        <v>651</v>
      </c>
      <c r="V161" s="136" t="s">
        <v>208</v>
      </c>
    </row>
    <row r="162" spans="1:28" ht="16.5" thickBot="1">
      <c r="A162" s="126" t="s">
        <v>18</v>
      </c>
      <c r="B162" s="126" t="s">
        <v>19</v>
      </c>
      <c r="C162" s="126" t="s">
        <v>20</v>
      </c>
      <c r="D162" s="1031"/>
      <c r="E162" s="1031"/>
      <c r="F162" s="401" t="s">
        <v>347</v>
      </c>
      <c r="G162" s="330"/>
      <c r="H162" s="330"/>
      <c r="I162" s="330"/>
      <c r="J162" s="330"/>
      <c r="K162" s="330"/>
      <c r="L162" s="330"/>
      <c r="P162" s="96">
        <v>26</v>
      </c>
      <c r="Q162" s="800" t="s">
        <v>1239</v>
      </c>
      <c r="R162" s="422"/>
      <c r="S162" s="422"/>
      <c r="T162" s="423" t="s">
        <v>59</v>
      </c>
      <c r="U162" s="803" t="s">
        <v>1240</v>
      </c>
      <c r="V162" s="136" t="s">
        <v>208</v>
      </c>
    </row>
    <row r="163" spans="1:28" ht="17.25" thickBot="1">
      <c r="A163" s="407">
        <v>1</v>
      </c>
      <c r="B163" s="356" t="s">
        <v>284</v>
      </c>
      <c r="C163" s="347" t="s">
        <v>493</v>
      </c>
      <c r="D163" s="377" t="s">
        <v>251</v>
      </c>
      <c r="E163" s="376" t="s">
        <v>24</v>
      </c>
      <c r="F163" s="483" t="s">
        <v>650</v>
      </c>
      <c r="G163" s="136"/>
      <c r="H163" s="136">
        <v>1</v>
      </c>
      <c r="I163" s="176"/>
      <c r="J163" s="106"/>
      <c r="K163" s="54"/>
      <c r="L163" s="177"/>
      <c r="M163" s="252"/>
      <c r="P163" s="96"/>
      <c r="Q163" s="422"/>
      <c r="R163" s="422"/>
      <c r="S163" s="422"/>
      <c r="T163" s="422"/>
      <c r="U163" s="802"/>
    </row>
    <row r="164" spans="1:28" ht="17.25" thickBot="1">
      <c r="A164" s="354">
        <v>2</v>
      </c>
      <c r="B164" s="356" t="s">
        <v>286</v>
      </c>
      <c r="C164" s="347" t="s">
        <v>494</v>
      </c>
      <c r="D164" s="377" t="s">
        <v>246</v>
      </c>
      <c r="E164" s="376" t="s">
        <v>24</v>
      </c>
      <c r="F164" s="483" t="s">
        <v>650</v>
      </c>
      <c r="G164" s="136"/>
      <c r="H164" s="136">
        <v>2</v>
      </c>
      <c r="I164" s="176"/>
      <c r="J164" s="106"/>
      <c r="K164" s="54"/>
      <c r="L164" s="177"/>
      <c r="M164" s="249"/>
      <c r="N164" s="139"/>
      <c r="O164" s="136"/>
      <c r="P164" s="96"/>
      <c r="Q164" s="458"/>
      <c r="R164" s="472"/>
      <c r="S164" s="442"/>
      <c r="T164" s="443"/>
      <c r="U164" s="483"/>
    </row>
    <row r="165" spans="1:28" ht="17.25" thickBot="1">
      <c r="A165" s="354">
        <v>3</v>
      </c>
      <c r="B165" s="356" t="s">
        <v>287</v>
      </c>
      <c r="C165" s="347" t="s">
        <v>495</v>
      </c>
      <c r="D165" s="377" t="s">
        <v>244</v>
      </c>
      <c r="E165" s="376" t="s">
        <v>24</v>
      </c>
      <c r="F165" s="483" t="s">
        <v>650</v>
      </c>
      <c r="G165" s="136"/>
      <c r="H165" s="136">
        <v>3</v>
      </c>
      <c r="I165" s="309"/>
      <c r="J165" s="107"/>
      <c r="K165" s="71"/>
      <c r="L165" s="310"/>
      <c r="M165" s="326"/>
      <c r="N165" s="139"/>
      <c r="O165" s="136"/>
      <c r="P165" s="96"/>
    </row>
    <row r="166" spans="1:28" ht="17.25" thickBot="1">
      <c r="A166" s="354">
        <v>4</v>
      </c>
      <c r="B166" s="356" t="s">
        <v>288</v>
      </c>
      <c r="C166" s="347" t="s">
        <v>497</v>
      </c>
      <c r="D166" s="377" t="s">
        <v>226</v>
      </c>
      <c r="E166" s="376" t="s">
        <v>3</v>
      </c>
      <c r="F166" s="483" t="s">
        <v>1236</v>
      </c>
      <c r="G166" s="136"/>
      <c r="H166" s="136">
        <v>4</v>
      </c>
      <c r="I166" s="176"/>
      <c r="J166" s="106"/>
      <c r="K166" s="64"/>
      <c r="L166" s="140"/>
      <c r="M166" s="249"/>
      <c r="P166" s="96"/>
    </row>
    <row r="167" spans="1:28" ht="15.75" thickBot="1">
      <c r="A167" s="354">
        <v>5</v>
      </c>
      <c r="B167" s="356" t="s">
        <v>289</v>
      </c>
      <c r="C167" s="347" t="s">
        <v>498</v>
      </c>
      <c r="D167" s="377" t="s">
        <v>232</v>
      </c>
      <c r="E167" s="376" t="s">
        <v>24</v>
      </c>
      <c r="F167" s="483" t="s">
        <v>1237</v>
      </c>
      <c r="G167" s="136"/>
      <c r="H167" s="136">
        <v>5</v>
      </c>
      <c r="I167" s="176"/>
      <c r="J167" s="106"/>
      <c r="K167" s="54"/>
      <c r="L167" s="177"/>
      <c r="M167" s="86"/>
      <c r="P167" s="96"/>
    </row>
    <row r="168" spans="1:28" ht="17.25" thickBot="1">
      <c r="A168" s="354">
        <v>6</v>
      </c>
      <c r="B168" s="356" t="s">
        <v>291</v>
      </c>
      <c r="C168" s="347" t="s">
        <v>499</v>
      </c>
      <c r="D168" s="377" t="s">
        <v>241</v>
      </c>
      <c r="E168" s="376" t="s">
        <v>24</v>
      </c>
      <c r="F168" s="483" t="s">
        <v>1237</v>
      </c>
      <c r="G168" s="136"/>
      <c r="H168" s="136">
        <v>6</v>
      </c>
      <c r="I168" s="309"/>
      <c r="J168" s="107"/>
      <c r="K168" s="71"/>
      <c r="L168" s="310"/>
      <c r="M168" s="326"/>
    </row>
    <row r="169" spans="1:28" ht="17.25" thickBot="1">
      <c r="A169" s="354">
        <v>7</v>
      </c>
      <c r="B169" s="356" t="s">
        <v>292</v>
      </c>
      <c r="C169" s="789" t="s">
        <v>500</v>
      </c>
      <c r="D169" s="377" t="s">
        <v>216</v>
      </c>
      <c r="E169" s="376" t="s">
        <v>3</v>
      </c>
      <c r="F169" s="483" t="s">
        <v>1236</v>
      </c>
      <c r="G169" s="136"/>
      <c r="H169" s="136">
        <v>7</v>
      </c>
      <c r="I169" s="342"/>
      <c r="J169" s="107"/>
      <c r="K169" s="317"/>
      <c r="L169" s="308"/>
      <c r="M169" s="326"/>
    </row>
    <row r="170" spans="1:28" ht="17.25" thickBot="1">
      <c r="A170" s="354">
        <v>8</v>
      </c>
      <c r="B170" s="356" t="s">
        <v>293</v>
      </c>
      <c r="C170" s="347" t="s">
        <v>501</v>
      </c>
      <c r="D170" s="378" t="s">
        <v>247</v>
      </c>
      <c r="E170" s="376" t="s">
        <v>24</v>
      </c>
      <c r="F170" s="483" t="s">
        <v>1237</v>
      </c>
      <c r="G170" s="136"/>
      <c r="H170" s="136">
        <v>8</v>
      </c>
      <c r="I170" s="176"/>
      <c r="J170" s="106"/>
      <c r="K170" s="54"/>
      <c r="L170" s="177"/>
      <c r="M170" s="249"/>
      <c r="Q170">
        <v>32</v>
      </c>
    </row>
    <row r="171" spans="1:28" ht="17.25" thickBot="1">
      <c r="A171" s="354">
        <v>9</v>
      </c>
      <c r="B171" s="356" t="s">
        <v>629</v>
      </c>
      <c r="C171" s="347" t="s">
        <v>502</v>
      </c>
      <c r="D171" s="378" t="s">
        <v>222</v>
      </c>
      <c r="E171" s="376" t="s">
        <v>3</v>
      </c>
      <c r="F171" s="483" t="s">
        <v>1237</v>
      </c>
      <c r="G171" s="40"/>
      <c r="H171" s="136">
        <v>9</v>
      </c>
      <c r="I171" s="176"/>
      <c r="J171" s="106"/>
      <c r="K171" s="54"/>
      <c r="L171" s="177"/>
      <c r="M171" s="249"/>
      <c r="Q171">
        <v>32</v>
      </c>
      <c r="X171" s="278" t="s">
        <v>340</v>
      </c>
      <c r="Y171" s="269" t="s">
        <v>632</v>
      </c>
      <c r="Z171" s="258" t="s">
        <v>341</v>
      </c>
      <c r="AA171" s="266" t="s">
        <v>3</v>
      </c>
      <c r="AB171" t="s">
        <v>349</v>
      </c>
    </row>
    <row r="172" spans="1:28" ht="17.25" thickBot="1">
      <c r="A172" s="354">
        <v>10</v>
      </c>
      <c r="B172" s="356" t="s">
        <v>264</v>
      </c>
      <c r="C172" s="347" t="s">
        <v>609</v>
      </c>
      <c r="D172" s="377" t="s">
        <v>165</v>
      </c>
      <c r="E172" s="376" t="s">
        <v>3</v>
      </c>
      <c r="F172" s="483" t="s">
        <v>651</v>
      </c>
      <c r="G172" s="136"/>
      <c r="H172" s="136">
        <v>10</v>
      </c>
      <c r="I172" s="176"/>
      <c r="J172" s="106"/>
      <c r="K172" s="316"/>
      <c r="L172" s="177"/>
      <c r="M172" s="249"/>
      <c r="Q172">
        <v>32</v>
      </c>
    </row>
    <row r="173" spans="1:28" ht="17.25" thickBot="1">
      <c r="A173" s="354">
        <v>11</v>
      </c>
      <c r="B173" s="356" t="s">
        <v>265</v>
      </c>
      <c r="C173" s="347" t="s">
        <v>610</v>
      </c>
      <c r="D173" s="377" t="s">
        <v>169</v>
      </c>
      <c r="E173" s="376" t="s">
        <v>3</v>
      </c>
      <c r="F173" s="483" t="s">
        <v>651</v>
      </c>
      <c r="G173" s="136"/>
      <c r="H173" s="136">
        <v>11</v>
      </c>
      <c r="I173" s="176"/>
      <c r="J173" s="106"/>
      <c r="K173" s="54"/>
      <c r="L173" s="177"/>
      <c r="M173" s="249"/>
      <c r="Q173">
        <v>28</v>
      </c>
    </row>
    <row r="174" spans="1:28" ht="17.25" thickBot="1">
      <c r="A174" s="354">
        <v>12</v>
      </c>
      <c r="B174" s="356" t="s">
        <v>268</v>
      </c>
      <c r="C174" s="347" t="s">
        <v>611</v>
      </c>
      <c r="D174" s="377" t="s">
        <v>1634</v>
      </c>
      <c r="E174" s="376" t="s">
        <v>3</v>
      </c>
      <c r="F174" s="483" t="s">
        <v>1236</v>
      </c>
      <c r="G174" s="136"/>
      <c r="H174" s="136">
        <v>12</v>
      </c>
      <c r="I174" s="319"/>
      <c r="J174" s="343"/>
      <c r="K174" s="305"/>
      <c r="L174" s="320"/>
      <c r="M174" s="326"/>
      <c r="P174" s="96">
        <v>30</v>
      </c>
      <c r="Q174">
        <v>28</v>
      </c>
    </row>
    <row r="175" spans="1:28" ht="17.25" thickBot="1">
      <c r="A175" s="354">
        <v>13</v>
      </c>
      <c r="B175" s="356" t="s">
        <v>266</v>
      </c>
      <c r="C175" s="347" t="s">
        <v>612</v>
      </c>
      <c r="D175" s="792" t="s">
        <v>558</v>
      </c>
      <c r="E175" s="376" t="s">
        <v>3</v>
      </c>
      <c r="F175" s="483" t="s">
        <v>1238</v>
      </c>
      <c r="G175" s="136"/>
      <c r="H175" s="136">
        <v>13</v>
      </c>
      <c r="I175" s="176"/>
      <c r="J175" s="106"/>
      <c r="K175" s="54"/>
      <c r="L175" s="177"/>
      <c r="M175" s="249"/>
      <c r="P175" s="96">
        <v>31</v>
      </c>
      <c r="Q175">
        <f>SUM(Q170:Q174)</f>
        <v>152</v>
      </c>
    </row>
    <row r="176" spans="1:28" ht="16.5">
      <c r="A176" s="354">
        <v>14</v>
      </c>
      <c r="B176" s="356" t="s">
        <v>267</v>
      </c>
      <c r="C176" s="347" t="s">
        <v>613</v>
      </c>
      <c r="D176" s="377" t="s">
        <v>168</v>
      </c>
      <c r="E176" s="376" t="s">
        <v>3</v>
      </c>
      <c r="F176" s="483" t="s">
        <v>1238</v>
      </c>
      <c r="G176" s="136"/>
      <c r="H176" s="136">
        <v>14</v>
      </c>
      <c r="I176" s="309"/>
      <c r="J176" s="107"/>
      <c r="K176" s="74"/>
      <c r="L176" s="310"/>
      <c r="M176" s="326"/>
      <c r="P176" s="96">
        <v>32</v>
      </c>
    </row>
    <row r="177" spans="1:13" ht="16.5">
      <c r="A177" s="354">
        <v>15</v>
      </c>
      <c r="B177" s="356" t="s">
        <v>269</v>
      </c>
      <c r="C177" s="347" t="s">
        <v>615</v>
      </c>
      <c r="D177" s="377" t="s">
        <v>271</v>
      </c>
      <c r="E177" s="376" t="s">
        <v>24</v>
      </c>
      <c r="F177" s="483" t="s">
        <v>1236</v>
      </c>
      <c r="G177" s="136"/>
      <c r="H177" s="136">
        <v>15</v>
      </c>
      <c r="I177" s="309"/>
      <c r="J177" s="107"/>
      <c r="K177" s="74"/>
      <c r="L177" s="310"/>
      <c r="M177" s="322"/>
    </row>
    <row r="178" spans="1:13">
      <c r="A178" s="354">
        <v>16</v>
      </c>
      <c r="B178" s="356" t="s">
        <v>270</v>
      </c>
      <c r="C178" s="347" t="s">
        <v>616</v>
      </c>
      <c r="D178" s="377" t="s">
        <v>180</v>
      </c>
      <c r="E178" s="376" t="s">
        <v>24</v>
      </c>
      <c r="F178" s="483" t="s">
        <v>650</v>
      </c>
      <c r="G178" s="136"/>
      <c r="H178" s="136">
        <v>16</v>
      </c>
      <c r="I178" s="176"/>
      <c r="J178" s="106"/>
      <c r="K178" s="316"/>
      <c r="L178" s="177"/>
      <c r="M178" s="34"/>
    </row>
    <row r="179" spans="1:13" ht="16.5">
      <c r="A179" s="354">
        <v>17</v>
      </c>
      <c r="B179" s="356" t="s">
        <v>272</v>
      </c>
      <c r="C179" s="347" t="s">
        <v>617</v>
      </c>
      <c r="D179" s="377" t="s">
        <v>184</v>
      </c>
      <c r="E179" s="376" t="s">
        <v>24</v>
      </c>
      <c r="F179" s="483" t="s">
        <v>1236</v>
      </c>
      <c r="G179" s="136"/>
      <c r="H179" s="136">
        <v>17</v>
      </c>
      <c r="I179" s="176"/>
      <c r="J179" s="106"/>
      <c r="K179" s="54"/>
      <c r="L179" s="177"/>
      <c r="M179" s="328"/>
    </row>
    <row r="180" spans="1:13">
      <c r="A180" s="354">
        <v>18</v>
      </c>
      <c r="B180" s="356" t="s">
        <v>273</v>
      </c>
      <c r="C180" s="347" t="s">
        <v>618</v>
      </c>
      <c r="D180" s="377" t="s">
        <v>176</v>
      </c>
      <c r="E180" s="376" t="s">
        <v>3</v>
      </c>
      <c r="F180" s="483" t="s">
        <v>1236</v>
      </c>
      <c r="G180" s="136"/>
      <c r="H180" s="136">
        <v>18</v>
      </c>
      <c r="I180" s="176"/>
      <c r="J180" s="106"/>
      <c r="K180" s="54"/>
      <c r="L180" s="177"/>
    </row>
    <row r="181" spans="1:13" ht="16.5">
      <c r="A181" s="354">
        <v>19</v>
      </c>
      <c r="B181" s="356" t="s">
        <v>274</v>
      </c>
      <c r="C181" s="347" t="s">
        <v>619</v>
      </c>
      <c r="D181" s="377" t="s">
        <v>193</v>
      </c>
      <c r="E181" s="376" t="s">
        <v>24</v>
      </c>
      <c r="F181" s="483" t="s">
        <v>1237</v>
      </c>
      <c r="G181" s="136"/>
      <c r="H181" s="136">
        <v>19</v>
      </c>
      <c r="I181" s="176"/>
      <c r="J181" s="106"/>
      <c r="K181" s="54"/>
      <c r="L181" s="177"/>
      <c r="M181" s="328"/>
    </row>
    <row r="182" spans="1:13" ht="16.5">
      <c r="A182" s="354">
        <v>20</v>
      </c>
      <c r="B182" s="356" t="s">
        <v>275</v>
      </c>
      <c r="C182" s="347" t="s">
        <v>620</v>
      </c>
      <c r="D182" s="377" t="s">
        <v>182</v>
      </c>
      <c r="E182" s="376" t="s">
        <v>24</v>
      </c>
      <c r="F182" s="483" t="s">
        <v>1238</v>
      </c>
      <c r="G182" s="136"/>
      <c r="H182" s="136">
        <v>20</v>
      </c>
      <c r="I182" s="309"/>
      <c r="J182" s="107"/>
      <c r="K182" s="68"/>
      <c r="L182" s="143"/>
      <c r="M182" s="322"/>
    </row>
    <row r="183" spans="1:13" ht="16.5">
      <c r="A183" s="354">
        <v>21</v>
      </c>
      <c r="B183" s="356" t="s">
        <v>276</v>
      </c>
      <c r="C183" s="347" t="s">
        <v>621</v>
      </c>
      <c r="D183" s="377" t="s">
        <v>167</v>
      </c>
      <c r="E183" s="376" t="s">
        <v>3</v>
      </c>
      <c r="F183" s="483" t="s">
        <v>1236</v>
      </c>
      <c r="G183" s="618"/>
      <c r="H183" s="136">
        <v>21</v>
      </c>
      <c r="I183" s="176"/>
      <c r="J183" s="106"/>
      <c r="K183" s="54"/>
      <c r="L183" s="177"/>
      <c r="M183" s="328"/>
    </row>
    <row r="184" spans="1:13" ht="16.5">
      <c r="A184" s="354">
        <v>22</v>
      </c>
      <c r="B184" s="356" t="s">
        <v>277</v>
      </c>
      <c r="C184" s="347" t="s">
        <v>622</v>
      </c>
      <c r="D184" s="377" t="s">
        <v>205</v>
      </c>
      <c r="E184" s="376" t="s">
        <v>24</v>
      </c>
      <c r="F184" s="483" t="s">
        <v>650</v>
      </c>
      <c r="G184" s="136"/>
      <c r="H184" s="136">
        <v>22</v>
      </c>
      <c r="I184" s="146"/>
      <c r="J184" s="307"/>
      <c r="K184" s="318"/>
      <c r="L184" s="146"/>
      <c r="M184" s="322"/>
    </row>
    <row r="185" spans="1:13" ht="16.5">
      <c r="A185" s="354">
        <v>23</v>
      </c>
      <c r="B185" s="356" t="s">
        <v>278</v>
      </c>
      <c r="C185" s="347" t="s">
        <v>623</v>
      </c>
      <c r="D185" s="377" t="s">
        <v>1635</v>
      </c>
      <c r="E185" s="376" t="s">
        <v>3</v>
      </c>
      <c r="F185" s="483" t="s">
        <v>651</v>
      </c>
      <c r="G185" s="136"/>
      <c r="H185" s="136">
        <v>23</v>
      </c>
      <c r="I185" s="176"/>
      <c r="J185" s="106"/>
      <c r="K185" s="260"/>
      <c r="L185" s="177"/>
      <c r="M185" s="325"/>
    </row>
    <row r="186" spans="1:13" ht="17.25" thickBot="1">
      <c r="A186" s="354">
        <v>24</v>
      </c>
      <c r="B186" s="423" t="s">
        <v>1239</v>
      </c>
      <c r="C186" s="422"/>
      <c r="D186" s="920" t="s">
        <v>1257</v>
      </c>
      <c r="E186" s="809" t="s">
        <v>24</v>
      </c>
      <c r="F186" s="803" t="s">
        <v>1240</v>
      </c>
      <c r="G186" s="136"/>
      <c r="H186" s="136">
        <v>24</v>
      </c>
      <c r="I186" s="309"/>
      <c r="J186" s="107"/>
      <c r="K186" s="74"/>
      <c r="L186" s="310"/>
      <c r="M186" s="322"/>
    </row>
    <row r="187" spans="1:13" ht="16.5">
      <c r="A187" s="354">
        <v>25</v>
      </c>
      <c r="B187" s="356" t="s">
        <v>280</v>
      </c>
      <c r="C187" s="347" t="s">
        <v>625</v>
      </c>
      <c r="D187" s="377" t="s">
        <v>57</v>
      </c>
      <c r="E187" s="376" t="s">
        <v>24</v>
      </c>
      <c r="F187" s="483" t="s">
        <v>651</v>
      </c>
      <c r="G187" s="136"/>
      <c r="H187" s="136">
        <v>25</v>
      </c>
      <c r="I187" s="176"/>
      <c r="J187" s="106"/>
      <c r="K187" s="54"/>
      <c r="L187" s="42"/>
      <c r="M187" s="249"/>
    </row>
    <row r="188" spans="1:13">
      <c r="A188" s="354">
        <v>26</v>
      </c>
      <c r="B188" s="356" t="s">
        <v>281</v>
      </c>
      <c r="C188" s="347" t="s">
        <v>626</v>
      </c>
      <c r="D188" s="377" t="s">
        <v>190</v>
      </c>
      <c r="E188" s="376" t="s">
        <v>24</v>
      </c>
      <c r="F188" s="483" t="s">
        <v>1237</v>
      </c>
      <c r="G188" s="136"/>
      <c r="H188" s="136">
        <v>26</v>
      </c>
      <c r="I188" s="356"/>
      <c r="J188" s="614"/>
      <c r="K188" s="361"/>
      <c r="L188" s="347"/>
      <c r="M188" s="365"/>
    </row>
    <row r="189" spans="1:13">
      <c r="A189" s="354">
        <v>27</v>
      </c>
      <c r="B189" s="356" t="s">
        <v>282</v>
      </c>
      <c r="C189" s="347" t="s">
        <v>627</v>
      </c>
      <c r="D189" s="377" t="s">
        <v>203</v>
      </c>
      <c r="E189" s="376" t="s">
        <v>24</v>
      </c>
      <c r="F189" s="483" t="s">
        <v>1236</v>
      </c>
      <c r="G189" s="136"/>
      <c r="H189" s="136">
        <v>27</v>
      </c>
      <c r="I189" s="615"/>
      <c r="J189" s="136"/>
      <c r="K189" s="136"/>
      <c r="L189" s="136"/>
    </row>
    <row r="190" spans="1:13">
      <c r="A190" s="354">
        <v>28</v>
      </c>
      <c r="B190" s="356" t="s">
        <v>283</v>
      </c>
      <c r="C190" s="347" t="s">
        <v>628</v>
      </c>
      <c r="D190" s="377" t="s">
        <v>188</v>
      </c>
      <c r="E190" s="376" t="s">
        <v>24</v>
      </c>
      <c r="F190" s="483" t="s">
        <v>1237</v>
      </c>
      <c r="G190" s="333"/>
      <c r="H190" s="136">
        <v>28</v>
      </c>
      <c r="I190" s="333"/>
      <c r="J190" s="333"/>
      <c r="K190" s="333"/>
      <c r="L190" s="333"/>
    </row>
    <row r="191" spans="1:13">
      <c r="A191" s="354">
        <v>29</v>
      </c>
      <c r="B191" s="356"/>
      <c r="C191" s="356"/>
      <c r="D191" s="362"/>
      <c r="E191" s="356"/>
      <c r="F191" s="366"/>
      <c r="G191" s="333"/>
      <c r="H191" s="136">
        <v>29</v>
      </c>
      <c r="I191" s="333"/>
      <c r="J191" s="333"/>
      <c r="K191" s="333"/>
      <c r="L191" s="333"/>
    </row>
    <row r="192" spans="1:13">
      <c r="A192" s="354">
        <v>30</v>
      </c>
      <c r="B192" s="356"/>
      <c r="C192" s="356"/>
      <c r="D192" s="362"/>
      <c r="E192" s="356"/>
      <c r="F192" s="366"/>
      <c r="G192" s="333"/>
      <c r="H192" s="136">
        <v>30</v>
      </c>
      <c r="I192" s="333"/>
      <c r="J192" s="333"/>
      <c r="K192" s="333"/>
      <c r="L192" s="333"/>
    </row>
    <row r="193" spans="1:12">
      <c r="A193" s="354">
        <v>31</v>
      </c>
      <c r="B193" s="356"/>
      <c r="C193" s="356"/>
      <c r="D193" s="362"/>
      <c r="E193" s="356"/>
      <c r="F193" s="367"/>
      <c r="G193" s="334"/>
      <c r="H193" s="136">
        <v>31</v>
      </c>
      <c r="I193" s="334"/>
      <c r="J193" s="334"/>
      <c r="K193" s="334"/>
      <c r="L193" s="334"/>
    </row>
    <row r="194" spans="1:12" ht="15.75" thickBot="1">
      <c r="A194" s="355">
        <v>32</v>
      </c>
      <c r="B194" s="368"/>
      <c r="C194" s="368"/>
      <c r="D194" s="369"/>
      <c r="E194" s="368"/>
      <c r="F194" s="370"/>
      <c r="G194" s="333"/>
      <c r="H194" s="136">
        <v>32</v>
      </c>
      <c r="I194" s="333"/>
      <c r="J194" s="333"/>
      <c r="K194" s="333"/>
      <c r="L194" s="333"/>
    </row>
    <row r="195" spans="1:12">
      <c r="A195" s="109" t="s">
        <v>24</v>
      </c>
      <c r="B195" s="128">
        <v>17</v>
      </c>
      <c r="C195" s="128"/>
      <c r="D195" s="130"/>
      <c r="E195" s="128"/>
      <c r="F195" s="131"/>
      <c r="G195" s="332"/>
      <c r="H195" s="332"/>
      <c r="I195" s="332"/>
      <c r="J195" s="332"/>
      <c r="K195" s="332"/>
      <c r="L195" s="332"/>
    </row>
    <row r="196" spans="1:12">
      <c r="A196" s="110" t="s">
        <v>3</v>
      </c>
      <c r="B196" s="111">
        <v>11</v>
      </c>
      <c r="C196" s="111"/>
      <c r="D196" s="113"/>
      <c r="E196" s="111"/>
      <c r="F196" s="114"/>
      <c r="G196" s="332"/>
      <c r="H196" s="332"/>
      <c r="I196" s="332"/>
      <c r="J196" s="332"/>
      <c r="K196" s="332"/>
      <c r="L196" s="332"/>
    </row>
    <row r="197" spans="1:12">
      <c r="E197" s="810" t="s">
        <v>1242</v>
      </c>
    </row>
    <row r="198" spans="1:12">
      <c r="A198" s="103"/>
      <c r="B198" s="116"/>
      <c r="C198" s="103"/>
      <c r="D198" s="118"/>
      <c r="E198" s="115" t="s">
        <v>84</v>
      </c>
      <c r="F198" s="103"/>
      <c r="G198" s="103"/>
      <c r="H198" s="103"/>
      <c r="I198" s="103"/>
      <c r="J198" s="103"/>
      <c r="K198" s="103"/>
      <c r="L198" s="103"/>
    </row>
    <row r="199" spans="1:12" ht="5.25" customHeight="1">
      <c r="A199" s="103"/>
      <c r="B199" s="116"/>
      <c r="C199" s="103"/>
      <c r="D199" s="118"/>
      <c r="E199" s="115"/>
      <c r="F199" s="103"/>
      <c r="G199" s="103"/>
      <c r="H199" s="103"/>
      <c r="I199" s="103"/>
      <c r="J199" s="103"/>
      <c r="K199" s="103"/>
      <c r="L199" s="103"/>
    </row>
    <row r="200" spans="1:12" ht="18" customHeight="1"/>
    <row r="201" spans="1:12">
      <c r="E201" s="121" t="str">
        <f>WLKLS!B15</f>
        <v>MOCH. HUSSNY F, S.Pd</v>
      </c>
    </row>
    <row r="202" spans="1:12">
      <c r="E202" s="123" t="str">
        <f>WLKLS!C15</f>
        <v>NIP. 198410022010011012</v>
      </c>
    </row>
    <row r="203" spans="1:12">
      <c r="A203" s="1018" t="s">
        <v>0</v>
      </c>
      <c r="B203" s="1018"/>
      <c r="C203" s="1018"/>
      <c r="D203" s="1018"/>
      <c r="E203" s="1018"/>
      <c r="F203" s="1018"/>
      <c r="G203" s="300"/>
      <c r="H203" s="300"/>
      <c r="I203" s="300"/>
      <c r="J203" s="300"/>
      <c r="K203" s="300"/>
      <c r="L203" s="300"/>
    </row>
    <row r="204" spans="1:12">
      <c r="A204" s="1018" t="s">
        <v>1</v>
      </c>
      <c r="B204" s="1018"/>
      <c r="C204" s="1018"/>
      <c r="D204" s="1018"/>
      <c r="E204" s="1018"/>
      <c r="F204" s="1018"/>
      <c r="G204" s="300"/>
      <c r="H204" s="300"/>
      <c r="I204" s="300"/>
      <c r="J204" s="300"/>
      <c r="K204" s="300"/>
      <c r="L204" s="300"/>
    </row>
    <row r="205" spans="1:12">
      <c r="A205" s="1018" t="s">
        <v>4</v>
      </c>
      <c r="B205" s="1018"/>
      <c r="C205" s="1018"/>
      <c r="D205" s="1018"/>
      <c r="E205" s="1018"/>
      <c r="F205" s="1018"/>
      <c r="G205" s="300"/>
      <c r="H205" s="300"/>
      <c r="I205" s="300"/>
      <c r="J205" s="300"/>
      <c r="K205" s="300"/>
      <c r="L205" s="300"/>
    </row>
    <row r="206" spans="1:12">
      <c r="A206" s="1019" t="s">
        <v>6</v>
      </c>
      <c r="B206" s="1019"/>
      <c r="C206" s="1019"/>
      <c r="D206" s="1019"/>
      <c r="E206" s="1019"/>
      <c r="F206" s="1019"/>
      <c r="G206" s="301"/>
      <c r="H206" s="301"/>
      <c r="I206" s="301"/>
      <c r="J206" s="301"/>
      <c r="K206" s="301"/>
      <c r="L206" s="301"/>
    </row>
    <row r="207" spans="1:12">
      <c r="A207" s="1020" t="s">
        <v>7</v>
      </c>
      <c r="B207" s="1020"/>
      <c r="C207" s="1020"/>
      <c r="D207" s="1020"/>
      <c r="E207" s="1020"/>
      <c r="F207" s="1020"/>
      <c r="G207" s="304"/>
      <c r="H207" s="304"/>
      <c r="I207" s="304"/>
      <c r="J207" s="304"/>
      <c r="K207" s="304"/>
      <c r="L207" s="304"/>
    </row>
    <row r="208" spans="1:12">
      <c r="A208" s="97"/>
      <c r="B208" s="98"/>
      <c r="C208" s="98"/>
      <c r="D208" s="99"/>
      <c r="E208" s="98"/>
      <c r="F208" s="98"/>
      <c r="G208" s="40"/>
      <c r="H208" s="40"/>
      <c r="I208" s="40"/>
      <c r="J208" s="40"/>
      <c r="K208" s="40"/>
      <c r="L208" s="40"/>
    </row>
    <row r="209" spans="1:12" ht="15.75">
      <c r="A209" s="1021" t="s">
        <v>351</v>
      </c>
      <c r="B209" s="1021"/>
      <c r="C209" s="1021"/>
      <c r="D209" s="1021"/>
      <c r="E209" s="1021"/>
      <c r="F209" s="1021"/>
      <c r="G209" s="302"/>
      <c r="H209" s="302"/>
      <c r="I209" s="302"/>
      <c r="J209" s="302"/>
      <c r="K209" s="302"/>
      <c r="L209" s="302"/>
    </row>
    <row r="210" spans="1:12" ht="15.75">
      <c r="A210" s="1022" t="s">
        <v>1241</v>
      </c>
      <c r="B210" s="1022"/>
      <c r="C210" s="1022"/>
      <c r="D210" s="1022"/>
      <c r="E210" s="1022"/>
      <c r="F210" s="1022"/>
      <c r="G210" s="303"/>
      <c r="H210" s="303"/>
      <c r="I210" s="303"/>
      <c r="J210" s="303"/>
      <c r="K210" s="303"/>
      <c r="L210" s="303"/>
    </row>
    <row r="211" spans="1:12" ht="15.75" thickBot="1">
      <c r="A211" s="100"/>
      <c r="B211" s="100"/>
      <c r="C211" s="101"/>
      <c r="D211" s="102"/>
      <c r="E211" s="103"/>
      <c r="F211" s="103"/>
      <c r="G211" s="103"/>
      <c r="H211" s="103"/>
      <c r="I211" s="103"/>
      <c r="J211" s="103"/>
      <c r="K211" s="103"/>
      <c r="L211" s="103"/>
    </row>
    <row r="212" spans="1:12" ht="15.75">
      <c r="A212" s="1023" t="s">
        <v>13</v>
      </c>
      <c r="B212" s="1024"/>
      <c r="C212" s="1025"/>
      <c r="D212" s="1026" t="s">
        <v>14</v>
      </c>
      <c r="E212" s="1026" t="s">
        <v>15</v>
      </c>
      <c r="F212" s="297" t="s">
        <v>346</v>
      </c>
      <c r="G212" s="467"/>
      <c r="H212" s="467"/>
      <c r="I212" s="467"/>
      <c r="J212" s="467"/>
      <c r="K212" s="467"/>
      <c r="L212" s="467"/>
    </row>
    <row r="213" spans="1:12" ht="15.75">
      <c r="A213" s="126" t="s">
        <v>18</v>
      </c>
      <c r="B213" s="126" t="s">
        <v>19</v>
      </c>
      <c r="C213" s="126" t="s">
        <v>20</v>
      </c>
      <c r="D213" s="1031"/>
      <c r="E213" s="1031"/>
      <c r="F213" s="298" t="s">
        <v>347</v>
      </c>
      <c r="G213" s="467"/>
      <c r="H213" s="467"/>
      <c r="I213" s="467"/>
      <c r="J213" s="467"/>
      <c r="K213" s="467"/>
      <c r="L213" s="467"/>
    </row>
    <row r="214" spans="1:12">
      <c r="A214" s="127">
        <v>1</v>
      </c>
      <c r="B214" s="921" t="s">
        <v>1078</v>
      </c>
      <c r="C214" s="924" t="s">
        <v>879</v>
      </c>
      <c r="D214" s="925" t="s">
        <v>1077</v>
      </c>
      <c r="E214" s="921" t="s">
        <v>24</v>
      </c>
      <c r="F214" s="483" t="s">
        <v>1238</v>
      </c>
      <c r="G214" s="40"/>
      <c r="H214" s="40"/>
      <c r="I214" s="40"/>
      <c r="J214" s="40"/>
      <c r="K214" s="40"/>
      <c r="L214" s="40"/>
    </row>
    <row r="215" spans="1:12" ht="16.5">
      <c r="A215" s="105">
        <v>2</v>
      </c>
      <c r="B215" s="384" t="s">
        <v>1213</v>
      </c>
      <c r="C215" s="346"/>
      <c r="D215" s="377" t="s">
        <v>1216</v>
      </c>
      <c r="E215" s="376" t="s">
        <v>24</v>
      </c>
      <c r="F215" s="483" t="s">
        <v>651</v>
      </c>
      <c r="G215" s="40"/>
      <c r="H215" s="40"/>
      <c r="I215" s="40"/>
      <c r="J215" s="40"/>
      <c r="K215" s="40"/>
      <c r="L215" s="40"/>
    </row>
    <row r="216" spans="1:12">
      <c r="A216" s="105">
        <v>3</v>
      </c>
      <c r="B216" s="356" t="s">
        <v>294</v>
      </c>
      <c r="C216" s="347" t="s">
        <v>503</v>
      </c>
      <c r="D216" s="378" t="s">
        <v>248</v>
      </c>
      <c r="E216" s="376" t="s">
        <v>24</v>
      </c>
      <c r="F216" s="483" t="s">
        <v>1237</v>
      </c>
      <c r="G216" s="40"/>
      <c r="H216" s="40"/>
      <c r="I216" s="40"/>
      <c r="J216" s="40"/>
      <c r="K216" s="40"/>
      <c r="L216" s="40"/>
    </row>
    <row r="217" spans="1:12">
      <c r="A217" s="105">
        <v>4</v>
      </c>
      <c r="B217" s="481" t="s">
        <v>295</v>
      </c>
      <c r="C217" s="470" t="s">
        <v>504</v>
      </c>
      <c r="D217" s="791" t="s">
        <v>224</v>
      </c>
      <c r="E217" s="482" t="s">
        <v>3</v>
      </c>
      <c r="F217" s="483" t="s">
        <v>1237</v>
      </c>
      <c r="G217" s="40"/>
      <c r="H217" s="40"/>
      <c r="I217" s="40"/>
      <c r="J217" s="40"/>
      <c r="K217" s="40"/>
      <c r="L217" s="40"/>
    </row>
    <row r="218" spans="1:12">
      <c r="A218" s="105">
        <v>5</v>
      </c>
      <c r="B218" s="458" t="s">
        <v>296</v>
      </c>
      <c r="C218" s="472" t="s">
        <v>507</v>
      </c>
      <c r="D218" s="926" t="s">
        <v>299</v>
      </c>
      <c r="E218" s="443" t="s">
        <v>3</v>
      </c>
      <c r="F218" s="483" t="s">
        <v>650</v>
      </c>
      <c r="G218" s="40"/>
      <c r="H218" s="40"/>
      <c r="I218" s="40"/>
      <c r="J218" s="40"/>
      <c r="K218" s="40"/>
      <c r="L218" s="40"/>
    </row>
    <row r="219" spans="1:12">
      <c r="A219" s="105">
        <v>6</v>
      </c>
      <c r="B219" s="458" t="s">
        <v>298</v>
      </c>
      <c r="C219" s="472" t="s">
        <v>506</v>
      </c>
      <c r="D219" s="489" t="s">
        <v>218</v>
      </c>
      <c r="E219" s="443" t="s">
        <v>3</v>
      </c>
      <c r="F219" s="483" t="s">
        <v>650</v>
      </c>
      <c r="G219" s="40"/>
      <c r="H219" s="40"/>
      <c r="I219" s="40"/>
      <c r="J219" s="40"/>
      <c r="K219" s="40"/>
      <c r="L219" s="40"/>
    </row>
    <row r="220" spans="1:12">
      <c r="A220" s="105">
        <v>7</v>
      </c>
      <c r="B220" s="458" t="s">
        <v>300</v>
      </c>
      <c r="C220" s="472" t="s">
        <v>508</v>
      </c>
      <c r="D220" s="489" t="s">
        <v>249</v>
      </c>
      <c r="E220" s="443" t="s">
        <v>24</v>
      </c>
      <c r="F220" s="483" t="s">
        <v>1238</v>
      </c>
      <c r="G220" s="40"/>
      <c r="H220" s="40"/>
      <c r="I220" s="40"/>
      <c r="J220" s="40"/>
      <c r="K220" s="40"/>
      <c r="L220" s="40"/>
    </row>
    <row r="221" spans="1:12">
      <c r="A221" s="105">
        <v>8</v>
      </c>
      <c r="B221" s="458" t="s">
        <v>301</v>
      </c>
      <c r="C221" s="472" t="s">
        <v>509</v>
      </c>
      <c r="D221" s="489" t="s">
        <v>243</v>
      </c>
      <c r="E221" s="443" t="s">
        <v>24</v>
      </c>
      <c r="F221" s="483" t="s">
        <v>1236</v>
      </c>
      <c r="G221" s="40"/>
      <c r="H221" s="40"/>
      <c r="I221" s="40"/>
      <c r="J221" s="40"/>
      <c r="K221" s="40"/>
      <c r="L221" s="40"/>
    </row>
    <row r="222" spans="1:12">
      <c r="A222" s="105">
        <v>9</v>
      </c>
      <c r="B222" s="458" t="s">
        <v>302</v>
      </c>
      <c r="C222" s="472" t="s">
        <v>510</v>
      </c>
      <c r="D222" s="489" t="s">
        <v>245</v>
      </c>
      <c r="E222" s="443" t="s">
        <v>24</v>
      </c>
      <c r="F222" s="483" t="s">
        <v>1238</v>
      </c>
      <c r="G222" s="40"/>
      <c r="H222" s="40"/>
      <c r="I222" s="40"/>
      <c r="J222" s="40"/>
      <c r="K222" s="40"/>
      <c r="L222" s="40"/>
    </row>
    <row r="223" spans="1:12">
      <c r="A223" s="105">
        <v>10</v>
      </c>
      <c r="B223" s="481" t="s">
        <v>303</v>
      </c>
      <c r="C223" s="470" t="s">
        <v>511</v>
      </c>
      <c r="D223" s="791" t="s">
        <v>240</v>
      </c>
      <c r="E223" s="482" t="s">
        <v>24</v>
      </c>
      <c r="F223" s="483" t="s">
        <v>1237</v>
      </c>
      <c r="G223" s="40"/>
      <c r="H223" s="40"/>
      <c r="I223" s="40"/>
      <c r="J223" s="40"/>
      <c r="K223" s="40"/>
      <c r="L223" s="40"/>
    </row>
    <row r="224" spans="1:12">
      <c r="A224" s="105">
        <v>11</v>
      </c>
      <c r="B224" s="481" t="s">
        <v>304</v>
      </c>
      <c r="C224" s="470" t="s">
        <v>512</v>
      </c>
      <c r="D224" s="791" t="s">
        <v>238</v>
      </c>
      <c r="E224" s="482" t="s">
        <v>24</v>
      </c>
      <c r="F224" s="483" t="s">
        <v>650</v>
      </c>
      <c r="G224" s="40"/>
      <c r="H224" s="40"/>
      <c r="I224" s="40"/>
      <c r="J224" s="40"/>
      <c r="K224" s="40"/>
      <c r="L224" s="40"/>
    </row>
    <row r="225" spans="1:14">
      <c r="A225" s="105">
        <v>12</v>
      </c>
      <c r="B225" s="458" t="s">
        <v>305</v>
      </c>
      <c r="C225" s="472" t="s">
        <v>513</v>
      </c>
      <c r="D225" s="489" t="s">
        <v>237</v>
      </c>
      <c r="E225" s="443" t="s">
        <v>24</v>
      </c>
      <c r="F225" s="483" t="s">
        <v>651</v>
      </c>
      <c r="G225" s="40"/>
      <c r="H225" s="40"/>
      <c r="I225" s="40"/>
      <c r="J225" s="40"/>
      <c r="K225" s="40"/>
      <c r="L225" s="40"/>
    </row>
    <row r="226" spans="1:14">
      <c r="A226" s="105">
        <v>13</v>
      </c>
      <c r="B226" s="788" t="s">
        <v>78</v>
      </c>
      <c r="C226" s="790" t="s">
        <v>492</v>
      </c>
      <c r="D226" s="486" t="s">
        <v>79</v>
      </c>
      <c r="E226" s="458" t="s">
        <v>3</v>
      </c>
      <c r="F226" s="483" t="s">
        <v>650</v>
      </c>
      <c r="G226" s="40"/>
      <c r="H226" s="40"/>
      <c r="I226" s="40"/>
      <c r="J226" s="40"/>
      <c r="K226" s="40"/>
      <c r="L226" s="40"/>
    </row>
    <row r="227" spans="1:14">
      <c r="A227" s="105">
        <v>14</v>
      </c>
      <c r="B227" s="492" t="s">
        <v>1083</v>
      </c>
      <c r="C227" s="422"/>
      <c r="D227" s="998" t="s">
        <v>1636</v>
      </c>
      <c r="E227" s="492" t="s">
        <v>3</v>
      </c>
      <c r="F227" s="483" t="s">
        <v>1238</v>
      </c>
      <c r="G227" s="40"/>
      <c r="H227" s="40"/>
      <c r="I227" s="40"/>
      <c r="J227" s="40"/>
      <c r="K227" s="40"/>
      <c r="L227" s="40"/>
    </row>
    <row r="228" spans="1:14">
      <c r="A228" s="105">
        <v>15</v>
      </c>
      <c r="B228" s="458" t="s">
        <v>306</v>
      </c>
      <c r="C228" s="472" t="s">
        <v>514</v>
      </c>
      <c r="D228" s="489" t="s">
        <v>209</v>
      </c>
      <c r="E228" s="443" t="s">
        <v>3</v>
      </c>
      <c r="F228" s="483" t="s">
        <v>651</v>
      </c>
      <c r="G228" s="40"/>
      <c r="H228" s="40"/>
      <c r="I228" s="40"/>
      <c r="J228" s="40"/>
      <c r="K228" s="40"/>
      <c r="L228" s="40"/>
    </row>
    <row r="229" spans="1:14">
      <c r="A229" s="105">
        <v>16</v>
      </c>
      <c r="B229" s="458" t="s">
        <v>307</v>
      </c>
      <c r="C229" s="472" t="s">
        <v>515</v>
      </c>
      <c r="D229" s="489" t="s">
        <v>230</v>
      </c>
      <c r="E229" s="443" t="s">
        <v>59</v>
      </c>
      <c r="F229" s="483" t="s">
        <v>651</v>
      </c>
      <c r="G229" s="40"/>
      <c r="H229" s="40"/>
      <c r="I229" s="40"/>
      <c r="J229" s="40"/>
      <c r="K229" s="40"/>
      <c r="L229" s="40"/>
    </row>
    <row r="230" spans="1:14">
      <c r="A230" s="105">
        <v>17</v>
      </c>
      <c r="B230" s="458" t="s">
        <v>308</v>
      </c>
      <c r="C230" s="472" t="s">
        <v>516</v>
      </c>
      <c r="D230" s="489" t="s">
        <v>236</v>
      </c>
      <c r="E230" s="443" t="s">
        <v>24</v>
      </c>
      <c r="F230" s="483" t="s">
        <v>651</v>
      </c>
      <c r="G230" s="40"/>
      <c r="H230" s="40"/>
      <c r="I230" s="40"/>
      <c r="J230" s="40"/>
      <c r="K230" s="40"/>
      <c r="L230" s="40"/>
    </row>
    <row r="231" spans="1:14">
      <c r="A231" s="105">
        <v>18</v>
      </c>
      <c r="B231" s="458" t="s">
        <v>309</v>
      </c>
      <c r="C231" s="472" t="s">
        <v>517</v>
      </c>
      <c r="D231" s="489" t="s">
        <v>239</v>
      </c>
      <c r="E231" s="443" t="s">
        <v>24</v>
      </c>
      <c r="F231" s="483" t="s">
        <v>1238</v>
      </c>
      <c r="G231" s="40"/>
      <c r="H231" s="40"/>
      <c r="I231" s="40"/>
      <c r="J231" s="40"/>
      <c r="K231" s="40"/>
      <c r="L231" s="40"/>
    </row>
    <row r="232" spans="1:14">
      <c r="A232" s="105">
        <v>19</v>
      </c>
      <c r="B232" s="458" t="s">
        <v>310</v>
      </c>
      <c r="C232" s="472" t="s">
        <v>518</v>
      </c>
      <c r="D232" s="489" t="s">
        <v>234</v>
      </c>
      <c r="E232" s="443" t="s">
        <v>24</v>
      </c>
      <c r="F232" s="483" t="s">
        <v>651</v>
      </c>
      <c r="G232" s="40"/>
      <c r="H232" s="40"/>
      <c r="I232" s="40"/>
      <c r="J232" s="40"/>
      <c r="K232" s="40"/>
      <c r="L232" s="40"/>
    </row>
    <row r="233" spans="1:14">
      <c r="A233" s="105">
        <v>20</v>
      </c>
      <c r="B233" s="494" t="s">
        <v>653</v>
      </c>
      <c r="C233" s="422"/>
      <c r="D233" s="495" t="s">
        <v>652</v>
      </c>
      <c r="E233" s="494" t="s">
        <v>3</v>
      </c>
      <c r="F233" s="483" t="s">
        <v>1236</v>
      </c>
      <c r="G233" s="40"/>
      <c r="H233" s="40"/>
      <c r="I233" s="40"/>
      <c r="J233" s="788" t="s">
        <v>1254</v>
      </c>
      <c r="K233" s="451"/>
      <c r="L233" s="426" t="s">
        <v>1258</v>
      </c>
      <c r="M233" s="927" t="s">
        <v>59</v>
      </c>
      <c r="N233" s="928" t="s">
        <v>1259</v>
      </c>
    </row>
    <row r="234" spans="1:14">
      <c r="A234" s="105">
        <v>21</v>
      </c>
      <c r="B234" s="458" t="s">
        <v>311</v>
      </c>
      <c r="C234" s="472" t="s">
        <v>519</v>
      </c>
      <c r="D234" s="489" t="s">
        <v>211</v>
      </c>
      <c r="E234" s="443" t="s">
        <v>3</v>
      </c>
      <c r="F234" s="483" t="s">
        <v>651</v>
      </c>
      <c r="G234" s="40"/>
      <c r="H234" s="40"/>
      <c r="I234" s="40"/>
      <c r="J234" s="40"/>
      <c r="K234" s="40"/>
      <c r="L234" s="40"/>
    </row>
    <row r="235" spans="1:14">
      <c r="A235" s="105">
        <v>22</v>
      </c>
      <c r="B235" s="458" t="s">
        <v>312</v>
      </c>
      <c r="C235" s="472" t="s">
        <v>520</v>
      </c>
      <c r="D235" s="442" t="s">
        <v>200</v>
      </c>
      <c r="E235" s="443" t="s">
        <v>24</v>
      </c>
      <c r="F235" s="483" t="s">
        <v>1237</v>
      </c>
      <c r="G235" s="40"/>
      <c r="H235" s="40"/>
      <c r="I235" s="40"/>
      <c r="J235" s="40"/>
      <c r="K235" s="40"/>
      <c r="L235" s="40"/>
    </row>
    <row r="236" spans="1:14">
      <c r="A236" s="105">
        <v>23</v>
      </c>
      <c r="B236" s="458" t="s">
        <v>313</v>
      </c>
      <c r="C236" s="472" t="s">
        <v>521</v>
      </c>
      <c r="D236" s="442" t="s">
        <v>214</v>
      </c>
      <c r="E236" s="443" t="s">
        <v>3</v>
      </c>
      <c r="F236" s="483" t="s">
        <v>1238</v>
      </c>
      <c r="G236" s="40"/>
      <c r="H236" s="40"/>
      <c r="I236" s="40"/>
      <c r="J236" s="40"/>
      <c r="K236" s="40"/>
      <c r="L236" s="40"/>
    </row>
    <row r="237" spans="1:14">
      <c r="A237" s="105">
        <v>24</v>
      </c>
      <c r="B237" s="922" t="s">
        <v>314</v>
      </c>
      <c r="C237" s="472" t="s">
        <v>522</v>
      </c>
      <c r="D237" s="442" t="s">
        <v>250</v>
      </c>
      <c r="E237" s="443" t="s">
        <v>24</v>
      </c>
      <c r="F237" s="483" t="s">
        <v>650</v>
      </c>
      <c r="G237" s="40"/>
      <c r="H237" s="40"/>
      <c r="I237" s="40"/>
      <c r="J237" s="40"/>
      <c r="K237" s="40"/>
      <c r="L237" s="40"/>
    </row>
    <row r="238" spans="1:14">
      <c r="A238" s="105">
        <v>25</v>
      </c>
      <c r="B238" s="923" t="s">
        <v>315</v>
      </c>
      <c r="C238" s="69" t="s">
        <v>523</v>
      </c>
      <c r="D238" s="66" t="s">
        <v>220</v>
      </c>
      <c r="E238" s="200" t="s">
        <v>3</v>
      </c>
      <c r="F238" s="929" t="s">
        <v>1238</v>
      </c>
      <c r="G238" s="40"/>
      <c r="H238" s="40"/>
      <c r="I238" s="40"/>
      <c r="J238" s="40"/>
      <c r="K238" s="40"/>
      <c r="L238" s="40"/>
    </row>
    <row r="239" spans="1:14">
      <c r="A239" s="105">
        <v>26</v>
      </c>
      <c r="B239" s="923"/>
      <c r="C239" s="69"/>
      <c r="D239" s="66"/>
      <c r="E239" s="200"/>
      <c r="F239" s="929"/>
      <c r="G239" s="40"/>
      <c r="H239" s="40"/>
      <c r="I239" s="40"/>
      <c r="J239" s="40"/>
      <c r="K239" s="40"/>
      <c r="L239" s="40"/>
    </row>
    <row r="240" spans="1:14">
      <c r="A240" s="105">
        <v>27</v>
      </c>
      <c r="B240" s="923"/>
      <c r="C240" s="69"/>
      <c r="D240" s="66"/>
      <c r="E240" s="200"/>
      <c r="F240" s="929"/>
      <c r="G240" s="40"/>
      <c r="H240" s="40"/>
      <c r="I240" s="40"/>
      <c r="J240" s="40"/>
      <c r="K240" s="40"/>
      <c r="L240" s="40"/>
    </row>
    <row r="241" spans="1:12">
      <c r="A241" s="105">
        <v>28</v>
      </c>
      <c r="B241" s="154"/>
      <c r="C241" s="106"/>
      <c r="D241" s="54"/>
      <c r="E241" s="142"/>
      <c r="F241" s="43"/>
      <c r="G241" s="40"/>
      <c r="H241" s="40"/>
      <c r="I241" s="40"/>
      <c r="J241" s="40"/>
      <c r="K241" s="40"/>
      <c r="L241" s="40"/>
    </row>
    <row r="242" spans="1:12">
      <c r="A242" s="105">
        <v>29</v>
      </c>
      <c r="B242" s="158"/>
      <c r="C242" s="159"/>
      <c r="D242" s="160"/>
      <c r="E242" s="159"/>
      <c r="F242" s="148"/>
      <c r="G242" s="333"/>
      <c r="H242" s="333"/>
      <c r="I242" s="333"/>
      <c r="J242" s="333"/>
      <c r="K242" s="333"/>
      <c r="L242" s="333"/>
    </row>
    <row r="243" spans="1:12">
      <c r="A243" s="105">
        <v>30</v>
      </c>
      <c r="B243" s="158"/>
      <c r="C243" s="159"/>
      <c r="D243" s="160"/>
      <c r="E243" s="159"/>
      <c r="F243" s="148"/>
      <c r="G243" s="333"/>
      <c r="H243" s="333"/>
      <c r="I243" s="333"/>
      <c r="J243" s="333"/>
      <c r="K243" s="333"/>
      <c r="L243" s="333"/>
    </row>
    <row r="244" spans="1:12">
      <c r="A244" s="105">
        <v>31</v>
      </c>
      <c r="B244" s="158"/>
      <c r="C244" s="159"/>
      <c r="D244" s="160"/>
      <c r="E244" s="159"/>
      <c r="F244" s="149"/>
      <c r="G244" s="334"/>
      <c r="H244" s="334"/>
      <c r="I244" s="334"/>
      <c r="J244" s="334"/>
      <c r="K244" s="334"/>
      <c r="L244" s="334"/>
    </row>
    <row r="245" spans="1:12">
      <c r="A245" s="108">
        <v>32</v>
      </c>
      <c r="B245" s="161"/>
      <c r="C245" s="162"/>
      <c r="D245" s="163"/>
      <c r="E245" s="162"/>
      <c r="F245" s="150"/>
      <c r="G245" s="333"/>
      <c r="H245" s="333"/>
      <c r="I245" s="333"/>
      <c r="J245" s="333"/>
      <c r="K245" s="333"/>
      <c r="L245" s="333"/>
    </row>
    <row r="246" spans="1:12">
      <c r="A246" s="109" t="s">
        <v>24</v>
      </c>
      <c r="B246" s="128">
        <v>15</v>
      </c>
      <c r="C246" s="128"/>
      <c r="D246" s="130"/>
      <c r="E246" s="128"/>
      <c r="F246" s="131"/>
      <c r="G246" s="332"/>
      <c r="H246" s="332"/>
      <c r="I246" s="332"/>
      <c r="J246" s="332"/>
      <c r="K246" s="332"/>
      <c r="L246" s="332"/>
    </row>
    <row r="247" spans="1:12">
      <c r="A247" s="110" t="s">
        <v>3</v>
      </c>
      <c r="B247" s="111">
        <v>10</v>
      </c>
      <c r="C247" s="111"/>
      <c r="D247" s="113"/>
      <c r="E247" s="111"/>
      <c r="F247" s="114"/>
      <c r="G247" s="332"/>
      <c r="H247" s="332"/>
      <c r="I247" s="332"/>
      <c r="J247" s="332"/>
      <c r="K247" s="332"/>
      <c r="L247" s="332"/>
    </row>
    <row r="248" spans="1:12">
      <c r="E248" s="810" t="s">
        <v>1242</v>
      </c>
    </row>
    <row r="249" spans="1:12">
      <c r="A249" s="103"/>
      <c r="B249" s="116"/>
      <c r="C249" s="103"/>
      <c r="D249" s="118"/>
      <c r="E249" s="115" t="s">
        <v>84</v>
      </c>
      <c r="F249" s="103"/>
      <c r="G249" s="103"/>
      <c r="H249" s="103"/>
      <c r="I249" s="103"/>
      <c r="J249" s="103"/>
      <c r="K249" s="103"/>
      <c r="L249" s="103"/>
    </row>
    <row r="250" spans="1:12">
      <c r="A250" s="103"/>
      <c r="B250" s="116"/>
      <c r="C250" s="103"/>
      <c r="D250" s="118"/>
      <c r="E250" s="115"/>
      <c r="F250" s="103"/>
      <c r="G250" s="103"/>
      <c r="H250" s="103"/>
      <c r="I250" s="103"/>
      <c r="J250" s="103"/>
      <c r="K250" s="103"/>
      <c r="L250" s="103"/>
    </row>
    <row r="251" spans="1:12">
      <c r="A251" s="103"/>
      <c r="B251" s="103"/>
      <c r="C251" s="115"/>
      <c r="D251" s="119"/>
      <c r="F251" s="115"/>
      <c r="G251" s="115"/>
      <c r="H251" s="115"/>
      <c r="I251" s="115"/>
      <c r="J251" s="115"/>
      <c r="K251" s="115"/>
      <c r="L251" s="115"/>
    </row>
    <row r="252" spans="1:12">
      <c r="F252" s="164"/>
      <c r="G252" s="164"/>
      <c r="H252" s="164"/>
      <c r="I252" s="164"/>
      <c r="J252" s="164"/>
      <c r="K252" s="164"/>
      <c r="L252" s="164"/>
    </row>
    <row r="253" spans="1:12">
      <c r="E253" s="121" t="str">
        <f>WLKLS!B16</f>
        <v>Hj. IWA YUHARTI S.S</v>
      </c>
    </row>
    <row r="254" spans="1:12">
      <c r="E254" s="123" t="str">
        <f>WLKLS!C16</f>
        <v>NIP. 197510172007012007</v>
      </c>
    </row>
    <row r="255" spans="1:12">
      <c r="A255" s="103"/>
      <c r="B255" s="116"/>
      <c r="C255" s="103"/>
      <c r="D255" s="118"/>
      <c r="E255" s="115"/>
      <c r="F255" s="103"/>
      <c r="G255" s="103"/>
      <c r="H255" s="103"/>
      <c r="I255" s="103"/>
      <c r="J255" s="103"/>
      <c r="K255" s="103"/>
      <c r="L255" s="103"/>
    </row>
    <row r="256" spans="1:12">
      <c r="A256" s="103"/>
      <c r="B256" s="103"/>
      <c r="C256" s="115"/>
      <c r="D256" s="119"/>
      <c r="E256" s="115"/>
      <c r="F256" s="115"/>
      <c r="G256" s="115"/>
      <c r="H256" s="115"/>
      <c r="I256" s="115"/>
      <c r="J256" s="115"/>
      <c r="K256" s="115"/>
      <c r="L256" s="115"/>
    </row>
    <row r="257" spans="1:12">
      <c r="A257" s="103"/>
      <c r="B257" s="103"/>
      <c r="C257" s="115"/>
      <c r="D257" s="119"/>
      <c r="E257" s="115"/>
      <c r="F257" s="115"/>
      <c r="G257" s="115"/>
      <c r="H257" s="115"/>
      <c r="I257" s="115"/>
      <c r="J257" s="115"/>
      <c r="K257" s="115"/>
      <c r="L257" s="115"/>
    </row>
    <row r="258" spans="1:12">
      <c r="E258" s="164"/>
    </row>
    <row r="259" spans="1:12">
      <c r="A259" s="1018" t="s">
        <v>0</v>
      </c>
      <c r="B259" s="1018"/>
      <c r="C259" s="1018"/>
      <c r="D259" s="1018"/>
      <c r="E259" s="1018"/>
      <c r="F259" s="1018"/>
      <c r="G259" s="300"/>
      <c r="H259" s="300"/>
      <c r="I259" s="300"/>
      <c r="J259" s="300"/>
      <c r="K259" s="300"/>
      <c r="L259" s="300"/>
    </row>
    <row r="260" spans="1:12">
      <c r="A260" s="1018" t="s">
        <v>1</v>
      </c>
      <c r="B260" s="1018"/>
      <c r="C260" s="1018"/>
      <c r="D260" s="1018"/>
      <c r="E260" s="1018"/>
      <c r="F260" s="1018"/>
      <c r="G260" s="300"/>
      <c r="H260" s="300"/>
      <c r="I260" s="300"/>
      <c r="J260" s="300"/>
      <c r="K260" s="300"/>
      <c r="L260" s="300"/>
    </row>
    <row r="261" spans="1:12">
      <c r="A261" s="1018" t="s">
        <v>4</v>
      </c>
      <c r="B261" s="1018"/>
      <c r="C261" s="1018"/>
      <c r="D261" s="1018"/>
      <c r="E261" s="1018"/>
      <c r="F261" s="1018"/>
      <c r="G261" s="300"/>
      <c r="H261" s="300"/>
      <c r="I261" s="300"/>
      <c r="J261" s="300"/>
      <c r="K261" s="300"/>
      <c r="L261" s="300"/>
    </row>
    <row r="262" spans="1:12">
      <c r="A262" s="1019" t="s">
        <v>6</v>
      </c>
      <c r="B262" s="1019"/>
      <c r="C262" s="1019"/>
      <c r="D262" s="1019"/>
      <c r="E262" s="1019"/>
      <c r="F262" s="1019"/>
      <c r="G262" s="301"/>
      <c r="H262" s="301"/>
      <c r="I262" s="301"/>
      <c r="J262" s="301"/>
      <c r="K262" s="301"/>
      <c r="L262" s="301"/>
    </row>
    <row r="263" spans="1:12">
      <c r="A263" s="1020" t="s">
        <v>7</v>
      </c>
      <c r="B263" s="1020"/>
      <c r="C263" s="1020"/>
      <c r="D263" s="1020"/>
      <c r="E263" s="1020"/>
      <c r="F263" s="1020"/>
      <c r="G263" s="304"/>
      <c r="H263" s="304"/>
      <c r="I263" s="304"/>
      <c r="J263" s="304"/>
      <c r="K263" s="304"/>
      <c r="L263" s="304"/>
    </row>
    <row r="264" spans="1:12">
      <c r="A264" s="97"/>
      <c r="B264" s="98"/>
      <c r="C264" s="98"/>
      <c r="D264" s="99"/>
      <c r="E264" s="98"/>
      <c r="F264" s="98"/>
      <c r="G264" s="40"/>
      <c r="H264" s="40"/>
      <c r="I264" s="40"/>
      <c r="J264" s="40"/>
      <c r="K264" s="40"/>
      <c r="L264" s="40"/>
    </row>
    <row r="265" spans="1:12" ht="15.75">
      <c r="A265" s="1021" t="s">
        <v>352</v>
      </c>
      <c r="B265" s="1021"/>
      <c r="C265" s="1021"/>
      <c r="D265" s="1021"/>
      <c r="E265" s="1021"/>
      <c r="F265" s="1021"/>
      <c r="G265" s="302"/>
      <c r="H265" s="302"/>
      <c r="I265" s="302"/>
      <c r="J265" s="302"/>
      <c r="K265" s="302"/>
      <c r="L265" s="302"/>
    </row>
    <row r="266" spans="1:12" ht="15.75">
      <c r="A266" s="1022" t="s">
        <v>342</v>
      </c>
      <c r="B266" s="1022"/>
      <c r="C266" s="1022"/>
      <c r="D266" s="1022"/>
      <c r="E266" s="1022"/>
      <c r="F266" s="1022"/>
      <c r="G266" s="303"/>
      <c r="H266" s="303"/>
      <c r="I266" s="303"/>
      <c r="J266" s="303"/>
      <c r="K266" s="303"/>
      <c r="L266" s="303"/>
    </row>
    <row r="267" spans="1:12">
      <c r="A267" s="100"/>
      <c r="B267" s="100"/>
      <c r="C267" s="101"/>
      <c r="D267" s="102"/>
      <c r="E267" s="103"/>
      <c r="F267" s="103"/>
      <c r="G267" s="103"/>
      <c r="H267" s="103"/>
      <c r="I267" s="103"/>
      <c r="J267" s="103"/>
      <c r="K267" s="103"/>
      <c r="L267" s="103"/>
    </row>
    <row r="268" spans="1:12" ht="15.75">
      <c r="A268" s="1023" t="s">
        <v>13</v>
      </c>
      <c r="B268" s="1024"/>
      <c r="C268" s="1025"/>
      <c r="D268" s="1026" t="s">
        <v>14</v>
      </c>
      <c r="E268" s="1026" t="s">
        <v>15</v>
      </c>
      <c r="F268" s="297" t="s">
        <v>346</v>
      </c>
      <c r="G268" s="330"/>
      <c r="H268" s="330"/>
      <c r="I268" s="330"/>
      <c r="J268" s="330"/>
      <c r="K268" s="330"/>
      <c r="L268" s="330"/>
    </row>
    <row r="269" spans="1:12" ht="15.75">
      <c r="A269" s="126" t="s">
        <v>18</v>
      </c>
      <c r="B269" s="126" t="s">
        <v>19</v>
      </c>
      <c r="C269" s="126" t="s">
        <v>20</v>
      </c>
      <c r="D269" s="1031"/>
      <c r="E269" s="1031"/>
      <c r="F269" s="298" t="s">
        <v>347</v>
      </c>
      <c r="G269" s="330"/>
      <c r="H269" s="330"/>
      <c r="I269" s="330"/>
      <c r="J269" s="330"/>
      <c r="K269" s="330"/>
      <c r="L269" s="330"/>
    </row>
    <row r="270" spans="1:12">
      <c r="A270" s="127">
        <v>1</v>
      </c>
      <c r="B270" s="165"/>
      <c r="C270" s="166"/>
      <c r="D270" s="167"/>
      <c r="E270" s="168"/>
      <c r="F270" s="169"/>
      <c r="G270" s="40"/>
      <c r="H270" s="40"/>
      <c r="I270" s="40"/>
      <c r="J270" s="40"/>
      <c r="K270" s="40"/>
      <c r="L270" s="40"/>
    </row>
    <row r="271" spans="1:12">
      <c r="A271" s="105">
        <v>2</v>
      </c>
      <c r="B271" s="151"/>
      <c r="C271" s="124"/>
      <c r="D271" s="170"/>
      <c r="E271" s="153"/>
      <c r="F271" s="39"/>
      <c r="G271" s="40"/>
      <c r="H271" s="40"/>
      <c r="I271" s="40"/>
      <c r="J271" s="40"/>
      <c r="K271" s="40"/>
      <c r="L271" s="40"/>
    </row>
    <row r="272" spans="1:12">
      <c r="A272" s="105">
        <v>3</v>
      </c>
      <c r="B272" s="154"/>
      <c r="C272" s="106"/>
      <c r="D272" s="74"/>
      <c r="E272" s="142"/>
      <c r="F272" s="43"/>
      <c r="G272" s="40"/>
      <c r="H272" s="40"/>
      <c r="I272" s="40"/>
      <c r="J272" s="40"/>
      <c r="K272" s="40"/>
      <c r="L272" s="40"/>
    </row>
    <row r="273" spans="1:12">
      <c r="A273" s="105">
        <v>4</v>
      </c>
      <c r="B273" s="154"/>
      <c r="C273" s="106"/>
      <c r="D273" s="76"/>
      <c r="E273" s="142"/>
      <c r="F273" s="43"/>
      <c r="G273" s="40"/>
      <c r="H273" s="40"/>
      <c r="I273" s="40"/>
      <c r="J273" s="40"/>
      <c r="K273" s="40"/>
      <c r="L273" s="40"/>
    </row>
    <row r="274" spans="1:12">
      <c r="A274" s="105">
        <v>5</v>
      </c>
      <c r="B274" s="154"/>
      <c r="C274" s="106"/>
      <c r="D274" s="54"/>
      <c r="E274" s="142"/>
      <c r="F274" s="43"/>
      <c r="G274" s="40"/>
      <c r="H274" s="40"/>
      <c r="I274" s="40"/>
      <c r="J274" s="40"/>
      <c r="K274" s="40"/>
      <c r="L274" s="40"/>
    </row>
    <row r="275" spans="1:12">
      <c r="A275" s="105">
        <v>6</v>
      </c>
      <c r="B275" s="141"/>
      <c r="C275" s="106"/>
      <c r="D275" s="54"/>
      <c r="E275" s="142"/>
      <c r="F275" s="43"/>
      <c r="G275" s="40"/>
      <c r="H275" s="40"/>
      <c r="I275" s="40"/>
      <c r="J275" s="40"/>
      <c r="K275" s="40"/>
      <c r="L275" s="40"/>
    </row>
    <row r="276" spans="1:12">
      <c r="A276" s="105">
        <v>7</v>
      </c>
      <c r="B276" s="154"/>
      <c r="C276" s="106"/>
      <c r="D276" s="54"/>
      <c r="E276" s="142"/>
      <c r="F276" s="43"/>
      <c r="G276" s="40"/>
      <c r="H276" s="40"/>
      <c r="I276" s="40"/>
      <c r="J276" s="40"/>
      <c r="K276" s="40"/>
      <c r="L276" s="40"/>
    </row>
    <row r="277" spans="1:12">
      <c r="A277" s="105">
        <v>8</v>
      </c>
      <c r="B277" s="154"/>
      <c r="C277" s="106"/>
      <c r="D277" s="54"/>
      <c r="E277" s="142"/>
      <c r="F277" s="43"/>
      <c r="G277" s="40"/>
      <c r="H277" s="40"/>
      <c r="I277" s="40"/>
      <c r="J277" s="40"/>
      <c r="K277" s="40"/>
      <c r="L277" s="40"/>
    </row>
    <row r="278" spans="1:12">
      <c r="A278" s="105">
        <v>9</v>
      </c>
      <c r="B278" s="154"/>
      <c r="C278" s="106"/>
      <c r="D278" s="54"/>
      <c r="E278" s="142"/>
      <c r="F278" s="43"/>
      <c r="G278" s="40"/>
      <c r="H278" s="40"/>
      <c r="I278" s="40"/>
      <c r="J278" s="40"/>
      <c r="K278" s="40"/>
      <c r="L278" s="40"/>
    </row>
    <row r="279" spans="1:12">
      <c r="A279" s="105">
        <v>10</v>
      </c>
      <c r="B279" s="141"/>
      <c r="C279" s="106"/>
      <c r="D279" s="54"/>
      <c r="E279" s="142"/>
      <c r="F279" s="43"/>
      <c r="G279" s="40"/>
      <c r="H279" s="40"/>
      <c r="I279" s="40"/>
      <c r="J279" s="40"/>
      <c r="K279" s="40"/>
      <c r="L279" s="40"/>
    </row>
    <row r="280" spans="1:12">
      <c r="A280" s="105">
        <v>11</v>
      </c>
      <c r="B280" s="154"/>
      <c r="C280" s="106"/>
      <c r="D280" s="54"/>
      <c r="E280" s="142"/>
      <c r="F280" s="43"/>
      <c r="G280" s="40"/>
      <c r="H280" s="40"/>
      <c r="I280" s="40"/>
      <c r="J280" s="40"/>
      <c r="K280" s="40"/>
      <c r="L280" s="40"/>
    </row>
    <row r="281" spans="1:12">
      <c r="A281" s="105">
        <v>12</v>
      </c>
      <c r="B281" s="154"/>
      <c r="C281" s="106"/>
      <c r="D281" s="76"/>
      <c r="E281" s="142"/>
      <c r="F281" s="43"/>
      <c r="G281" s="40"/>
      <c r="H281" s="40"/>
      <c r="I281" s="40"/>
      <c r="J281" s="40"/>
      <c r="K281" s="40"/>
      <c r="L281" s="40"/>
    </row>
    <row r="282" spans="1:12">
      <c r="A282" s="105">
        <v>13</v>
      </c>
      <c r="B282" s="157"/>
      <c r="C282" s="69"/>
      <c r="D282" s="171"/>
      <c r="E282" s="142"/>
      <c r="F282" s="43"/>
      <c r="G282" s="40"/>
      <c r="H282" s="40"/>
      <c r="I282" s="40"/>
      <c r="J282" s="40"/>
      <c r="K282" s="40"/>
      <c r="L282" s="40"/>
    </row>
    <row r="283" spans="1:12">
      <c r="A283" s="105">
        <v>14</v>
      </c>
      <c r="B283" s="154"/>
      <c r="C283" s="106"/>
      <c r="D283" s="155"/>
      <c r="E283" s="142"/>
      <c r="F283" s="43"/>
      <c r="G283" s="40"/>
      <c r="H283" s="40"/>
      <c r="I283" s="40"/>
      <c r="J283" s="40"/>
      <c r="K283" s="40"/>
      <c r="L283" s="40"/>
    </row>
    <row r="284" spans="1:12">
      <c r="A284" s="105">
        <v>15</v>
      </c>
      <c r="B284" s="154"/>
      <c r="C284" s="106"/>
      <c r="D284" s="74"/>
      <c r="E284" s="142"/>
      <c r="F284" s="43"/>
      <c r="G284" s="40"/>
      <c r="H284" s="40"/>
      <c r="I284" s="40"/>
      <c r="J284" s="40"/>
      <c r="K284" s="40"/>
      <c r="L284" s="40"/>
    </row>
    <row r="285" spans="1:12">
      <c r="A285" s="105">
        <v>16</v>
      </c>
      <c r="B285" s="172"/>
      <c r="C285" s="106"/>
      <c r="D285" s="54"/>
      <c r="E285" s="142"/>
      <c r="F285" s="43"/>
      <c r="G285" s="40"/>
      <c r="H285" s="40"/>
      <c r="I285" s="40"/>
      <c r="J285" s="40"/>
      <c r="K285" s="40"/>
      <c r="L285" s="40"/>
    </row>
    <row r="286" spans="1:12">
      <c r="A286" s="105">
        <v>17</v>
      </c>
      <c r="B286" s="21"/>
      <c r="C286" s="42"/>
      <c r="D286" s="22"/>
      <c r="E286" s="42"/>
      <c r="F286" s="43"/>
      <c r="G286" s="40"/>
      <c r="H286" s="40"/>
      <c r="I286" s="40"/>
      <c r="J286" s="40"/>
      <c r="K286" s="40"/>
      <c r="L286" s="40"/>
    </row>
    <row r="287" spans="1:12">
      <c r="A287" s="105">
        <v>18</v>
      </c>
      <c r="B287" s="154"/>
      <c r="C287" s="106"/>
      <c r="D287" s="74"/>
      <c r="E287" s="142"/>
      <c r="F287" s="43"/>
      <c r="G287" s="40"/>
      <c r="H287" s="40"/>
      <c r="I287" s="40"/>
      <c r="J287" s="40"/>
      <c r="K287" s="40"/>
      <c r="L287" s="40"/>
    </row>
    <row r="288" spans="1:12">
      <c r="A288" s="105">
        <v>19</v>
      </c>
      <c r="B288" s="154"/>
      <c r="C288" s="106"/>
      <c r="D288" s="74"/>
      <c r="E288" s="142"/>
      <c r="F288" s="43"/>
      <c r="G288" s="40"/>
      <c r="H288" s="40"/>
      <c r="I288" s="40"/>
      <c r="J288" s="40"/>
      <c r="K288" s="40"/>
      <c r="L288" s="40"/>
    </row>
    <row r="289" spans="1:12">
      <c r="A289" s="105">
        <v>20</v>
      </c>
      <c r="B289" s="154"/>
      <c r="C289" s="106"/>
      <c r="D289" s="74"/>
      <c r="E289" s="142"/>
      <c r="F289" s="43"/>
      <c r="G289" s="40"/>
      <c r="H289" s="40"/>
      <c r="I289" s="40"/>
      <c r="J289" s="40"/>
      <c r="K289" s="40"/>
      <c r="L289" s="40"/>
    </row>
    <row r="290" spans="1:12">
      <c r="A290" s="105">
        <v>21</v>
      </c>
      <c r="B290" s="154"/>
      <c r="C290" s="106"/>
      <c r="D290" s="74"/>
      <c r="E290" s="142"/>
      <c r="F290" s="43"/>
      <c r="G290" s="40"/>
      <c r="H290" s="40"/>
      <c r="I290" s="40"/>
      <c r="J290" s="40"/>
      <c r="K290" s="40"/>
      <c r="L290" s="40"/>
    </row>
    <row r="291" spans="1:12">
      <c r="A291" s="105">
        <v>22</v>
      </c>
      <c r="B291" s="154"/>
      <c r="C291" s="106"/>
      <c r="D291" s="54"/>
      <c r="E291" s="142"/>
      <c r="F291" s="43"/>
      <c r="G291" s="40"/>
      <c r="H291" s="40"/>
      <c r="I291" s="40"/>
      <c r="J291" s="40"/>
      <c r="K291" s="40"/>
      <c r="L291" s="40"/>
    </row>
    <row r="292" spans="1:12">
      <c r="A292" s="105">
        <v>23</v>
      </c>
      <c r="B292" s="154"/>
      <c r="C292" s="106"/>
      <c r="D292" s="74"/>
      <c r="E292" s="142"/>
      <c r="F292" s="43"/>
      <c r="G292" s="40"/>
      <c r="H292" s="40"/>
      <c r="I292" s="40"/>
      <c r="J292" s="40"/>
      <c r="K292" s="40"/>
      <c r="L292" s="40"/>
    </row>
    <row r="293" spans="1:12">
      <c r="A293" s="105">
        <v>24</v>
      </c>
      <c r="B293" s="154"/>
      <c r="C293" s="106"/>
      <c r="D293" s="54"/>
      <c r="E293" s="142"/>
      <c r="F293" s="43"/>
      <c r="G293" s="40"/>
      <c r="H293" s="40"/>
      <c r="I293" s="40"/>
      <c r="J293" s="40"/>
      <c r="K293" s="40"/>
      <c r="L293" s="40"/>
    </row>
    <row r="294" spans="1:12">
      <c r="A294" s="105">
        <v>25</v>
      </c>
      <c r="B294" s="154"/>
      <c r="C294" s="106"/>
      <c r="D294" s="54"/>
      <c r="E294" s="142"/>
      <c r="F294" s="43"/>
      <c r="G294" s="40"/>
      <c r="H294" s="40"/>
      <c r="I294" s="40"/>
      <c r="J294" s="40"/>
      <c r="K294" s="40"/>
      <c r="L294" s="40"/>
    </row>
    <row r="295" spans="1:12">
      <c r="A295" s="105">
        <v>26</v>
      </c>
      <c r="B295" s="154"/>
      <c r="C295" s="106"/>
      <c r="D295" s="54"/>
      <c r="E295" s="142"/>
      <c r="F295" s="43"/>
      <c r="G295" s="40"/>
      <c r="H295" s="40"/>
      <c r="I295" s="40"/>
      <c r="J295" s="40"/>
      <c r="K295" s="40"/>
      <c r="L295" s="40"/>
    </row>
    <row r="296" spans="1:12">
      <c r="A296" s="105">
        <v>27</v>
      </c>
      <c r="B296" s="154"/>
      <c r="C296" s="106"/>
      <c r="D296" s="54"/>
      <c r="E296" s="142"/>
      <c r="F296" s="43"/>
      <c r="G296" s="40"/>
      <c r="H296" s="40"/>
      <c r="I296" s="40"/>
      <c r="J296" s="40"/>
      <c r="K296" s="40"/>
      <c r="L296" s="40"/>
    </row>
    <row r="297" spans="1:12">
      <c r="A297" s="105">
        <v>28</v>
      </c>
      <c r="B297" s="158"/>
      <c r="C297" s="159"/>
      <c r="D297" s="160"/>
      <c r="E297" s="142"/>
      <c r="F297" s="43"/>
      <c r="G297" s="40"/>
      <c r="H297" s="40"/>
      <c r="I297" s="40"/>
      <c r="J297" s="40"/>
      <c r="K297" s="40"/>
      <c r="L297" s="40"/>
    </row>
    <row r="298" spans="1:12">
      <c r="A298" s="105">
        <v>29</v>
      </c>
      <c r="B298" s="158"/>
      <c r="C298" s="159"/>
      <c r="D298" s="160"/>
      <c r="E298" s="159"/>
      <c r="F298" s="148"/>
      <c r="G298" s="333"/>
      <c r="H298" s="333"/>
      <c r="I298" s="333"/>
      <c r="J298" s="333"/>
      <c r="K298" s="333"/>
      <c r="L298" s="333"/>
    </row>
    <row r="299" spans="1:12">
      <c r="A299" s="105">
        <v>30</v>
      </c>
      <c r="B299" s="158"/>
      <c r="C299" s="159"/>
      <c r="D299" s="160"/>
      <c r="E299" s="159"/>
      <c r="F299" s="148"/>
      <c r="G299" s="333"/>
      <c r="H299" s="333"/>
      <c r="I299" s="333"/>
      <c r="J299" s="333"/>
      <c r="K299" s="333"/>
      <c r="L299" s="333"/>
    </row>
    <row r="300" spans="1:12">
      <c r="A300" s="105">
        <v>31</v>
      </c>
      <c r="B300" s="158"/>
      <c r="C300" s="159"/>
      <c r="D300" s="160"/>
      <c r="E300" s="159"/>
      <c r="F300" s="149"/>
      <c r="G300" s="334"/>
      <c r="H300" s="334"/>
      <c r="I300" s="334"/>
      <c r="J300" s="334"/>
      <c r="K300" s="334"/>
      <c r="L300" s="334"/>
    </row>
    <row r="301" spans="1:12">
      <c r="A301" s="108">
        <v>32</v>
      </c>
      <c r="B301" s="161"/>
      <c r="C301" s="162"/>
      <c r="D301" s="163"/>
      <c r="E301" s="162"/>
      <c r="F301" s="150"/>
      <c r="G301" s="333"/>
      <c r="H301" s="333"/>
      <c r="I301" s="333"/>
      <c r="J301" s="333"/>
      <c r="K301" s="333"/>
      <c r="L301" s="333"/>
    </row>
    <row r="302" spans="1:12">
      <c r="A302" s="109" t="s">
        <v>24</v>
      </c>
      <c r="B302" s="128">
        <v>12</v>
      </c>
      <c r="C302" s="128"/>
      <c r="D302" s="130"/>
      <c r="E302" s="128"/>
      <c r="F302" s="131"/>
      <c r="G302" s="332"/>
      <c r="H302" s="332"/>
      <c r="I302" s="332"/>
      <c r="J302" s="332"/>
      <c r="K302" s="332"/>
      <c r="L302" s="332"/>
    </row>
    <row r="303" spans="1:12">
      <c r="A303" s="110" t="s">
        <v>3</v>
      </c>
      <c r="B303" s="111">
        <v>16</v>
      </c>
      <c r="C303" s="111"/>
      <c r="D303" s="113"/>
      <c r="E303" s="111"/>
      <c r="F303" s="114"/>
      <c r="G303" s="332"/>
      <c r="H303" s="332"/>
      <c r="I303" s="332"/>
      <c r="J303" s="332"/>
      <c r="K303" s="332"/>
      <c r="L303" s="332"/>
    </row>
    <row r="304" spans="1:12">
      <c r="E304" s="115" t="s">
        <v>343</v>
      </c>
    </row>
    <row r="305" spans="1:12">
      <c r="A305" s="103"/>
      <c r="B305" s="116"/>
      <c r="C305" s="103"/>
      <c r="D305" s="118"/>
      <c r="E305" s="115" t="s">
        <v>84</v>
      </c>
      <c r="F305" s="103"/>
      <c r="G305" s="103"/>
      <c r="H305" s="103"/>
      <c r="I305" s="103"/>
      <c r="J305" s="103"/>
      <c r="K305" s="103"/>
      <c r="L305" s="103"/>
    </row>
    <row r="306" spans="1:12">
      <c r="A306" s="103"/>
      <c r="B306" s="116"/>
      <c r="C306" s="103"/>
      <c r="D306" s="118"/>
      <c r="E306" s="115"/>
      <c r="F306" s="103"/>
      <c r="G306" s="103"/>
      <c r="H306" s="103"/>
      <c r="I306" s="103"/>
      <c r="J306" s="103"/>
      <c r="K306" s="103"/>
      <c r="L306" s="103"/>
    </row>
    <row r="307" spans="1:12">
      <c r="A307" s="103"/>
      <c r="B307" s="103"/>
      <c r="C307" s="115"/>
      <c r="D307" s="119"/>
      <c r="F307" s="115"/>
      <c r="G307" s="115"/>
      <c r="H307" s="115"/>
      <c r="I307" s="115"/>
      <c r="J307" s="115"/>
      <c r="K307" s="115"/>
      <c r="L307" s="115"/>
    </row>
    <row r="308" spans="1:12">
      <c r="F308" s="164"/>
      <c r="G308" s="164"/>
      <c r="H308" s="164"/>
      <c r="I308" s="164"/>
      <c r="J308" s="164"/>
      <c r="K308" s="164"/>
      <c r="L308" s="164"/>
    </row>
    <row r="309" spans="1:12">
      <c r="E309" s="121" t="str">
        <f>WLKLS!B16</f>
        <v>Hj. IWA YUHARTI S.S</v>
      </c>
    </row>
    <row r="310" spans="1:12">
      <c r="E310" s="123" t="str">
        <f>WLKLS!C16</f>
        <v>NIP. 197510172007012007</v>
      </c>
    </row>
  </sheetData>
  <sortState ref="B173:F176">
    <sortCondition ref="D173:D176"/>
  </sortState>
  <mergeCells count="60">
    <mergeCell ref="A265:F265"/>
    <mergeCell ref="A266:F266"/>
    <mergeCell ref="A268:C268"/>
    <mergeCell ref="D10:D11"/>
    <mergeCell ref="D60:D61"/>
    <mergeCell ref="D110:D111"/>
    <mergeCell ref="D161:D162"/>
    <mergeCell ref="D212:D213"/>
    <mergeCell ref="D268:D269"/>
    <mergeCell ref="E10:E11"/>
    <mergeCell ref="E60:E61"/>
    <mergeCell ref="E110:E111"/>
    <mergeCell ref="E161:E162"/>
    <mergeCell ref="E212:E213"/>
    <mergeCell ref="E268:E269"/>
    <mergeCell ref="A259:F259"/>
    <mergeCell ref="A260:F260"/>
    <mergeCell ref="A261:F261"/>
    <mergeCell ref="A262:F262"/>
    <mergeCell ref="A263:F263"/>
    <mergeCell ref="A206:F206"/>
    <mergeCell ref="A207:F207"/>
    <mergeCell ref="A209:F209"/>
    <mergeCell ref="A210:F210"/>
    <mergeCell ref="A212:C212"/>
    <mergeCell ref="A159:F159"/>
    <mergeCell ref="A161:C161"/>
    <mergeCell ref="A203:F203"/>
    <mergeCell ref="A204:F204"/>
    <mergeCell ref="A205:F205"/>
    <mergeCell ref="A153:F153"/>
    <mergeCell ref="A154:F154"/>
    <mergeCell ref="A155:F155"/>
    <mergeCell ref="A156:F156"/>
    <mergeCell ref="A158:F158"/>
    <mergeCell ref="A105:F105"/>
    <mergeCell ref="A107:F107"/>
    <mergeCell ref="A108:F108"/>
    <mergeCell ref="A110:C110"/>
    <mergeCell ref="A152:F152"/>
    <mergeCell ref="A60:C60"/>
    <mergeCell ref="A101:F101"/>
    <mergeCell ref="A102:F102"/>
    <mergeCell ref="A103:F103"/>
    <mergeCell ref="A104:F104"/>
    <mergeCell ref="A53:F53"/>
    <mergeCell ref="A54:F54"/>
    <mergeCell ref="A55:F55"/>
    <mergeCell ref="A57:F57"/>
    <mergeCell ref="A58:F58"/>
    <mergeCell ref="A7:F7"/>
    <mergeCell ref="A8:F8"/>
    <mergeCell ref="A10:C10"/>
    <mergeCell ref="A51:F51"/>
    <mergeCell ref="A52:F52"/>
    <mergeCell ref="A1:F1"/>
    <mergeCell ref="A2:F2"/>
    <mergeCell ref="A3:F3"/>
    <mergeCell ref="A4:F4"/>
    <mergeCell ref="A5:F5"/>
  </mergeCells>
  <dataValidations count="1">
    <dataValidation type="list" allowBlank="1" showInputMessage="1" showErrorMessage="1" sqref="E286 Z27 L169:L177 Z37 Z65 L33:L43 L181:L184 L72:L73 E242:E245 E296:E301 L75:L83 L12:L23 L87 L31 L129 E270 E272 L25:L26 L187 L135 L116:L122 AA171 L125:L127 E44 AA157 L112:L114 L85 L62:L70 L28 L166:L167 E191:E194">
      <formula1>#REF!</formula1>
    </dataValidation>
  </dataValidations>
  <pageMargins left="1.2" right="0.45" top="0.5" bottom="0.25" header="0.3" footer="0.3"/>
  <pageSetup paperSize="9" orientation="portrait" horizontalDpi="4294967293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47"/>
  <sheetViews>
    <sheetView topLeftCell="A15" workbookViewId="0">
      <selection activeCell="D36" sqref="D36"/>
    </sheetView>
  </sheetViews>
  <sheetFormatPr defaultColWidth="9" defaultRowHeight="15"/>
  <cols>
    <col min="1" max="1" width="10.42578125" customWidth="1"/>
    <col min="2" max="2" width="16.28515625" customWidth="1"/>
    <col min="3" max="4" width="16.42578125" customWidth="1"/>
    <col min="5" max="6" width="17.28515625" customWidth="1"/>
    <col min="7" max="7" width="10.7109375" customWidth="1"/>
    <col min="8" max="8" width="27.85546875" customWidth="1"/>
    <col min="9" max="9" width="9.7109375" customWidth="1"/>
    <col min="10" max="10" width="3.140625" customWidth="1"/>
    <col min="11" max="11" width="21.7109375" customWidth="1"/>
    <col min="12" max="12" width="12.85546875" customWidth="1"/>
    <col min="13" max="13" width="9.5703125" customWidth="1"/>
    <col min="14" max="14" width="28.7109375" customWidth="1"/>
    <col min="15" max="15" width="9.7109375" style="30" customWidth="1"/>
    <col min="16" max="16" width="3.140625" style="16" customWidth="1"/>
    <col min="17" max="17" width="21.7109375" customWidth="1"/>
    <col min="18" max="18" width="14.5703125" customWidth="1"/>
    <col min="20" max="20" width="13.42578125" customWidth="1"/>
  </cols>
  <sheetData>
    <row r="1" spans="1:19">
      <c r="A1" s="1018" t="s">
        <v>0</v>
      </c>
      <c r="B1" s="1018"/>
      <c r="C1" s="1018"/>
      <c r="D1" s="1018"/>
      <c r="E1" s="1018"/>
      <c r="F1" s="911"/>
      <c r="G1" s="1018" t="s">
        <v>0</v>
      </c>
      <c r="H1" s="1018"/>
      <c r="I1" s="1018"/>
      <c r="J1" s="1018"/>
      <c r="K1" s="1018"/>
      <c r="L1" s="1018"/>
      <c r="M1" s="1034"/>
      <c r="N1" s="1034"/>
      <c r="O1" s="1034"/>
      <c r="P1" s="1034"/>
      <c r="Q1" s="1034"/>
      <c r="R1" s="1034"/>
    </row>
    <row r="2" spans="1:19">
      <c r="A2" s="1018" t="s">
        <v>1</v>
      </c>
      <c r="B2" s="1018"/>
      <c r="C2" s="1018"/>
      <c r="D2" s="1018"/>
      <c r="E2" s="1018"/>
      <c r="F2" s="911"/>
      <c r="G2" s="1018" t="s">
        <v>1</v>
      </c>
      <c r="H2" s="1018"/>
      <c r="I2" s="1018"/>
      <c r="J2" s="1018"/>
      <c r="K2" s="1018"/>
      <c r="L2" s="1018"/>
      <c r="M2" s="1034"/>
      <c r="N2" s="1034"/>
      <c r="O2" s="1034"/>
      <c r="P2" s="1034"/>
      <c r="Q2" s="1034"/>
      <c r="R2" s="1034"/>
    </row>
    <row r="3" spans="1:19">
      <c r="A3" s="1018" t="s">
        <v>4</v>
      </c>
      <c r="B3" s="1018"/>
      <c r="C3" s="1018"/>
      <c r="D3" s="1018"/>
      <c r="E3" s="1018"/>
      <c r="F3" s="911"/>
      <c r="G3" s="1018" t="s">
        <v>4</v>
      </c>
      <c r="H3" s="1018"/>
      <c r="I3" s="1018"/>
      <c r="J3" s="1018"/>
      <c r="K3" s="1018"/>
      <c r="L3" s="1018"/>
      <c r="M3" s="1034"/>
      <c r="N3" s="1034"/>
      <c r="O3" s="1034"/>
      <c r="P3" s="1034"/>
      <c r="Q3" s="1034"/>
      <c r="R3" s="1034"/>
    </row>
    <row r="4" spans="1:19">
      <c r="A4" s="1019" t="s">
        <v>6</v>
      </c>
      <c r="B4" s="1019"/>
      <c r="C4" s="1019"/>
      <c r="D4" s="1019"/>
      <c r="E4" s="1019"/>
      <c r="F4" s="912"/>
      <c r="G4" s="1019" t="s">
        <v>6</v>
      </c>
      <c r="H4" s="1019"/>
      <c r="I4" s="1019"/>
      <c r="J4" s="1019"/>
      <c r="K4" s="1019"/>
      <c r="L4" s="1019"/>
      <c r="M4" s="1032"/>
      <c r="N4" s="1032"/>
      <c r="O4" s="1032"/>
      <c r="P4" s="1032"/>
      <c r="Q4" s="1032"/>
      <c r="R4" s="1032"/>
    </row>
    <row r="5" spans="1:19" ht="15.75" thickBot="1">
      <c r="A5" s="1020" t="s">
        <v>7</v>
      </c>
      <c r="B5" s="1020"/>
      <c r="C5" s="1020"/>
      <c r="D5" s="1020"/>
      <c r="E5" s="1020"/>
      <c r="F5" s="913"/>
      <c r="G5" s="1020" t="s">
        <v>7</v>
      </c>
      <c r="H5" s="1020"/>
      <c r="I5" s="1020"/>
      <c r="J5" s="1020"/>
      <c r="K5" s="1020"/>
      <c r="L5" s="1020"/>
      <c r="M5" s="1033"/>
      <c r="N5" s="1033"/>
      <c r="O5" s="1033"/>
      <c r="P5" s="1033"/>
      <c r="Q5" s="1033"/>
      <c r="R5" s="1033"/>
    </row>
    <row r="6" spans="1:19" ht="15.75" thickTop="1">
      <c r="E6" s="16"/>
      <c r="F6" s="16"/>
      <c r="I6" s="30"/>
      <c r="J6" s="16"/>
      <c r="L6" s="16"/>
      <c r="M6" s="34"/>
      <c r="N6" s="34"/>
      <c r="O6" s="53"/>
      <c r="P6" s="40"/>
      <c r="Q6" s="34"/>
      <c r="R6" s="40"/>
    </row>
    <row r="7" spans="1:19" ht="15.75">
      <c r="A7" s="1021" t="s">
        <v>353</v>
      </c>
      <c r="B7" s="1021"/>
      <c r="C7" s="1021"/>
      <c r="D7" s="1021"/>
      <c r="E7" s="1021"/>
      <c r="F7" s="914"/>
      <c r="G7" s="1021" t="s">
        <v>354</v>
      </c>
      <c r="H7" s="1021"/>
      <c r="I7" s="1021"/>
      <c r="J7" s="1021"/>
      <c r="K7" s="1021"/>
      <c r="L7" s="1021"/>
      <c r="M7" s="1021"/>
      <c r="N7" s="1021"/>
      <c r="O7" s="1021"/>
      <c r="P7" s="1021"/>
      <c r="Q7" s="1021"/>
      <c r="R7" s="1021"/>
    </row>
    <row r="8" spans="1:19" ht="15.75">
      <c r="A8" s="1022" t="s">
        <v>4</v>
      </c>
      <c r="B8" s="1022"/>
      <c r="C8" s="1022"/>
      <c r="D8" s="1022"/>
      <c r="E8" s="1022"/>
      <c r="F8" s="915"/>
      <c r="G8" s="1022" t="s">
        <v>4</v>
      </c>
      <c r="H8" s="1022"/>
      <c r="I8" s="1022"/>
      <c r="J8" s="1022"/>
      <c r="K8" s="1022"/>
      <c r="L8" s="1022"/>
      <c r="M8" s="1021"/>
      <c r="N8" s="1021"/>
      <c r="O8" s="1021"/>
      <c r="P8" s="1021"/>
      <c r="Q8" s="1021"/>
      <c r="R8" s="1021"/>
    </row>
    <row r="9" spans="1:19" ht="15.75">
      <c r="A9" s="1037" t="s">
        <v>1256</v>
      </c>
      <c r="B9" s="1037"/>
      <c r="C9" s="1037"/>
      <c r="D9" s="1037"/>
      <c r="E9" s="1037"/>
      <c r="F9" s="917"/>
      <c r="G9" s="1037" t="s">
        <v>647</v>
      </c>
      <c r="H9" s="1037"/>
      <c r="I9" s="1037"/>
      <c r="J9" s="1037"/>
      <c r="K9" s="1037"/>
      <c r="L9" s="1037"/>
      <c r="M9" s="1038"/>
      <c r="N9" s="1038"/>
      <c r="O9" s="1038"/>
      <c r="P9" s="1038"/>
      <c r="Q9" s="1038"/>
      <c r="R9" s="1038"/>
    </row>
    <row r="10" spans="1:19" ht="15.75" thickBot="1">
      <c r="H10" s="52"/>
      <c r="I10" s="53"/>
      <c r="J10" s="41"/>
      <c r="M10" s="34"/>
      <c r="N10" s="52"/>
      <c r="O10" s="53"/>
      <c r="P10" s="41"/>
      <c r="Q10" s="34"/>
      <c r="R10" s="34"/>
    </row>
    <row r="11" spans="1:19" ht="15.75" thickBot="1">
      <c r="A11" s="35" t="s">
        <v>356</v>
      </c>
      <c r="B11" s="36" t="s">
        <v>357</v>
      </c>
      <c r="C11" s="36" t="s">
        <v>24</v>
      </c>
      <c r="D11" s="36" t="s">
        <v>3</v>
      </c>
      <c r="E11" s="37" t="s">
        <v>358</v>
      </c>
      <c r="F11" s="916"/>
      <c r="H11" t="s">
        <v>359</v>
      </c>
      <c r="I11" s="30"/>
      <c r="J11" s="16"/>
      <c r="M11" s="34"/>
      <c r="N11" s="34"/>
      <c r="O11" s="53"/>
      <c r="P11" s="40"/>
      <c r="Q11" s="34"/>
      <c r="R11" s="34"/>
    </row>
    <row r="12" spans="1:19">
      <c r="A12" s="982">
        <v>1</v>
      </c>
      <c r="B12" s="455" t="s">
        <v>360</v>
      </c>
      <c r="C12" s="455">
        <f>VII!B45</f>
        <v>20</v>
      </c>
      <c r="D12" s="455">
        <f>VII!B46</f>
        <v>12</v>
      </c>
      <c r="E12" s="983">
        <f>SUM(C12:D12)</f>
        <v>32</v>
      </c>
      <c r="F12" s="969"/>
      <c r="G12" s="743"/>
      <c r="H12" s="744"/>
      <c r="I12" s="745"/>
      <c r="J12" s="711"/>
      <c r="K12" s="744"/>
      <c r="L12" s="747"/>
      <c r="M12" s="540"/>
      <c r="N12" s="447"/>
      <c r="O12" s="215"/>
      <c r="P12" s="430"/>
      <c r="Q12" s="447"/>
      <c r="R12" s="593"/>
      <c r="S12" s="83"/>
    </row>
    <row r="13" spans="1:19">
      <c r="A13" s="704">
        <v>2</v>
      </c>
      <c r="B13" s="921" t="s">
        <v>361</v>
      </c>
      <c r="C13" s="455">
        <f>VII!B99</f>
        <v>20</v>
      </c>
      <c r="D13" s="455">
        <f>VII!B100</f>
        <v>12</v>
      </c>
      <c r="E13" s="951">
        <f t="shared" ref="E13:E19" si="0">SUM(C13:D13)</f>
        <v>32</v>
      </c>
      <c r="F13" s="970"/>
      <c r="G13" s="281"/>
      <c r="H13" s="425"/>
      <c r="I13" s="500"/>
      <c r="J13" s="435"/>
      <c r="K13" s="425"/>
      <c r="L13" s="611"/>
      <c r="M13" s="540"/>
      <c r="N13" s="447"/>
      <c r="O13" s="468"/>
      <c r="P13" s="430"/>
      <c r="Q13" s="447"/>
      <c r="R13" s="594"/>
      <c r="S13" s="83"/>
    </row>
    <row r="14" spans="1:19">
      <c r="A14" s="704">
        <v>3</v>
      </c>
      <c r="B14" s="921" t="s">
        <v>362</v>
      </c>
      <c r="C14" s="455">
        <f>VII!B153</f>
        <v>20</v>
      </c>
      <c r="D14" s="455">
        <f>VII!B154</f>
        <v>12</v>
      </c>
      <c r="E14" s="951">
        <f t="shared" si="0"/>
        <v>32</v>
      </c>
      <c r="F14" s="970"/>
      <c r="G14" s="285"/>
      <c r="H14" s="685"/>
      <c r="I14" s="422"/>
      <c r="J14" s="610"/>
      <c r="K14" s="685"/>
      <c r="L14" s="529"/>
      <c r="M14" s="595"/>
      <c r="N14" s="576"/>
      <c r="O14" s="577"/>
      <c r="P14" s="578"/>
      <c r="Q14" s="575"/>
      <c r="R14" s="576"/>
      <c r="S14" s="34"/>
    </row>
    <row r="15" spans="1:19">
      <c r="A15" s="704">
        <v>4</v>
      </c>
      <c r="B15" s="921" t="s">
        <v>363</v>
      </c>
      <c r="C15" s="455">
        <f>VII!B207</f>
        <v>19</v>
      </c>
      <c r="D15" s="455">
        <f>VII!B208</f>
        <v>13</v>
      </c>
      <c r="E15" s="951">
        <f t="shared" si="0"/>
        <v>32</v>
      </c>
      <c r="F15" s="970"/>
      <c r="G15" s="284"/>
      <c r="H15" s="426"/>
      <c r="I15" s="426"/>
      <c r="J15" s="433"/>
      <c r="K15" s="426"/>
      <c r="L15" s="702"/>
      <c r="M15" s="447"/>
      <c r="N15" s="447"/>
      <c r="O15" s="447"/>
      <c r="P15" s="430"/>
      <c r="Q15" s="447"/>
      <c r="R15" s="469"/>
      <c r="S15" s="34"/>
    </row>
    <row r="16" spans="1:19">
      <c r="A16" s="45">
        <v>5</v>
      </c>
      <c r="B16" s="46" t="s">
        <v>364</v>
      </c>
      <c r="C16" s="455">
        <f>VII!B261</f>
        <v>20</v>
      </c>
      <c r="D16" s="455">
        <f>VII!B262</f>
        <v>12</v>
      </c>
      <c r="E16" s="951">
        <f t="shared" si="0"/>
        <v>32</v>
      </c>
      <c r="F16" s="970"/>
      <c r="G16" s="703"/>
      <c r="H16" s="425"/>
      <c r="I16" s="500"/>
      <c r="J16" s="425"/>
      <c r="K16" s="435"/>
      <c r="L16" s="622"/>
      <c r="M16" s="575"/>
      <c r="N16" s="576"/>
      <c r="O16" s="577"/>
      <c r="P16" s="578"/>
      <c r="Q16" s="575"/>
      <c r="R16" s="576"/>
    </row>
    <row r="17" spans="1:27" ht="15.75" thickBot="1">
      <c r="A17" s="45"/>
      <c r="B17" s="459"/>
      <c r="C17" s="455"/>
      <c r="D17" s="455"/>
      <c r="E17" s="951"/>
      <c r="F17" s="970"/>
      <c r="G17" s="746"/>
      <c r="H17" s="425"/>
      <c r="I17" s="500"/>
      <c r="J17" s="700"/>
      <c r="K17" s="425"/>
      <c r="L17" s="622"/>
      <c r="M17" s="34"/>
      <c r="N17" s="34"/>
      <c r="O17" s="53"/>
      <c r="P17" s="40"/>
      <c r="Q17" s="34"/>
      <c r="R17" s="34"/>
    </row>
    <row r="18" spans="1:27" ht="15.75" thickBot="1">
      <c r="A18" s="1035" t="s">
        <v>365</v>
      </c>
      <c r="B18" s="1036"/>
      <c r="C18" s="36">
        <f>SUM(C12:C17)</f>
        <v>99</v>
      </c>
      <c r="D18" s="36">
        <f>SUM(D12:D17)</f>
        <v>61</v>
      </c>
      <c r="E18" s="37">
        <f t="shared" si="0"/>
        <v>160</v>
      </c>
      <c r="F18" s="916"/>
      <c r="G18" s="746"/>
      <c r="H18" s="425"/>
      <c r="I18" s="500"/>
      <c r="J18" s="434"/>
      <c r="K18" s="700"/>
      <c r="L18" s="611"/>
      <c r="M18" s="51"/>
      <c r="N18" s="421"/>
      <c r="O18" s="420"/>
      <c r="P18" s="420"/>
      <c r="Q18" s="421"/>
      <c r="R18" s="40"/>
    </row>
    <row r="19" spans="1:27">
      <c r="A19" s="901">
        <v>6</v>
      </c>
      <c r="B19" s="894" t="s">
        <v>366</v>
      </c>
      <c r="C19" s="894">
        <f>VIII!B44</f>
        <v>16</v>
      </c>
      <c r="D19" s="894">
        <f>VIII!B45</f>
        <v>16</v>
      </c>
      <c r="E19" s="740">
        <f t="shared" si="0"/>
        <v>32</v>
      </c>
      <c r="F19" s="971"/>
      <c r="G19" s="746"/>
      <c r="H19" s="686"/>
      <c r="I19" s="768"/>
      <c r="J19" s="415"/>
      <c r="K19" s="474"/>
      <c r="L19" s="1007"/>
      <c r="M19" s="34"/>
      <c r="N19" s="255"/>
      <c r="O19" s="398"/>
      <c r="P19" s="52"/>
      <c r="Q19" s="596"/>
      <c r="R19" s="41"/>
      <c r="S19" s="34"/>
    </row>
    <row r="20" spans="1:27" ht="16.5">
      <c r="A20" s="704">
        <v>7</v>
      </c>
      <c r="B20" s="921" t="s">
        <v>367</v>
      </c>
      <c r="C20" s="455">
        <f>VIII!B96</f>
        <v>16</v>
      </c>
      <c r="D20" s="455">
        <f>VIII!B97</f>
        <v>16</v>
      </c>
      <c r="E20" s="951">
        <f t="shared" ref="E20:E22" si="1">SUM(C20:D20)</f>
        <v>32</v>
      </c>
      <c r="F20" s="972"/>
      <c r="G20" s="763"/>
      <c r="H20" s="561"/>
      <c r="I20" s="387"/>
      <c r="J20" s="563"/>
      <c r="K20" s="561"/>
      <c r="L20" s="764"/>
      <c r="M20" s="579"/>
      <c r="N20" s="255"/>
      <c r="O20" s="480"/>
      <c r="P20" s="41"/>
      <c r="Q20" s="257"/>
      <c r="R20" s="273"/>
    </row>
    <row r="21" spans="1:27" ht="15.75" thickBot="1">
      <c r="A21" s="704">
        <v>8</v>
      </c>
      <c r="B21" s="921" t="s">
        <v>369</v>
      </c>
      <c r="C21" s="455">
        <f>VIII!B147</f>
        <v>16</v>
      </c>
      <c r="D21" s="455">
        <f>VIII!B148</f>
        <v>16</v>
      </c>
      <c r="E21" s="951">
        <f t="shared" si="1"/>
        <v>32</v>
      </c>
      <c r="F21" s="972"/>
      <c r="G21" s="681"/>
      <c r="H21" s="264"/>
      <c r="I21" s="531"/>
      <c r="J21" s="265"/>
      <c r="K21" s="765"/>
      <c r="L21" s="496"/>
      <c r="M21" s="540"/>
      <c r="O21" s="762" t="s">
        <v>1230</v>
      </c>
    </row>
    <row r="22" spans="1:27" ht="17.25" thickBot="1">
      <c r="A22" s="704">
        <v>9</v>
      </c>
      <c r="B22" s="921" t="s">
        <v>370</v>
      </c>
      <c r="C22" s="455">
        <f>VIII!B198</f>
        <v>15</v>
      </c>
      <c r="D22" s="455">
        <f>VIII!B199</f>
        <v>17</v>
      </c>
      <c r="E22" s="951">
        <f t="shared" si="1"/>
        <v>32</v>
      </c>
      <c r="F22" s="40"/>
      <c r="H22" s="994" t="s">
        <v>371</v>
      </c>
      <c r="I22" s="995"/>
      <c r="J22" s="996"/>
      <c r="K22" s="994"/>
      <c r="L22" s="994"/>
      <c r="M22" s="540"/>
      <c r="U22" s="190"/>
      <c r="W22" s="65" t="s">
        <v>3</v>
      </c>
      <c r="X22" s="84" t="s">
        <v>34</v>
      </c>
      <c r="AA22" s="34"/>
    </row>
    <row r="23" spans="1:27" ht="15.75" thickBot="1">
      <c r="A23" s="704">
        <v>10</v>
      </c>
      <c r="B23" s="921" t="s">
        <v>384</v>
      </c>
      <c r="C23" s="455">
        <f>VIII!B250</f>
        <v>14</v>
      </c>
      <c r="D23" s="455">
        <f>VIII!B251</f>
        <v>18</v>
      </c>
      <c r="E23" s="951">
        <f t="shared" ref="E23" si="2">SUM(C23:D23)</f>
        <v>32</v>
      </c>
      <c r="F23" s="969"/>
      <c r="G23" s="743" t="s">
        <v>1640</v>
      </c>
      <c r="H23" s="502" t="s">
        <v>171</v>
      </c>
      <c r="I23" s="500" t="s">
        <v>279</v>
      </c>
      <c r="J23" s="503" t="s">
        <v>3</v>
      </c>
      <c r="K23" s="735" t="s">
        <v>1638</v>
      </c>
      <c r="L23" s="1015" t="s">
        <v>1639</v>
      </c>
      <c r="M23" s="597"/>
      <c r="S23" s="34"/>
    </row>
    <row r="24" spans="1:27" ht="15.75" thickBot="1">
      <c r="A24" s="263"/>
      <c r="B24" s="884"/>
      <c r="C24" s="632"/>
      <c r="D24" s="632"/>
      <c r="E24" s="965"/>
      <c r="F24" s="972"/>
      <c r="G24" s="743" t="s">
        <v>1612</v>
      </c>
      <c r="H24" s="989" t="s">
        <v>1226</v>
      </c>
      <c r="I24" s="990" t="s">
        <v>1227</v>
      </c>
      <c r="J24" s="991" t="s">
        <v>3</v>
      </c>
      <c r="K24" s="993" t="s">
        <v>1229</v>
      </c>
      <c r="L24" s="611"/>
      <c r="M24" s="582"/>
      <c r="S24" s="34"/>
    </row>
    <row r="25" spans="1:27" ht="15.75" thickBot="1">
      <c r="A25" s="1035" t="s">
        <v>365</v>
      </c>
      <c r="B25" s="1036"/>
      <c r="C25" s="36">
        <f>SUM(C19:C24)</f>
        <v>77</v>
      </c>
      <c r="D25" s="36">
        <f>SUM(D19:D24)</f>
        <v>83</v>
      </c>
      <c r="E25" s="37">
        <f>SUM(C25:D25)</f>
        <v>160</v>
      </c>
      <c r="F25" s="916"/>
      <c r="G25" s="281" t="s">
        <v>1614</v>
      </c>
      <c r="H25" s="989" t="s">
        <v>749</v>
      </c>
      <c r="I25" s="990" t="s">
        <v>942</v>
      </c>
      <c r="J25" s="991" t="s">
        <v>24</v>
      </c>
      <c r="K25" s="992" t="s">
        <v>1613</v>
      </c>
      <c r="L25" s="988"/>
      <c r="M25" s="293"/>
      <c r="N25" s="51"/>
      <c r="O25" s="599"/>
      <c r="P25" s="279"/>
      <c r="Q25" s="600"/>
      <c r="R25" s="41"/>
      <c r="S25" s="85"/>
      <c r="T25" s="261"/>
      <c r="V25" s="283" t="s">
        <v>3</v>
      </c>
    </row>
    <row r="26" spans="1:27">
      <c r="A26" s="982"/>
      <c r="B26" s="455"/>
      <c r="C26" s="455"/>
      <c r="D26" s="455"/>
      <c r="E26" s="983"/>
      <c r="F26" s="969"/>
      <c r="G26" s="281"/>
      <c r="H26" s="989"/>
      <c r="I26" s="990"/>
      <c r="J26" s="991"/>
      <c r="K26" s="992"/>
      <c r="L26" s="988"/>
      <c r="M26" s="34"/>
      <c r="N26" s="34"/>
      <c r="O26" s="53"/>
      <c r="P26" s="40"/>
      <c r="Q26" s="34"/>
      <c r="R26" s="34"/>
      <c r="S26" s="34"/>
    </row>
    <row r="27" spans="1:27">
      <c r="A27" s="704">
        <v>11</v>
      </c>
      <c r="B27" s="921" t="s">
        <v>372</v>
      </c>
      <c r="C27" s="455">
        <f>IX!B44</f>
        <v>20</v>
      </c>
      <c r="D27" s="455">
        <f>IX!B45</f>
        <v>12</v>
      </c>
      <c r="E27" s="951">
        <f>SUM(C27:D27)</f>
        <v>32</v>
      </c>
      <c r="F27" s="970"/>
      <c r="G27" s="284"/>
      <c r="H27" s="502"/>
      <c r="I27" s="500"/>
      <c r="J27" s="503"/>
      <c r="K27" s="435"/>
      <c r="L27" s="611"/>
      <c r="M27" s="34"/>
      <c r="N27" s="34"/>
      <c r="O27" s="53"/>
      <c r="P27" s="40"/>
      <c r="Q27" s="34"/>
      <c r="R27" s="34"/>
      <c r="S27" s="34"/>
    </row>
    <row r="28" spans="1:27" ht="16.5">
      <c r="A28" s="704">
        <v>12</v>
      </c>
      <c r="B28" s="921" t="s">
        <v>373</v>
      </c>
      <c r="C28" s="984">
        <f>IX!B94</f>
        <v>16</v>
      </c>
      <c r="D28" s="984">
        <f>IX!B95</f>
        <v>16</v>
      </c>
      <c r="E28" s="951">
        <f>SUM(C28:D28)</f>
        <v>32</v>
      </c>
      <c r="F28" s="970"/>
      <c r="G28" s="559"/>
      <c r="H28" s="502"/>
      <c r="I28" s="500"/>
      <c r="J28" s="435"/>
      <c r="K28" s="737"/>
      <c r="L28" s="612"/>
      <c r="M28" s="251"/>
      <c r="N28" s="594"/>
      <c r="O28" s="468"/>
      <c r="P28" s="601"/>
      <c r="Q28" s="602"/>
      <c r="R28" s="396"/>
      <c r="S28" s="34"/>
      <c r="T28" s="52"/>
    </row>
    <row r="29" spans="1:27" ht="16.5">
      <c r="A29" s="704">
        <v>13</v>
      </c>
      <c r="B29" s="921" t="s">
        <v>374</v>
      </c>
      <c r="C29" s="455">
        <f>IX!B144</f>
        <v>16</v>
      </c>
      <c r="D29" s="455">
        <f>IX!B145</f>
        <v>16</v>
      </c>
      <c r="E29" s="951">
        <f t="shared" ref="E29:E31" si="3">SUM(C29:D29)</f>
        <v>32</v>
      </c>
      <c r="F29" s="970"/>
      <c r="G29" s="559"/>
      <c r="H29" s="502"/>
      <c r="I29" s="500"/>
      <c r="J29" s="503"/>
      <c r="K29" s="737"/>
      <c r="L29" s="612"/>
      <c r="M29" s="579"/>
      <c r="N29" s="51"/>
      <c r="O29" s="256"/>
      <c r="P29" s="41"/>
      <c r="Q29" s="581"/>
      <c r="R29" s="34"/>
      <c r="S29" s="34"/>
    </row>
    <row r="30" spans="1:27">
      <c r="A30" s="704">
        <v>14</v>
      </c>
      <c r="B30" s="921" t="s">
        <v>375</v>
      </c>
      <c r="C30" s="455">
        <f>IX!B195</f>
        <v>17</v>
      </c>
      <c r="D30" s="455">
        <f>IX!B196</f>
        <v>11</v>
      </c>
      <c r="E30" s="951">
        <f t="shared" si="3"/>
        <v>28</v>
      </c>
      <c r="F30" s="970"/>
      <c r="G30" s="559"/>
      <c r="H30" s="620"/>
      <c r="I30" s="500"/>
      <c r="J30" s="501"/>
      <c r="K30" s="733"/>
      <c r="L30" s="611"/>
      <c r="M30" s="540"/>
      <c r="N30" s="291"/>
      <c r="O30" s="603"/>
      <c r="P30" s="430"/>
      <c r="Q30" s="604"/>
      <c r="R30" s="431"/>
      <c r="S30" s="34"/>
    </row>
    <row r="31" spans="1:27">
      <c r="A31" s="704">
        <v>15</v>
      </c>
      <c r="B31" s="921" t="s">
        <v>1255</v>
      </c>
      <c r="C31" s="455">
        <f>IX!B246</f>
        <v>15</v>
      </c>
      <c r="D31" s="455">
        <f>IX!B247</f>
        <v>10</v>
      </c>
      <c r="E31" s="951">
        <f t="shared" si="3"/>
        <v>25</v>
      </c>
      <c r="F31" s="970"/>
      <c r="G31" s="741"/>
      <c r="H31" s="442"/>
      <c r="I31" s="458"/>
      <c r="J31" s="423"/>
      <c r="K31" s="422"/>
      <c r="L31" s="742"/>
      <c r="M31" s="540"/>
      <c r="N31" s="447"/>
      <c r="O31" s="580"/>
      <c r="P31" s="430"/>
      <c r="Q31" s="430"/>
      <c r="R31" s="431"/>
    </row>
    <row r="32" spans="1:27">
      <c r="A32" s="704"/>
      <c r="B32" s="46"/>
      <c r="C32" s="455"/>
      <c r="D32" s="455"/>
      <c r="E32" s="951"/>
      <c r="F32" s="970"/>
      <c r="G32" s="281"/>
      <c r="H32" s="570"/>
      <c r="I32" s="500"/>
      <c r="J32" s="435"/>
      <c r="K32" s="425"/>
      <c r="L32" s="611"/>
      <c r="M32" s="447"/>
      <c r="N32" s="447"/>
      <c r="O32" s="605"/>
      <c r="P32" s="430"/>
      <c r="Q32" s="431"/>
      <c r="R32" s="41"/>
      <c r="S32" s="87"/>
      <c r="T32" s="51"/>
    </row>
    <row r="33" spans="1:20" ht="15.75" thickBot="1">
      <c r="A33" s="45"/>
      <c r="B33" s="46"/>
      <c r="C33" s="455"/>
      <c r="D33" s="455"/>
      <c r="E33" s="47"/>
      <c r="F33" s="972"/>
      <c r="G33" s="281"/>
      <c r="H33" s="570"/>
      <c r="I33" s="738"/>
      <c r="J33" s="500"/>
      <c r="K33" s="735"/>
      <c r="L33" s="611"/>
      <c r="M33" s="255"/>
      <c r="N33" s="447"/>
      <c r="O33" s="605"/>
      <c r="P33" s="430"/>
      <c r="Q33" s="431"/>
      <c r="R33" s="447"/>
    </row>
    <row r="34" spans="1:20" ht="17.25" thickBot="1">
      <c r="A34" s="1035" t="s">
        <v>365</v>
      </c>
      <c r="B34" s="1036"/>
      <c r="C34" s="36">
        <f>SUM(C27:C31)</f>
        <v>84</v>
      </c>
      <c r="D34" s="36">
        <f>SUM(D27:D31)</f>
        <v>65</v>
      </c>
      <c r="E34" s="37">
        <f>SUM(C34:D34)</f>
        <v>149</v>
      </c>
      <c r="F34" s="916"/>
      <c r="G34" s="281"/>
      <c r="H34" s="502"/>
      <c r="I34" s="500"/>
      <c r="J34" s="501"/>
      <c r="K34" s="425"/>
      <c r="L34" s="504"/>
      <c r="M34" s="417"/>
      <c r="N34" s="447"/>
      <c r="O34" s="588"/>
      <c r="P34" s="430"/>
      <c r="Q34" s="431"/>
      <c r="R34" s="41"/>
      <c r="S34" s="52"/>
    </row>
    <row r="35" spans="1:20" ht="17.25" thickBot="1">
      <c r="A35" s="48"/>
      <c r="B35" s="49"/>
      <c r="C35" s="49"/>
      <c r="D35" s="49"/>
      <c r="E35" s="50"/>
      <c r="F35" s="40"/>
      <c r="G35" s="281"/>
      <c r="H35" s="502"/>
      <c r="I35" s="734"/>
      <c r="J35" s="739"/>
      <c r="K35" s="425"/>
      <c r="L35" s="504"/>
      <c r="M35" s="34"/>
      <c r="N35" s="51"/>
      <c r="O35" s="606"/>
      <c r="P35" s="40"/>
      <c r="Q35" s="95"/>
      <c r="R35" s="41"/>
    </row>
    <row r="36" spans="1:20" ht="17.25" thickBot="1">
      <c r="A36" s="1035" t="s">
        <v>376</v>
      </c>
      <c r="B36" s="1036"/>
      <c r="C36" s="37">
        <f>C18+C25+C34</f>
        <v>260</v>
      </c>
      <c r="D36" s="37">
        <f>D18+D25+D34</f>
        <v>209</v>
      </c>
      <c r="E36" s="37">
        <f>E18+E25+E34</f>
        <v>469</v>
      </c>
      <c r="F36" s="916"/>
      <c r="G36" s="741"/>
      <c r="H36" s="426"/>
      <c r="I36" s="476"/>
      <c r="J36" s="472"/>
      <c r="K36" s="736"/>
      <c r="L36" s="446"/>
      <c r="M36" s="259"/>
      <c r="N36" s="584"/>
      <c r="O36" s="585"/>
      <c r="P36" s="430"/>
      <c r="Q36" s="586"/>
      <c r="R36" s="40"/>
    </row>
    <row r="37" spans="1:20">
      <c r="G37" s="771"/>
      <c r="H37" s="729"/>
      <c r="I37" s="728"/>
      <c r="J37" s="730"/>
      <c r="K37" s="729"/>
      <c r="L37" s="764"/>
      <c r="M37" s="469"/>
      <c r="N37" s="500" t="s">
        <v>150</v>
      </c>
      <c r="O37" s="501" t="s">
        <v>593</v>
      </c>
      <c r="P37" s="502" t="s">
        <v>96</v>
      </c>
      <c r="Q37" s="503" t="s">
        <v>24</v>
      </c>
      <c r="R37" s="504" t="s">
        <v>329</v>
      </c>
      <c r="T37" s="770" t="s">
        <v>1232</v>
      </c>
    </row>
    <row r="38" spans="1:20" ht="16.5">
      <c r="D38" t="s">
        <v>377</v>
      </c>
      <c r="E38" s="999" t="s">
        <v>1637</v>
      </c>
      <c r="F38" s="968"/>
      <c r="G38" s="284"/>
      <c r="H38" s="442"/>
      <c r="I38" s="488"/>
      <c r="J38" s="477"/>
      <c r="K38" s="426"/>
      <c r="L38" s="487"/>
      <c r="M38" s="431"/>
      <c r="N38" s="686" t="s">
        <v>261</v>
      </c>
      <c r="O38" s="768" t="s">
        <v>607</v>
      </c>
      <c r="P38" s="415" t="s">
        <v>173</v>
      </c>
      <c r="Q38" s="474" t="s">
        <v>3</v>
      </c>
      <c r="R38" s="475" t="s">
        <v>331</v>
      </c>
      <c r="T38" s="770" t="s">
        <v>1233</v>
      </c>
    </row>
    <row r="39" spans="1:20">
      <c r="G39" s="772"/>
      <c r="H39" s="502"/>
      <c r="I39" s="500"/>
      <c r="J39" s="503"/>
      <c r="K39" s="422"/>
      <c r="L39" s="773"/>
      <c r="M39" s="447"/>
      <c r="N39" s="469"/>
      <c r="O39" s="587"/>
      <c r="P39" s="430"/>
      <c r="Q39" s="34"/>
      <c r="R39" s="34"/>
      <c r="S39" s="70"/>
    </row>
    <row r="40" spans="1:20" ht="17.25" thickBot="1">
      <c r="G40" s="774"/>
      <c r="H40" s="775"/>
      <c r="I40" s="776"/>
      <c r="J40" s="777"/>
      <c r="K40" s="778"/>
      <c r="L40" s="779"/>
      <c r="M40" s="447"/>
      <c r="N40" s="447"/>
      <c r="O40" s="588"/>
      <c r="P40" s="430"/>
      <c r="Q40" s="34"/>
      <c r="R40" s="52"/>
      <c r="S40" s="70"/>
    </row>
    <row r="41" spans="1:20">
      <c r="M41" s="447"/>
      <c r="N41" s="586"/>
      <c r="O41" s="585"/>
      <c r="P41" s="430"/>
      <c r="Q41" s="34"/>
      <c r="R41" s="136"/>
      <c r="S41" s="70"/>
    </row>
    <row r="42" spans="1:20" ht="15.75" thickBot="1">
      <c r="G42" s="34"/>
      <c r="H42" s="1011" t="s">
        <v>378</v>
      </c>
      <c r="I42" s="1012"/>
      <c r="J42" s="1013"/>
      <c r="K42" s="34"/>
      <c r="L42" s="34"/>
      <c r="M42" s="447"/>
      <c r="N42" s="469"/>
      <c r="O42" s="587"/>
      <c r="P42" s="430"/>
      <c r="Q42" s="608"/>
      <c r="R42" s="34"/>
      <c r="S42" s="52"/>
    </row>
    <row r="43" spans="1:20" ht="16.5">
      <c r="G43" s="1000" t="s">
        <v>1612</v>
      </c>
      <c r="H43" s="1008" t="s">
        <v>131</v>
      </c>
      <c r="I43" s="1009" t="s">
        <v>159</v>
      </c>
      <c r="J43" s="1010" t="s">
        <v>3</v>
      </c>
      <c r="K43" s="1001" t="s">
        <v>1613</v>
      </c>
      <c r="L43" s="591"/>
      <c r="M43" s="447"/>
      <c r="N43" s="447"/>
      <c r="O43" s="587"/>
      <c r="P43" s="430"/>
      <c r="Q43" s="607"/>
      <c r="R43" s="34"/>
    </row>
    <row r="44" spans="1:20">
      <c r="G44" s="281"/>
      <c r="H44" s="415" t="s">
        <v>174</v>
      </c>
      <c r="I44" s="686" t="s">
        <v>253</v>
      </c>
      <c r="J44" s="991" t="s">
        <v>3</v>
      </c>
      <c r="K44" s="992" t="s">
        <v>1641</v>
      </c>
      <c r="L44" s="613"/>
      <c r="M44" s="469"/>
      <c r="N44" s="469"/>
      <c r="O44" s="138"/>
      <c r="P44" s="430"/>
      <c r="Q44" s="609"/>
      <c r="R44" s="34"/>
    </row>
    <row r="45" spans="1:20">
      <c r="G45" s="284"/>
      <c r="H45" s="570" t="s">
        <v>12</v>
      </c>
      <c r="I45" s="500" t="s">
        <v>71</v>
      </c>
      <c r="J45" s="435" t="s">
        <v>3</v>
      </c>
      <c r="K45" s="1003" t="s">
        <v>1642</v>
      </c>
      <c r="L45" s="592"/>
      <c r="M45" s="469"/>
      <c r="N45" s="447"/>
      <c r="O45" s="431"/>
      <c r="P45" s="430"/>
      <c r="Q45" s="447"/>
      <c r="R45" s="52"/>
    </row>
    <row r="46" spans="1:20" ht="16.5">
      <c r="G46" s="990"/>
      <c r="H46" s="1004"/>
      <c r="I46" s="1005"/>
      <c r="J46" s="1006"/>
      <c r="K46" s="1014"/>
      <c r="L46" s="702"/>
      <c r="M46" s="706"/>
      <c r="N46" s="447"/>
      <c r="O46" s="587"/>
      <c r="P46" s="430"/>
      <c r="Q46" s="447"/>
      <c r="R46" s="34"/>
    </row>
    <row r="47" spans="1:20">
      <c r="G47" s="284"/>
      <c r="H47" s="361"/>
      <c r="I47" s="356"/>
      <c r="J47" s="433"/>
      <c r="K47" s="472"/>
      <c r="L47" s="473"/>
      <c r="M47" s="447"/>
      <c r="N47" s="447"/>
      <c r="O47" s="587"/>
      <c r="P47" s="430"/>
      <c r="Q47" s="447"/>
      <c r="R47" s="34"/>
    </row>
    <row r="48" spans="1:20">
      <c r="G48" s="281"/>
      <c r="H48" s="617"/>
      <c r="I48" s="616"/>
      <c r="J48" s="616"/>
      <c r="K48" s="501"/>
      <c r="L48" s="611"/>
      <c r="M48" s="398"/>
      <c r="N48" s="416"/>
      <c r="O48" s="255"/>
      <c r="P48" s="417"/>
      <c r="Q48" s="255"/>
    </row>
    <row r="49" spans="1:18">
      <c r="G49" s="281"/>
      <c r="H49" s="620"/>
      <c r="I49" s="634"/>
      <c r="J49" s="435"/>
      <c r="K49" s="501"/>
      <c r="L49" s="611"/>
      <c r="O49" s="92" t="s">
        <v>1181</v>
      </c>
    </row>
    <row r="50" spans="1:18" ht="17.25" thickBot="1">
      <c r="G50" s="410"/>
      <c r="H50" s="583"/>
      <c r="I50" s="589"/>
      <c r="J50" s="265"/>
      <c r="K50" s="590"/>
      <c r="L50" s="412"/>
      <c r="O50" s="628" t="s">
        <v>380</v>
      </c>
    </row>
    <row r="51" spans="1:18" ht="32.25" customHeight="1">
      <c r="G51" s="447"/>
      <c r="I51" s="634"/>
      <c r="J51" s="52"/>
      <c r="K51" s="469" t="s">
        <v>1223</v>
      </c>
      <c r="L51" s="705"/>
      <c r="M51" s="256"/>
      <c r="N51" s="52"/>
      <c r="O51" s="628" t="s">
        <v>1182</v>
      </c>
      <c r="P51" s="41"/>
      <c r="Q51" s="273"/>
    </row>
    <row r="52" spans="1:18">
      <c r="A52" s="1018" t="s">
        <v>0</v>
      </c>
      <c r="B52" s="1018"/>
      <c r="C52" s="1018"/>
      <c r="D52" s="1018"/>
      <c r="E52" s="1018"/>
      <c r="F52" s="911"/>
      <c r="G52" s="447"/>
      <c r="H52" s="586"/>
      <c r="I52" s="585"/>
      <c r="J52" s="430"/>
      <c r="K52" t="s">
        <v>382</v>
      </c>
      <c r="L52" s="136"/>
    </row>
    <row r="53" spans="1:18">
      <c r="A53" s="1018" t="s">
        <v>1</v>
      </c>
      <c r="B53" s="1018"/>
      <c r="C53" s="1018"/>
      <c r="D53" s="1018"/>
      <c r="E53" s="1018"/>
      <c r="F53" s="911"/>
      <c r="G53" s="447"/>
      <c r="H53" s="469"/>
      <c r="I53" s="587"/>
      <c r="J53" s="430"/>
      <c r="L53" s="34"/>
    </row>
    <row r="54" spans="1:18">
      <c r="A54" s="1018" t="s">
        <v>4</v>
      </c>
      <c r="B54" s="1018"/>
      <c r="C54" s="1018"/>
      <c r="D54" s="1018"/>
      <c r="E54" s="1018"/>
      <c r="F54" s="911"/>
      <c r="G54" s="447"/>
      <c r="H54" s="447"/>
      <c r="I54" s="587"/>
      <c r="J54" s="430"/>
      <c r="K54" s="92" t="s">
        <v>1208</v>
      </c>
      <c r="L54" s="34"/>
    </row>
    <row r="55" spans="1:18">
      <c r="A55" s="1019" t="s">
        <v>6</v>
      </c>
      <c r="B55" s="1019"/>
      <c r="C55" s="1019"/>
      <c r="D55" s="1019"/>
      <c r="E55" s="1019"/>
      <c r="F55" s="912"/>
      <c r="G55" s="469"/>
      <c r="H55" s="469"/>
      <c r="I55" s="138"/>
      <c r="J55" s="430"/>
      <c r="K55" s="731" t="s">
        <v>637</v>
      </c>
      <c r="L55" s="34"/>
    </row>
    <row r="56" spans="1:18" ht="15.75" thickBot="1">
      <c r="A56" s="1020" t="s">
        <v>7</v>
      </c>
      <c r="B56" s="1020"/>
      <c r="C56" s="1020"/>
      <c r="D56" s="1020"/>
      <c r="E56" s="1020"/>
      <c r="F56" s="918"/>
      <c r="K56" s="731" t="s">
        <v>1222</v>
      </c>
    </row>
    <row r="57" spans="1:18" ht="15.75" thickTop="1">
      <c r="E57" s="16"/>
      <c r="F57" s="16"/>
    </row>
    <row r="58" spans="1:18" ht="15.75">
      <c r="A58" s="1021" t="s">
        <v>353</v>
      </c>
      <c r="B58" s="1021"/>
      <c r="C58" s="1021"/>
      <c r="D58" s="1021"/>
      <c r="E58" s="1021"/>
      <c r="F58" s="914"/>
    </row>
    <row r="59" spans="1:18" ht="15.75">
      <c r="A59" s="1022" t="s">
        <v>4</v>
      </c>
      <c r="B59" s="1022"/>
      <c r="C59" s="1022"/>
      <c r="D59" s="1022"/>
      <c r="E59" s="1022"/>
      <c r="F59" s="915"/>
    </row>
    <row r="60" spans="1:18" ht="16.5" thickBot="1">
      <c r="A60" s="1037" t="s">
        <v>1256</v>
      </c>
      <c r="B60" s="1037"/>
      <c r="C60" s="1037"/>
      <c r="D60" s="1037"/>
      <c r="E60" s="1037"/>
      <c r="F60" s="917"/>
      <c r="M60" s="410"/>
      <c r="N60" s="264"/>
      <c r="O60" s="411"/>
      <c r="P60" s="265"/>
      <c r="Q60" s="264"/>
      <c r="R60" s="412"/>
    </row>
    <row r="61" spans="1:18" ht="15.75" thickBot="1">
      <c r="N61" s="70"/>
      <c r="O61" s="82"/>
    </row>
    <row r="62" spans="1:18" ht="16.5">
      <c r="A62" s="35" t="s">
        <v>356</v>
      </c>
      <c r="B62" s="36" t="s">
        <v>357</v>
      </c>
      <c r="C62" s="36" t="s">
        <v>24</v>
      </c>
      <c r="D62" s="36" t="s">
        <v>3</v>
      </c>
      <c r="E62" s="37" t="s">
        <v>358</v>
      </c>
      <c r="F62" s="916"/>
      <c r="N62" s="94"/>
      <c r="O62" s="53"/>
      <c r="P62" s="95"/>
      <c r="Q62" s="413" t="s">
        <v>656</v>
      </c>
    </row>
    <row r="63" spans="1:18">
      <c r="A63" s="19">
        <v>1</v>
      </c>
      <c r="B63" s="38" t="s">
        <v>360</v>
      </c>
      <c r="C63" s="38">
        <v>20</v>
      </c>
      <c r="D63" s="38">
        <v>12</v>
      </c>
      <c r="E63" s="39">
        <f>SUM(C63:D63)</f>
        <v>32</v>
      </c>
      <c r="F63" s="40"/>
      <c r="Q63" t="s">
        <v>657</v>
      </c>
    </row>
    <row r="64" spans="1:18">
      <c r="A64" s="21">
        <v>2</v>
      </c>
      <c r="B64" s="42" t="s">
        <v>361</v>
      </c>
      <c r="C64" s="38">
        <v>20</v>
      </c>
      <c r="D64" s="38">
        <v>12</v>
      </c>
      <c r="E64" s="43">
        <f t="shared" ref="E64:E67" si="4">SUM(C64:D64)</f>
        <v>32</v>
      </c>
      <c r="F64" s="40"/>
    </row>
    <row r="65" spans="1:17">
      <c r="A65" s="21">
        <v>3</v>
      </c>
      <c r="B65" s="42" t="s">
        <v>362</v>
      </c>
      <c r="C65" s="38">
        <v>20</v>
      </c>
      <c r="D65" s="38">
        <v>12</v>
      </c>
      <c r="E65" s="43">
        <f t="shared" si="4"/>
        <v>32</v>
      </c>
      <c r="F65" s="40"/>
    </row>
    <row r="66" spans="1:17">
      <c r="A66" s="21">
        <v>4</v>
      </c>
      <c r="B66" s="42" t="s">
        <v>363</v>
      </c>
      <c r="C66" s="38">
        <v>19</v>
      </c>
      <c r="D66" s="38">
        <v>13</v>
      </c>
      <c r="E66" s="43">
        <f t="shared" si="4"/>
        <v>32</v>
      </c>
      <c r="F66" s="40"/>
      <c r="Q66" s="92" t="s">
        <v>636</v>
      </c>
    </row>
    <row r="67" spans="1:17">
      <c r="A67" s="45">
        <v>5</v>
      </c>
      <c r="B67" s="46" t="s">
        <v>364</v>
      </c>
      <c r="C67" s="38">
        <v>20</v>
      </c>
      <c r="D67" s="38">
        <v>12</v>
      </c>
      <c r="E67" s="43">
        <f t="shared" si="4"/>
        <v>32</v>
      </c>
      <c r="F67" s="40"/>
      <c r="Q67" s="414" t="s">
        <v>658</v>
      </c>
    </row>
    <row r="68" spans="1:17">
      <c r="A68" s="45"/>
      <c r="B68" s="544"/>
      <c r="C68" s="38"/>
      <c r="D68" s="38"/>
      <c r="E68" s="43"/>
      <c r="F68" s="40"/>
      <c r="Q68" s="414" t="s">
        <v>638</v>
      </c>
    </row>
    <row r="69" spans="1:17">
      <c r="A69" s="1035" t="s">
        <v>365</v>
      </c>
      <c r="B69" s="1036"/>
      <c r="C69" s="36">
        <f>SUM(C63:C68)</f>
        <v>99</v>
      </c>
      <c r="D69" s="36">
        <f>SUM(D63:D68)</f>
        <v>61</v>
      </c>
      <c r="E69" s="37">
        <f t="shared" ref="E69:E71" si="5">SUM(C69:D69)</f>
        <v>160</v>
      </c>
      <c r="F69" s="916"/>
    </row>
    <row r="70" spans="1:17">
      <c r="A70" s="19">
        <v>6</v>
      </c>
      <c r="B70" s="42" t="s">
        <v>366</v>
      </c>
      <c r="C70" s="38">
        <v>16</v>
      </c>
      <c r="D70" s="38">
        <v>16</v>
      </c>
      <c r="E70" s="43">
        <f t="shared" si="5"/>
        <v>32</v>
      </c>
      <c r="F70" s="40"/>
    </row>
    <row r="71" spans="1:17">
      <c r="A71" s="21">
        <v>7</v>
      </c>
      <c r="B71" s="42" t="s">
        <v>367</v>
      </c>
      <c r="C71" s="38">
        <v>16</v>
      </c>
      <c r="D71" s="38">
        <v>16</v>
      </c>
      <c r="E71" s="43">
        <f t="shared" si="5"/>
        <v>32</v>
      </c>
      <c r="F71" s="40"/>
    </row>
    <row r="72" spans="1:17">
      <c r="A72" s="21">
        <v>8</v>
      </c>
      <c r="B72" s="42" t="s">
        <v>369</v>
      </c>
      <c r="C72" s="38">
        <v>16</v>
      </c>
      <c r="D72" s="38">
        <v>16</v>
      </c>
      <c r="E72" s="43">
        <f t="shared" ref="E72:E74" si="6">SUM(C72:D72)</f>
        <v>32</v>
      </c>
      <c r="F72" s="40"/>
    </row>
    <row r="73" spans="1:17">
      <c r="A73" s="21">
        <v>9</v>
      </c>
      <c r="B73" s="42" t="s">
        <v>370</v>
      </c>
      <c r="C73" s="38">
        <v>15</v>
      </c>
      <c r="D73" s="38">
        <v>17</v>
      </c>
      <c r="E73" s="43">
        <f t="shared" si="6"/>
        <v>32</v>
      </c>
      <c r="F73" s="40"/>
    </row>
    <row r="74" spans="1:17">
      <c r="A74" s="21">
        <v>10</v>
      </c>
      <c r="B74" s="543" t="s">
        <v>384</v>
      </c>
      <c r="C74" s="38">
        <v>14</v>
      </c>
      <c r="D74" s="38">
        <v>18</v>
      </c>
      <c r="E74" s="43">
        <f t="shared" si="6"/>
        <v>32</v>
      </c>
      <c r="F74" s="40"/>
    </row>
    <row r="75" spans="1:17" ht="15.75" thickBot="1">
      <c r="A75" s="21"/>
      <c r="B75" s="42"/>
      <c r="C75" s="38"/>
      <c r="D75" s="38"/>
      <c r="E75" s="43"/>
      <c r="F75" s="40"/>
    </row>
    <row r="76" spans="1:17">
      <c r="A76" s="1035" t="s">
        <v>365</v>
      </c>
      <c r="B76" s="1036"/>
      <c r="C76" s="36">
        <f>SUM(C70:C75)</f>
        <v>77</v>
      </c>
      <c r="D76" s="36">
        <f>SUM(D70:D75)</f>
        <v>83</v>
      </c>
      <c r="E76" s="37">
        <f t="shared" ref="E76" si="7">SUM(C76:D76)</f>
        <v>160</v>
      </c>
      <c r="F76" s="916"/>
    </row>
    <row r="77" spans="1:17">
      <c r="A77" s="19"/>
      <c r="B77" s="38"/>
      <c r="C77" s="38"/>
      <c r="D77" s="38"/>
      <c r="E77" s="39"/>
      <c r="F77" s="40"/>
    </row>
    <row r="78" spans="1:17">
      <c r="A78" s="21">
        <v>11</v>
      </c>
      <c r="B78" s="42" t="s">
        <v>372</v>
      </c>
      <c r="C78" s="38">
        <v>20</v>
      </c>
      <c r="D78" s="38">
        <v>12</v>
      </c>
      <c r="E78" s="43">
        <f>SUM(C78:D78)</f>
        <v>32</v>
      </c>
      <c r="F78" s="40"/>
    </row>
    <row r="79" spans="1:17">
      <c r="A79" s="21">
        <v>12</v>
      </c>
      <c r="B79" s="42" t="s">
        <v>373</v>
      </c>
      <c r="C79" s="38">
        <v>16</v>
      </c>
      <c r="D79" s="38">
        <v>16</v>
      </c>
      <c r="E79" s="43">
        <f t="shared" ref="E79:E82" si="8">SUM(C79:D79)</f>
        <v>32</v>
      </c>
      <c r="F79" s="40"/>
    </row>
    <row r="80" spans="1:17">
      <c r="A80" s="21">
        <v>13</v>
      </c>
      <c r="B80" s="42" t="s">
        <v>374</v>
      </c>
      <c r="C80" s="38">
        <v>16</v>
      </c>
      <c r="D80" s="38">
        <v>16</v>
      </c>
      <c r="E80" s="43">
        <f t="shared" si="8"/>
        <v>32</v>
      </c>
      <c r="F80" s="40"/>
    </row>
    <row r="81" spans="1:7">
      <c r="A81" s="21">
        <v>14</v>
      </c>
      <c r="B81" s="42" t="s">
        <v>375</v>
      </c>
      <c r="C81" s="38">
        <v>17</v>
      </c>
      <c r="D81" s="38">
        <v>11</v>
      </c>
      <c r="E81" s="43">
        <f t="shared" si="8"/>
        <v>28</v>
      </c>
      <c r="F81" s="40"/>
    </row>
    <row r="82" spans="1:7">
      <c r="A82" s="21">
        <v>15</v>
      </c>
      <c r="B82" s="1016" t="s">
        <v>1255</v>
      </c>
      <c r="C82" s="38">
        <v>15</v>
      </c>
      <c r="D82" s="38">
        <v>10</v>
      </c>
      <c r="E82" s="43">
        <f t="shared" si="8"/>
        <v>25</v>
      </c>
      <c r="F82" s="40"/>
    </row>
    <row r="83" spans="1:7">
      <c r="A83" s="45"/>
      <c r="B83" s="46"/>
      <c r="C83" s="38"/>
      <c r="D83" s="38"/>
      <c r="E83" s="43"/>
      <c r="F83" s="40"/>
    </row>
    <row r="84" spans="1:7">
      <c r="A84" s="45"/>
      <c r="B84" s="46"/>
      <c r="C84" s="38"/>
      <c r="D84" s="38"/>
      <c r="E84" s="47"/>
      <c r="F84" s="40"/>
    </row>
    <row r="85" spans="1:7">
      <c r="A85" s="1035" t="s">
        <v>365</v>
      </c>
      <c r="B85" s="1036"/>
      <c r="C85" s="36">
        <f>SUM(C78:C84)</f>
        <v>84</v>
      </c>
      <c r="D85" s="36">
        <f>SUM(D78:D84)</f>
        <v>65</v>
      </c>
      <c r="E85" s="37">
        <f t="shared" ref="E85" si="9">SUM(C85:D85)</f>
        <v>149</v>
      </c>
      <c r="F85" s="916"/>
    </row>
    <row r="86" spans="1:7">
      <c r="A86" s="48"/>
      <c r="B86" s="49"/>
      <c r="C86" s="49"/>
      <c r="D86" s="49"/>
      <c r="E86" s="50"/>
      <c r="F86" s="40"/>
    </row>
    <row r="87" spans="1:7" ht="15.75" thickBot="1">
      <c r="A87" s="1035" t="s">
        <v>376</v>
      </c>
      <c r="B87" s="1036"/>
      <c r="C87" s="90">
        <f>C69+C76+C85</f>
        <v>260</v>
      </c>
      <c r="D87" s="36">
        <f>D69+D76+D85</f>
        <v>209</v>
      </c>
      <c r="E87" s="91">
        <f>E69+E76+E85</f>
        <v>469</v>
      </c>
      <c r="F87" s="916"/>
    </row>
    <row r="88" spans="1:7">
      <c r="D88" s="1017" t="s">
        <v>1643</v>
      </c>
    </row>
    <row r="89" spans="1:7">
      <c r="D89" s="1017" t="s">
        <v>382</v>
      </c>
    </row>
    <row r="92" spans="1:7">
      <c r="D92" s="92" t="s">
        <v>1208</v>
      </c>
    </row>
    <row r="93" spans="1:7">
      <c r="D93" t="s">
        <v>637</v>
      </c>
    </row>
    <row r="94" spans="1:7">
      <c r="D94" t="s">
        <v>1209</v>
      </c>
    </row>
    <row r="95" spans="1:7" ht="15.75" thickBot="1">
      <c r="A95" t="s">
        <v>383</v>
      </c>
    </row>
    <row r="96" spans="1:7" ht="16.5">
      <c r="A96" s="545" t="s">
        <v>655</v>
      </c>
      <c r="B96" s="409" t="s">
        <v>648</v>
      </c>
      <c r="C96" s="363" t="s">
        <v>654</v>
      </c>
      <c r="D96" s="364" t="s">
        <v>375</v>
      </c>
      <c r="E96" s="353" t="s">
        <v>649</v>
      </c>
      <c r="F96" s="602"/>
      <c r="G96" s="396"/>
    </row>
    <row r="97" spans="1:12">
      <c r="A97" s="284" t="s">
        <v>655</v>
      </c>
      <c r="B97" s="478" t="s">
        <v>1074</v>
      </c>
      <c r="C97" s="479" t="s">
        <v>1076</v>
      </c>
      <c r="D97" s="433" t="s">
        <v>373</v>
      </c>
      <c r="E97" s="490" t="s">
        <v>1075</v>
      </c>
      <c r="F97" s="973"/>
      <c r="G97" s="431"/>
    </row>
    <row r="98" spans="1:12">
      <c r="A98" s="546" t="s">
        <v>655</v>
      </c>
      <c r="B98" s="495" t="s">
        <v>652</v>
      </c>
      <c r="C98" s="494" t="s">
        <v>653</v>
      </c>
      <c r="D98" s="550" t="s">
        <v>366</v>
      </c>
      <c r="E98" s="547" t="s">
        <v>649</v>
      </c>
      <c r="F98" s="421"/>
      <c r="G98" s="34"/>
    </row>
    <row r="99" spans="1:12">
      <c r="A99" s="284" t="s">
        <v>1079</v>
      </c>
      <c r="B99" s="422" t="s">
        <v>1077</v>
      </c>
      <c r="C99" s="423" t="s">
        <v>1078</v>
      </c>
      <c r="D99" s="433" t="s">
        <v>384</v>
      </c>
      <c r="E99" s="549" t="s">
        <v>1080</v>
      </c>
      <c r="F99" s="974"/>
      <c r="G99" s="430"/>
    </row>
    <row r="100" spans="1:12">
      <c r="A100" s="284" t="s">
        <v>1084</v>
      </c>
      <c r="B100" s="491" t="s">
        <v>1081</v>
      </c>
      <c r="C100" s="492" t="s">
        <v>1083</v>
      </c>
      <c r="D100" s="433" t="s">
        <v>384</v>
      </c>
      <c r="E100" s="548" t="s">
        <v>1082</v>
      </c>
      <c r="F100" s="594"/>
      <c r="G100" s="41"/>
      <c r="I100" s="432"/>
      <c r="K100" s="443"/>
      <c r="L100" s="487"/>
    </row>
    <row r="101" spans="1:12">
      <c r="A101" s="560" t="s">
        <v>1118</v>
      </c>
      <c r="B101" s="561" t="s">
        <v>1117</v>
      </c>
      <c r="C101" s="562" t="s">
        <v>1116</v>
      </c>
      <c r="D101" s="563" t="s">
        <v>374</v>
      </c>
      <c r="E101" s="564" t="s">
        <v>1161</v>
      </c>
      <c r="F101" s="396"/>
      <c r="G101" s="34"/>
    </row>
    <row r="102" spans="1:12" ht="15.75" thickBot="1">
      <c r="A102" s="565" t="s">
        <v>1163</v>
      </c>
      <c r="B102" s="566" t="s">
        <v>524</v>
      </c>
      <c r="C102" s="567" t="s">
        <v>316</v>
      </c>
      <c r="D102" s="569" t="s">
        <v>384</v>
      </c>
      <c r="E102" s="568" t="s">
        <v>1164</v>
      </c>
      <c r="F102" s="51"/>
    </row>
    <row r="103" spans="1:12" ht="27.75" customHeight="1"/>
    <row r="104" spans="1:12">
      <c r="A104" s="1018" t="s">
        <v>0</v>
      </c>
      <c r="B104" s="1018"/>
      <c r="C104" s="1018"/>
      <c r="D104" s="1018"/>
      <c r="E104" s="1018"/>
      <c r="F104" s="911"/>
    </row>
    <row r="105" spans="1:12">
      <c r="A105" s="1018" t="s">
        <v>1</v>
      </c>
      <c r="B105" s="1018"/>
      <c r="C105" s="1018"/>
      <c r="D105" s="1018"/>
      <c r="E105" s="1018"/>
      <c r="F105" s="911"/>
    </row>
    <row r="106" spans="1:12">
      <c r="A106" s="1018" t="s">
        <v>4</v>
      </c>
      <c r="B106" s="1018"/>
      <c r="C106" s="1018"/>
      <c r="D106" s="1018"/>
      <c r="E106" s="1018"/>
      <c r="F106" s="911"/>
    </row>
    <row r="107" spans="1:12">
      <c r="A107" s="1019" t="s">
        <v>6</v>
      </c>
      <c r="B107" s="1019"/>
      <c r="C107" s="1019"/>
      <c r="D107" s="1019"/>
      <c r="E107" s="1019"/>
      <c r="F107" s="912"/>
    </row>
    <row r="108" spans="1:12">
      <c r="A108" s="1020" t="s">
        <v>7</v>
      </c>
      <c r="B108" s="1020"/>
      <c r="C108" s="1020"/>
      <c r="D108" s="1020"/>
      <c r="E108" s="1020"/>
      <c r="F108" s="918"/>
    </row>
    <row r="109" spans="1:12">
      <c r="E109" s="16"/>
      <c r="F109" s="16"/>
    </row>
    <row r="110" spans="1:12" ht="15.75">
      <c r="A110" s="1021" t="s">
        <v>353</v>
      </c>
      <c r="B110" s="1021"/>
      <c r="C110" s="1021"/>
      <c r="D110" s="1021"/>
      <c r="E110" s="1021"/>
      <c r="F110" s="914"/>
    </row>
    <row r="111" spans="1:12" ht="15.75">
      <c r="A111" s="1022" t="s">
        <v>4</v>
      </c>
      <c r="B111" s="1022"/>
      <c r="C111" s="1022"/>
      <c r="D111" s="1022"/>
      <c r="E111" s="1022"/>
      <c r="F111" s="915"/>
    </row>
    <row r="112" spans="1:12" ht="15.75">
      <c r="A112" s="1037" t="s">
        <v>1256</v>
      </c>
      <c r="B112" s="1037"/>
      <c r="C112" s="1037"/>
      <c r="D112" s="1037"/>
      <c r="E112" s="1037"/>
      <c r="F112" s="917"/>
    </row>
    <row r="113" spans="1:8" ht="15.75" thickBot="1"/>
    <row r="114" spans="1:8" ht="15.75" thickBot="1">
      <c r="A114" s="35" t="s">
        <v>356</v>
      </c>
      <c r="B114" s="36" t="s">
        <v>357</v>
      </c>
      <c r="C114" s="36" t="s">
        <v>24</v>
      </c>
      <c r="D114" s="36" t="s">
        <v>3</v>
      </c>
      <c r="E114" s="37" t="s">
        <v>358</v>
      </c>
      <c r="F114" s="916"/>
    </row>
    <row r="115" spans="1:8">
      <c r="A115" s="19">
        <v>1</v>
      </c>
      <c r="B115" s="38" t="s">
        <v>360</v>
      </c>
      <c r="C115" s="38">
        <v>15</v>
      </c>
      <c r="D115" s="38">
        <v>15</v>
      </c>
      <c r="E115" s="39">
        <f>SUM(C115:D115)</f>
        <v>30</v>
      </c>
      <c r="F115" s="40"/>
    </row>
    <row r="116" spans="1:8">
      <c r="A116" s="21">
        <v>2</v>
      </c>
      <c r="B116" s="42" t="s">
        <v>361</v>
      </c>
      <c r="C116" s="38">
        <v>11</v>
      </c>
      <c r="D116" s="38">
        <v>16</v>
      </c>
      <c r="E116" s="43">
        <f t="shared" ref="E116:E126" si="10">SUM(C116:D116)</f>
        <v>27</v>
      </c>
      <c r="F116" s="40"/>
    </row>
    <row r="117" spans="1:8">
      <c r="A117" s="21">
        <v>3</v>
      </c>
      <c r="B117" s="42" t="s">
        <v>362</v>
      </c>
      <c r="C117" s="38">
        <v>12</v>
      </c>
      <c r="D117" s="38">
        <v>15</v>
      </c>
      <c r="E117" s="43">
        <f t="shared" si="10"/>
        <v>27</v>
      </c>
      <c r="F117" s="40"/>
    </row>
    <row r="118" spans="1:8">
      <c r="A118" s="21">
        <v>4</v>
      </c>
      <c r="B118" s="42" t="s">
        <v>363</v>
      </c>
      <c r="C118" s="38">
        <v>13</v>
      </c>
      <c r="D118" s="38">
        <v>14</v>
      </c>
      <c r="E118" s="43">
        <f t="shared" si="10"/>
        <v>27</v>
      </c>
      <c r="F118" s="40"/>
      <c r="H118" s="70"/>
    </row>
    <row r="119" spans="1:8">
      <c r="A119" s="45">
        <v>5</v>
      </c>
      <c r="B119" s="46" t="s">
        <v>364</v>
      </c>
      <c r="C119" s="38">
        <v>14</v>
      </c>
      <c r="D119" s="38">
        <v>12</v>
      </c>
      <c r="E119" s="43">
        <f t="shared" si="10"/>
        <v>26</v>
      </c>
      <c r="F119" s="40"/>
    </row>
    <row r="120" spans="1:8" ht="15.75" thickBot="1">
      <c r="A120" s="45">
        <v>6</v>
      </c>
      <c r="B120" s="544" t="s">
        <v>1065</v>
      </c>
      <c r="C120" s="38">
        <v>12</v>
      </c>
      <c r="D120" s="38">
        <v>15</v>
      </c>
      <c r="E120" s="43">
        <f t="shared" si="10"/>
        <v>27</v>
      </c>
      <c r="F120" s="40"/>
    </row>
    <row r="121" spans="1:8" ht="15.75" thickBot="1">
      <c r="A121" s="1035" t="s">
        <v>365</v>
      </c>
      <c r="B121" s="1036"/>
      <c r="C121" s="36">
        <f>SUM(C115:C120)</f>
        <v>77</v>
      </c>
      <c r="D121" s="36">
        <f>SUM(D115:D120)</f>
        <v>87</v>
      </c>
      <c r="E121" s="37">
        <f t="shared" si="10"/>
        <v>164</v>
      </c>
      <c r="F121" s="916"/>
    </row>
    <row r="122" spans="1:8">
      <c r="A122" s="19">
        <v>7</v>
      </c>
      <c r="B122" s="42" t="s">
        <v>366</v>
      </c>
      <c r="C122" s="38">
        <v>16</v>
      </c>
      <c r="D122" s="38">
        <v>16</v>
      </c>
      <c r="E122" s="43">
        <f t="shared" si="10"/>
        <v>32</v>
      </c>
      <c r="F122" s="40"/>
    </row>
    <row r="123" spans="1:8">
      <c r="A123" s="21">
        <v>8</v>
      </c>
      <c r="B123" s="42" t="s">
        <v>367</v>
      </c>
      <c r="C123" s="38">
        <v>18</v>
      </c>
      <c r="D123" s="38">
        <v>14</v>
      </c>
      <c r="E123" s="43">
        <f t="shared" si="10"/>
        <v>32</v>
      </c>
      <c r="F123" s="40"/>
      <c r="H123" s="70"/>
    </row>
    <row r="124" spans="1:8">
      <c r="A124" s="21">
        <v>9</v>
      </c>
      <c r="B124" s="42" t="s">
        <v>369</v>
      </c>
      <c r="C124" s="38">
        <v>18</v>
      </c>
      <c r="D124" s="38">
        <v>14</v>
      </c>
      <c r="E124" s="43">
        <f t="shared" si="10"/>
        <v>32</v>
      </c>
      <c r="F124" s="40"/>
      <c r="H124" s="70"/>
    </row>
    <row r="125" spans="1:8">
      <c r="A125" s="21">
        <v>10</v>
      </c>
      <c r="B125" s="42" t="s">
        <v>370</v>
      </c>
      <c r="C125" s="38">
        <v>18</v>
      </c>
      <c r="D125" s="38">
        <v>14</v>
      </c>
      <c r="E125" s="43">
        <f t="shared" si="10"/>
        <v>32</v>
      </c>
      <c r="F125" s="40"/>
    </row>
    <row r="126" spans="1:8">
      <c r="A126" s="21">
        <v>11</v>
      </c>
      <c r="B126" s="543" t="s">
        <v>384</v>
      </c>
      <c r="C126" s="38">
        <v>13</v>
      </c>
      <c r="D126" s="38">
        <v>16</v>
      </c>
      <c r="E126" s="43">
        <f t="shared" si="10"/>
        <v>29</v>
      </c>
      <c r="F126" s="40"/>
    </row>
    <row r="127" spans="1:8" ht="15.75" thickBot="1">
      <c r="A127" s="21"/>
      <c r="B127" s="42"/>
      <c r="C127" s="38"/>
      <c r="D127" s="38"/>
      <c r="E127" s="43"/>
      <c r="F127" s="40"/>
    </row>
    <row r="128" spans="1:8" ht="15.75" thickBot="1">
      <c r="A128" s="1035" t="s">
        <v>365</v>
      </c>
      <c r="B128" s="1036"/>
      <c r="C128" s="36">
        <f>SUM(C122:C127)</f>
        <v>83</v>
      </c>
      <c r="D128" s="36">
        <f>SUM(D122:D127)</f>
        <v>74</v>
      </c>
      <c r="E128" s="37">
        <f t="shared" ref="E128" si="11">SUM(C128:D128)</f>
        <v>157</v>
      </c>
      <c r="F128" s="916"/>
    </row>
    <row r="129" spans="1:8">
      <c r="A129" s="19"/>
      <c r="B129" s="38"/>
      <c r="C129" s="38"/>
      <c r="D129" s="38"/>
      <c r="E129" s="39"/>
      <c r="F129" s="40"/>
    </row>
    <row r="130" spans="1:8">
      <c r="A130" s="21">
        <v>12</v>
      </c>
      <c r="B130" s="42" t="s">
        <v>372</v>
      </c>
      <c r="C130" s="38">
        <v>18</v>
      </c>
      <c r="D130" s="38">
        <v>14</v>
      </c>
      <c r="E130" s="43">
        <f>SUM(C130:D130)</f>
        <v>32</v>
      </c>
      <c r="F130" s="40"/>
    </row>
    <row r="131" spans="1:8">
      <c r="A131" s="21">
        <v>13</v>
      </c>
      <c r="B131" s="42" t="s">
        <v>373</v>
      </c>
      <c r="C131" s="38">
        <v>12</v>
      </c>
      <c r="D131" s="38">
        <v>14</v>
      </c>
      <c r="E131" s="43">
        <f t="shared" ref="E131:E133" si="12">SUM(C131:D131)</f>
        <v>26</v>
      </c>
      <c r="F131" s="40"/>
    </row>
    <row r="132" spans="1:8">
      <c r="A132" s="21">
        <v>14</v>
      </c>
      <c r="B132" s="42" t="s">
        <v>374</v>
      </c>
      <c r="C132" s="38">
        <v>11</v>
      </c>
      <c r="D132" s="38">
        <v>15</v>
      </c>
      <c r="E132" s="43">
        <f t="shared" si="12"/>
        <v>26</v>
      </c>
      <c r="F132" s="40"/>
    </row>
    <row r="133" spans="1:8">
      <c r="A133" s="21">
        <v>15</v>
      </c>
      <c r="B133" s="42" t="s">
        <v>375</v>
      </c>
      <c r="C133" s="38">
        <v>11</v>
      </c>
      <c r="D133" s="38">
        <v>14</v>
      </c>
      <c r="E133" s="43">
        <f t="shared" si="12"/>
        <v>25</v>
      </c>
      <c r="F133" s="40"/>
      <c r="H133" s="70"/>
    </row>
    <row r="134" spans="1:8">
      <c r="A134" s="21"/>
      <c r="B134" s="42"/>
      <c r="C134" s="38"/>
      <c r="D134" s="38"/>
      <c r="E134" s="43"/>
      <c r="F134" s="40"/>
    </row>
    <row r="135" spans="1:8">
      <c r="A135" s="45"/>
      <c r="B135" s="46"/>
      <c r="C135" s="38"/>
      <c r="D135" s="38"/>
      <c r="E135" s="43"/>
      <c r="F135" s="40"/>
    </row>
    <row r="136" spans="1:8" ht="15.75" thickBot="1">
      <c r="A136" s="45"/>
      <c r="B136" s="46"/>
      <c r="C136" s="38"/>
      <c r="D136" s="38"/>
      <c r="E136" s="47"/>
      <c r="F136" s="40"/>
    </row>
    <row r="137" spans="1:8" ht="15.75" thickBot="1">
      <c r="A137" s="1035" t="s">
        <v>365</v>
      </c>
      <c r="B137" s="1036"/>
      <c r="C137" s="36">
        <f>SUM(C130:C136)</f>
        <v>52</v>
      </c>
      <c r="D137" s="36">
        <f>SUM(D130:D136)</f>
        <v>57</v>
      </c>
      <c r="E137" s="37">
        <f t="shared" ref="E137" si="13">SUM(C137:D137)</f>
        <v>109</v>
      </c>
      <c r="F137" s="916"/>
    </row>
    <row r="138" spans="1:8" ht="15.75" thickBot="1">
      <c r="A138" s="48"/>
      <c r="B138" s="49"/>
      <c r="C138" s="49"/>
      <c r="D138" s="49"/>
      <c r="E138" s="50"/>
      <c r="F138" s="40"/>
    </row>
    <row r="139" spans="1:8" ht="15.75" thickBot="1">
      <c r="A139" s="1035" t="s">
        <v>376</v>
      </c>
      <c r="B139" s="1036"/>
      <c r="C139" s="90">
        <f>C121+C128+C137</f>
        <v>212</v>
      </c>
      <c r="D139" s="36">
        <f>D121+D128+D137</f>
        <v>218</v>
      </c>
      <c r="E139" s="91">
        <f>E121+E128+E137</f>
        <v>430</v>
      </c>
      <c r="F139" s="916"/>
    </row>
    <row r="140" spans="1:8">
      <c r="D140" s="627" t="s">
        <v>1180</v>
      </c>
    </row>
    <row r="141" spans="1:8">
      <c r="D141" s="1017" t="s">
        <v>382</v>
      </c>
    </row>
    <row r="144" spans="1:8">
      <c r="D144" s="92" t="s">
        <v>1208</v>
      </c>
    </row>
    <row r="145" spans="1:7">
      <c r="D145" t="s">
        <v>637</v>
      </c>
    </row>
    <row r="146" spans="1:7">
      <c r="D146" t="s">
        <v>1209</v>
      </c>
    </row>
    <row r="147" spans="1:7" ht="15.75" thickBot="1">
      <c r="A147" t="s">
        <v>383</v>
      </c>
    </row>
    <row r="148" spans="1:7">
      <c r="A148" s="670" t="s">
        <v>1178</v>
      </c>
      <c r="B148" s="667" t="s">
        <v>803</v>
      </c>
      <c r="C148" s="671" t="s">
        <v>889</v>
      </c>
      <c r="D148" s="668" t="s">
        <v>24</v>
      </c>
      <c r="E148" s="669" t="s">
        <v>884</v>
      </c>
      <c r="F148" s="51"/>
      <c r="G148" s="41"/>
    </row>
    <row r="149" spans="1:7" ht="16.5">
      <c r="A149" s="559" t="s">
        <v>1170</v>
      </c>
      <c r="B149" s="60" t="s">
        <v>178</v>
      </c>
      <c r="C149" s="61" t="s">
        <v>257</v>
      </c>
      <c r="D149" s="65" t="s">
        <v>3</v>
      </c>
      <c r="E149" s="672" t="s">
        <v>1171</v>
      </c>
      <c r="F149" s="975"/>
      <c r="G149" s="94"/>
    </row>
    <row r="150" spans="1:7">
      <c r="A150" s="284" t="s">
        <v>1170</v>
      </c>
      <c r="B150" s="624" t="s">
        <v>1168</v>
      </c>
      <c r="C150" s="73" t="s">
        <v>1169</v>
      </c>
      <c r="D150" s="55" t="s">
        <v>3</v>
      </c>
      <c r="E150" s="673" t="s">
        <v>649</v>
      </c>
      <c r="F150" s="586"/>
      <c r="G150" s="430"/>
    </row>
    <row r="151" spans="1:7">
      <c r="A151" s="281" t="s">
        <v>1170</v>
      </c>
      <c r="B151" s="318" t="s">
        <v>339</v>
      </c>
      <c r="C151" s="625" t="s">
        <v>338</v>
      </c>
      <c r="D151" s="625" t="s">
        <v>3</v>
      </c>
      <c r="E151" s="674" t="s">
        <v>1171</v>
      </c>
      <c r="F151" s="596"/>
      <c r="G151" s="41"/>
    </row>
    <row r="152" spans="1:7">
      <c r="A152" s="559" t="s">
        <v>1172</v>
      </c>
      <c r="B152" s="78" t="s">
        <v>505</v>
      </c>
      <c r="C152" s="61" t="s">
        <v>297</v>
      </c>
      <c r="D152" s="125" t="s">
        <v>24</v>
      </c>
      <c r="E152" s="674" t="s">
        <v>1173</v>
      </c>
      <c r="F152" s="596"/>
      <c r="G152" s="41"/>
    </row>
    <row r="153" spans="1:7">
      <c r="A153" s="281" t="s">
        <v>1179</v>
      </c>
      <c r="B153" s="63" t="s">
        <v>748</v>
      </c>
      <c r="C153" s="61" t="s">
        <v>898</v>
      </c>
      <c r="D153" s="72" t="s">
        <v>3</v>
      </c>
      <c r="E153" s="622" t="s">
        <v>883</v>
      </c>
      <c r="F153" s="51"/>
      <c r="G153" s="41"/>
    </row>
    <row r="154" spans="1:7" ht="15.75" thickBot="1">
      <c r="A154" s="626" t="s">
        <v>1176</v>
      </c>
      <c r="B154" s="286" t="s">
        <v>1174</v>
      </c>
      <c r="C154" s="368" t="s">
        <v>1175</v>
      </c>
      <c r="D154" s="265" t="s">
        <v>3</v>
      </c>
      <c r="E154" s="496" t="s">
        <v>1177</v>
      </c>
      <c r="F154" s="34"/>
      <c r="G154" s="34"/>
    </row>
    <row r="158" spans="1:7">
      <c r="A158" s="1018" t="s">
        <v>0</v>
      </c>
      <c r="B158" s="1018"/>
      <c r="C158" s="1018"/>
      <c r="D158" s="1018"/>
      <c r="E158" s="1018"/>
      <c r="F158" s="911"/>
    </row>
    <row r="159" spans="1:7">
      <c r="A159" s="1018" t="s">
        <v>1</v>
      </c>
      <c r="B159" s="1018"/>
      <c r="C159" s="1018"/>
      <c r="D159" s="1018"/>
      <c r="E159" s="1018"/>
      <c r="F159" s="911"/>
    </row>
    <row r="160" spans="1:7">
      <c r="A160" s="1018" t="s">
        <v>4</v>
      </c>
      <c r="B160" s="1018"/>
      <c r="C160" s="1018"/>
      <c r="D160" s="1018"/>
      <c r="E160" s="1018"/>
      <c r="F160" s="911"/>
    </row>
    <row r="161" spans="1:8">
      <c r="A161" s="1019" t="s">
        <v>6</v>
      </c>
      <c r="B161" s="1019"/>
      <c r="C161" s="1019"/>
      <c r="D161" s="1019"/>
      <c r="E161" s="1019"/>
      <c r="F161" s="912"/>
    </row>
    <row r="162" spans="1:8">
      <c r="A162" s="1020" t="s">
        <v>7</v>
      </c>
      <c r="B162" s="1020"/>
      <c r="C162" s="1020"/>
      <c r="D162" s="1020"/>
      <c r="E162" s="1020"/>
      <c r="F162" s="918"/>
    </row>
    <row r="163" spans="1:8">
      <c r="E163" s="16"/>
      <c r="F163" s="16"/>
    </row>
    <row r="164" spans="1:8" ht="15.75">
      <c r="A164" s="1021" t="s">
        <v>353</v>
      </c>
      <c r="B164" s="1021"/>
      <c r="C164" s="1021"/>
      <c r="D164" s="1021"/>
      <c r="E164" s="1021"/>
      <c r="F164" s="914"/>
    </row>
    <row r="165" spans="1:8" ht="15.75">
      <c r="A165" s="1022" t="s">
        <v>4</v>
      </c>
      <c r="B165" s="1022"/>
      <c r="C165" s="1022"/>
      <c r="D165" s="1022"/>
      <c r="E165" s="1022"/>
      <c r="F165" s="915"/>
    </row>
    <row r="166" spans="1:8" ht="15.75">
      <c r="A166" s="1037" t="s">
        <v>1256</v>
      </c>
      <c r="B166" s="1037"/>
      <c r="C166" s="1037"/>
      <c r="D166" s="1037"/>
      <c r="E166" s="1037"/>
      <c r="F166" s="917"/>
    </row>
    <row r="167" spans="1:8" ht="15.75" thickBot="1"/>
    <row r="168" spans="1:8" ht="15.75" thickBot="1">
      <c r="A168" s="35" t="s">
        <v>356</v>
      </c>
      <c r="B168" s="36" t="s">
        <v>357</v>
      </c>
      <c r="C168" s="36" t="s">
        <v>24</v>
      </c>
      <c r="D168" s="36" t="s">
        <v>3</v>
      </c>
      <c r="E168" s="37" t="s">
        <v>358</v>
      </c>
      <c r="F168" s="916"/>
    </row>
    <row r="169" spans="1:8">
      <c r="A169" s="19">
        <v>1</v>
      </c>
      <c r="B169" s="38" t="s">
        <v>360</v>
      </c>
      <c r="C169" s="38">
        <v>16</v>
      </c>
      <c r="D169" s="38">
        <v>15</v>
      </c>
      <c r="E169" s="39">
        <f>SUM(C169:D169)</f>
        <v>31</v>
      </c>
      <c r="F169" s="40"/>
    </row>
    <row r="170" spans="1:8">
      <c r="A170" s="21">
        <v>2</v>
      </c>
      <c r="B170" s="42" t="s">
        <v>361</v>
      </c>
      <c r="C170" s="38">
        <v>11</v>
      </c>
      <c r="D170" s="38">
        <v>16</v>
      </c>
      <c r="E170" s="43">
        <f t="shared" ref="E170:E180" si="14">SUM(C170:D170)</f>
        <v>27</v>
      </c>
      <c r="F170" s="40"/>
    </row>
    <row r="171" spans="1:8">
      <c r="A171" s="21">
        <v>3</v>
      </c>
      <c r="B171" s="42" t="s">
        <v>362</v>
      </c>
      <c r="C171" s="38">
        <v>12</v>
      </c>
      <c r="D171" s="38">
        <v>15</v>
      </c>
      <c r="E171" s="43">
        <f t="shared" si="14"/>
        <v>27</v>
      </c>
      <c r="F171" s="40"/>
    </row>
    <row r="172" spans="1:8">
      <c r="A172" s="21">
        <v>4</v>
      </c>
      <c r="B172" s="42" t="s">
        <v>363</v>
      </c>
      <c r="C172" s="38">
        <v>13</v>
      </c>
      <c r="D172" s="38">
        <v>14</v>
      </c>
      <c r="E172" s="43">
        <f t="shared" si="14"/>
        <v>27</v>
      </c>
      <c r="F172" s="40"/>
      <c r="H172" s="70"/>
    </row>
    <row r="173" spans="1:8">
      <c r="A173" s="45">
        <v>5</v>
      </c>
      <c r="B173" s="46" t="s">
        <v>364</v>
      </c>
      <c r="C173" s="38">
        <v>14</v>
      </c>
      <c r="D173" s="38">
        <v>12</v>
      </c>
      <c r="E173" s="43">
        <f t="shared" si="14"/>
        <v>26</v>
      </c>
      <c r="F173" s="40"/>
    </row>
    <row r="174" spans="1:8" ht="15.75" thickBot="1">
      <c r="A174" s="45">
        <v>6</v>
      </c>
      <c r="B174" s="544" t="s">
        <v>1065</v>
      </c>
      <c r="C174" s="38">
        <v>12</v>
      </c>
      <c r="D174" s="38">
        <v>15</v>
      </c>
      <c r="E174" s="43">
        <f t="shared" si="14"/>
        <v>27</v>
      </c>
      <c r="F174" s="40"/>
    </row>
    <row r="175" spans="1:8" ht="15.75" thickBot="1">
      <c r="A175" s="1035" t="s">
        <v>365</v>
      </c>
      <c r="B175" s="1036"/>
      <c r="C175" s="36">
        <f>SUM(C169:C174)</f>
        <v>78</v>
      </c>
      <c r="D175" s="36">
        <f>SUM(D169:D174)</f>
        <v>87</v>
      </c>
      <c r="E175" s="37">
        <f t="shared" si="14"/>
        <v>165</v>
      </c>
      <c r="F175" s="916"/>
    </row>
    <row r="176" spans="1:8">
      <c r="A176" s="19">
        <v>7</v>
      </c>
      <c r="B176" s="42" t="s">
        <v>366</v>
      </c>
      <c r="C176" s="38">
        <v>16</v>
      </c>
      <c r="D176" s="38">
        <v>16</v>
      </c>
      <c r="E176" s="43">
        <f t="shared" si="14"/>
        <v>32</v>
      </c>
      <c r="F176" s="40"/>
    </row>
    <row r="177" spans="1:8">
      <c r="A177" s="21">
        <v>8</v>
      </c>
      <c r="B177" s="42" t="s">
        <v>367</v>
      </c>
      <c r="C177" s="38">
        <v>18</v>
      </c>
      <c r="D177" s="38">
        <v>14</v>
      </c>
      <c r="E177" s="43">
        <f t="shared" si="14"/>
        <v>32</v>
      </c>
      <c r="F177" s="40"/>
    </row>
    <row r="178" spans="1:8">
      <c r="A178" s="21">
        <v>9</v>
      </c>
      <c r="B178" s="42" t="s">
        <v>369</v>
      </c>
      <c r="C178" s="38">
        <v>18</v>
      </c>
      <c r="D178" s="38">
        <v>14</v>
      </c>
      <c r="E178" s="43">
        <f t="shared" si="14"/>
        <v>32</v>
      </c>
      <c r="F178" s="40"/>
    </row>
    <row r="179" spans="1:8">
      <c r="A179" s="21">
        <v>10</v>
      </c>
      <c r="B179" s="42" t="s">
        <v>370</v>
      </c>
      <c r="C179" s="38">
        <v>18</v>
      </c>
      <c r="D179" s="38">
        <v>14</v>
      </c>
      <c r="E179" s="43">
        <f t="shared" si="14"/>
        <v>32</v>
      </c>
      <c r="F179" s="40"/>
    </row>
    <row r="180" spans="1:8">
      <c r="A180" s="21">
        <v>11</v>
      </c>
      <c r="B180" s="543" t="s">
        <v>384</v>
      </c>
      <c r="C180" s="38">
        <v>13</v>
      </c>
      <c r="D180" s="38">
        <v>16</v>
      </c>
      <c r="E180" s="43">
        <f t="shared" si="14"/>
        <v>29</v>
      </c>
      <c r="F180" s="40"/>
      <c r="H180" s="70"/>
    </row>
    <row r="181" spans="1:8" ht="15.75" thickBot="1">
      <c r="A181" s="21"/>
      <c r="B181" s="42"/>
      <c r="C181" s="38"/>
      <c r="D181" s="38"/>
      <c r="E181" s="43"/>
      <c r="F181" s="40"/>
    </row>
    <row r="182" spans="1:8" ht="15.75" thickBot="1">
      <c r="A182" s="1035" t="s">
        <v>365</v>
      </c>
      <c r="B182" s="1036"/>
      <c r="C182" s="36">
        <f>SUM(C176:C181)</f>
        <v>83</v>
      </c>
      <c r="D182" s="36">
        <f>SUM(D176:D181)</f>
        <v>74</v>
      </c>
      <c r="E182" s="37">
        <f t="shared" ref="E182" si="15">SUM(C182:D182)</f>
        <v>157</v>
      </c>
      <c r="F182" s="916"/>
    </row>
    <row r="183" spans="1:8">
      <c r="A183" s="19"/>
      <c r="B183" s="38"/>
      <c r="C183" s="38"/>
      <c r="D183" s="38"/>
      <c r="E183" s="39"/>
      <c r="F183" s="40"/>
    </row>
    <row r="184" spans="1:8">
      <c r="A184" s="21">
        <v>12</v>
      </c>
      <c r="B184" s="42" t="s">
        <v>372</v>
      </c>
      <c r="C184" s="38">
        <v>18</v>
      </c>
      <c r="D184" s="38">
        <v>14</v>
      </c>
      <c r="E184" s="43">
        <f>SUM(C184:D184)</f>
        <v>32</v>
      </c>
      <c r="F184" s="40"/>
    </row>
    <row r="185" spans="1:8">
      <c r="A185" s="21">
        <v>13</v>
      </c>
      <c r="B185" s="42" t="s">
        <v>373</v>
      </c>
      <c r="C185" s="38">
        <v>12</v>
      </c>
      <c r="D185" s="38">
        <v>14</v>
      </c>
      <c r="E185" s="43">
        <f t="shared" ref="E185:E187" si="16">SUM(C185:D185)</f>
        <v>26</v>
      </c>
      <c r="F185" s="40"/>
    </row>
    <row r="186" spans="1:8">
      <c r="A186" s="21">
        <v>14</v>
      </c>
      <c r="B186" s="42" t="s">
        <v>374</v>
      </c>
      <c r="C186" s="38">
        <v>11</v>
      </c>
      <c r="D186" s="38">
        <v>15</v>
      </c>
      <c r="E186" s="43">
        <f t="shared" si="16"/>
        <v>26</v>
      </c>
      <c r="F186" s="40"/>
    </row>
    <row r="187" spans="1:8">
      <c r="A187" s="21">
        <v>15</v>
      </c>
      <c r="B187" s="42" t="s">
        <v>375</v>
      </c>
      <c r="C187" s="38">
        <v>11</v>
      </c>
      <c r="D187" s="38">
        <v>14</v>
      </c>
      <c r="E187" s="43">
        <f t="shared" si="16"/>
        <v>25</v>
      </c>
      <c r="F187" s="40"/>
    </row>
    <row r="188" spans="1:8">
      <c r="A188" s="21"/>
      <c r="B188" s="42"/>
      <c r="C188" s="38"/>
      <c r="D188" s="38"/>
      <c r="E188" s="43"/>
      <c r="F188" s="40"/>
    </row>
    <row r="189" spans="1:8">
      <c r="A189" s="45"/>
      <c r="B189" s="46"/>
      <c r="C189" s="38"/>
      <c r="D189" s="38"/>
      <c r="E189" s="43"/>
      <c r="F189" s="40"/>
    </row>
    <row r="190" spans="1:8" ht="15.75" thickBot="1">
      <c r="A190" s="45"/>
      <c r="B190" s="46"/>
      <c r="C190" s="38"/>
      <c r="D190" s="38"/>
      <c r="E190" s="47"/>
      <c r="F190" s="40"/>
    </row>
    <row r="191" spans="1:8" ht="15.75" thickBot="1">
      <c r="A191" s="1035" t="s">
        <v>365</v>
      </c>
      <c r="B191" s="1036"/>
      <c r="C191" s="36">
        <f>SUM(C184:C190)</f>
        <v>52</v>
      </c>
      <c r="D191" s="36">
        <f>SUM(D184:D190)</f>
        <v>57</v>
      </c>
      <c r="E191" s="37">
        <f t="shared" ref="E191" si="17">SUM(C191:D191)</f>
        <v>109</v>
      </c>
      <c r="F191" s="916"/>
    </row>
    <row r="192" spans="1:8" ht="15.75" thickBot="1">
      <c r="A192" s="48"/>
      <c r="B192" s="49"/>
      <c r="C192" s="49"/>
      <c r="D192" s="49"/>
      <c r="E192" s="50"/>
      <c r="F192" s="40"/>
    </row>
    <row r="193" spans="1:7" ht="15.75" thickBot="1">
      <c r="A193" s="1035" t="s">
        <v>376</v>
      </c>
      <c r="B193" s="1036"/>
      <c r="C193" s="90">
        <f>C175+C182+C191</f>
        <v>213</v>
      </c>
      <c r="D193" s="36">
        <f>D175+D182+D191</f>
        <v>218</v>
      </c>
      <c r="E193" s="91">
        <f>E175+E182+E191</f>
        <v>431</v>
      </c>
      <c r="F193" s="916"/>
    </row>
    <row r="195" spans="1:7">
      <c r="D195" s="629" t="s">
        <v>1183</v>
      </c>
    </row>
    <row r="196" spans="1:7">
      <c r="D196" s="1017" t="s">
        <v>382</v>
      </c>
    </row>
    <row r="199" spans="1:7">
      <c r="D199" s="92" t="s">
        <v>1208</v>
      </c>
    </row>
    <row r="200" spans="1:7">
      <c r="D200" t="s">
        <v>637</v>
      </c>
    </row>
    <row r="201" spans="1:7">
      <c r="D201" t="s">
        <v>1209</v>
      </c>
    </row>
    <row r="203" spans="1:7" ht="15.75" thickBot="1">
      <c r="A203" t="s">
        <v>383</v>
      </c>
    </row>
    <row r="204" spans="1:7">
      <c r="A204" s="675" t="s">
        <v>1186</v>
      </c>
      <c r="B204" s="683" t="s">
        <v>1185</v>
      </c>
      <c r="C204" s="676" t="s">
        <v>1184</v>
      </c>
      <c r="D204" s="677" t="s">
        <v>24</v>
      </c>
      <c r="E204" s="678"/>
      <c r="F204" s="575"/>
      <c r="G204" s="576"/>
    </row>
    <row r="205" spans="1:7">
      <c r="A205" s="280"/>
      <c r="B205" s="54"/>
      <c r="C205" s="55"/>
      <c r="D205" s="55"/>
      <c r="E205" s="444"/>
      <c r="F205" s="447"/>
      <c r="G205" s="469"/>
    </row>
    <row r="206" spans="1:7">
      <c r="A206" s="679"/>
      <c r="B206" s="57"/>
      <c r="C206" s="58"/>
      <c r="D206" s="59"/>
      <c r="E206" s="680"/>
      <c r="F206" s="575"/>
      <c r="G206" s="576"/>
    </row>
    <row r="207" spans="1:7">
      <c r="A207" s="281"/>
      <c r="B207" s="60"/>
      <c r="C207" s="61"/>
      <c r="D207" s="62"/>
      <c r="E207" s="622"/>
      <c r="F207" s="51"/>
      <c r="G207" s="255"/>
    </row>
    <row r="208" spans="1:7" ht="15.75" thickBot="1">
      <c r="A208" s="681"/>
      <c r="B208" s="264"/>
      <c r="C208" s="265"/>
      <c r="D208" s="265"/>
      <c r="E208" s="682"/>
      <c r="F208" s="976"/>
      <c r="G208" s="34"/>
    </row>
    <row r="209" spans="1:7">
      <c r="A209" s="51"/>
      <c r="B209" s="51"/>
      <c r="C209" s="256"/>
      <c r="D209" s="41"/>
      <c r="E209" s="257"/>
      <c r="F209" s="257"/>
      <c r="G209" s="34"/>
    </row>
    <row r="210" spans="1:7" ht="6" customHeight="1"/>
    <row r="211" spans="1:7" ht="6.75" customHeight="1"/>
    <row r="212" spans="1:7">
      <c r="A212" s="1018" t="s">
        <v>0</v>
      </c>
      <c r="B212" s="1018"/>
      <c r="C212" s="1018"/>
      <c r="D212" s="1018"/>
      <c r="E212" s="1018"/>
      <c r="F212" s="911"/>
    </row>
    <row r="213" spans="1:7">
      <c r="A213" s="1018" t="s">
        <v>1</v>
      </c>
      <c r="B213" s="1018"/>
      <c r="C213" s="1018"/>
      <c r="D213" s="1018"/>
      <c r="E213" s="1018"/>
      <c r="F213" s="911"/>
    </row>
    <row r="214" spans="1:7">
      <c r="A214" s="1018" t="s">
        <v>4</v>
      </c>
      <c r="B214" s="1018"/>
      <c r="C214" s="1018"/>
      <c r="D214" s="1018"/>
      <c r="E214" s="1018"/>
      <c r="F214" s="911"/>
    </row>
    <row r="215" spans="1:7">
      <c r="A215" s="1019" t="s">
        <v>6</v>
      </c>
      <c r="B215" s="1019"/>
      <c r="C215" s="1019"/>
      <c r="D215" s="1019"/>
      <c r="E215" s="1019"/>
      <c r="F215" s="912"/>
    </row>
    <row r="216" spans="1:7">
      <c r="A216" s="1020" t="s">
        <v>7</v>
      </c>
      <c r="B216" s="1020"/>
      <c r="C216" s="1020"/>
      <c r="D216" s="1020"/>
      <c r="E216" s="1020"/>
      <c r="F216" s="918"/>
    </row>
    <row r="217" spans="1:7">
      <c r="E217" s="16"/>
      <c r="F217" s="16"/>
    </row>
    <row r="218" spans="1:7" ht="15.75">
      <c r="A218" s="1021" t="s">
        <v>353</v>
      </c>
      <c r="B218" s="1021"/>
      <c r="C218" s="1021"/>
      <c r="D218" s="1021"/>
      <c r="E218" s="1021"/>
      <c r="F218" s="914"/>
    </row>
    <row r="219" spans="1:7" ht="15.75">
      <c r="A219" s="1022" t="s">
        <v>4</v>
      </c>
      <c r="B219" s="1022"/>
      <c r="C219" s="1022"/>
      <c r="D219" s="1022"/>
      <c r="E219" s="1022"/>
      <c r="F219" s="915"/>
    </row>
    <row r="220" spans="1:7" ht="15.75">
      <c r="A220" s="1037" t="s">
        <v>1256</v>
      </c>
      <c r="B220" s="1037"/>
      <c r="C220" s="1037"/>
      <c r="D220" s="1037"/>
      <c r="E220" s="1037"/>
      <c r="F220" s="917"/>
    </row>
    <row r="221" spans="1:7" ht="15.75" thickBot="1"/>
    <row r="222" spans="1:7" ht="15.75" thickBot="1">
      <c r="A222" s="35" t="s">
        <v>356</v>
      </c>
      <c r="B222" s="36" t="s">
        <v>357</v>
      </c>
      <c r="C222" s="36" t="s">
        <v>24</v>
      </c>
      <c r="D222" s="36" t="s">
        <v>3</v>
      </c>
      <c r="E222" s="37" t="s">
        <v>358</v>
      </c>
      <c r="F222" s="916"/>
    </row>
    <row r="223" spans="1:7">
      <c r="A223" s="19">
        <v>1</v>
      </c>
      <c r="B223" s="38" t="s">
        <v>360</v>
      </c>
      <c r="C223" s="38">
        <v>17</v>
      </c>
      <c r="D223" s="38">
        <v>15</v>
      </c>
      <c r="E223" s="39">
        <f>SUM(C223:D223)</f>
        <v>32</v>
      </c>
      <c r="F223" s="40"/>
    </row>
    <row r="224" spans="1:7">
      <c r="A224" s="21">
        <v>2</v>
      </c>
      <c r="B224" s="42" t="s">
        <v>361</v>
      </c>
      <c r="C224" s="38">
        <v>10</v>
      </c>
      <c r="D224" s="38">
        <v>16</v>
      </c>
      <c r="E224" s="43">
        <f t="shared" ref="E224:E234" si="18">SUM(C224:D224)</f>
        <v>26</v>
      </c>
      <c r="F224" s="40"/>
    </row>
    <row r="225" spans="1:8">
      <c r="A225" s="21">
        <v>3</v>
      </c>
      <c r="B225" s="42" t="s">
        <v>362</v>
      </c>
      <c r="C225" s="38">
        <v>12</v>
      </c>
      <c r="D225" s="38">
        <v>15</v>
      </c>
      <c r="E225" s="43">
        <f t="shared" si="18"/>
        <v>27</v>
      </c>
      <c r="F225" s="40"/>
    </row>
    <row r="226" spans="1:8">
      <c r="A226" s="21">
        <v>4</v>
      </c>
      <c r="B226" s="42" t="s">
        <v>363</v>
      </c>
      <c r="C226" s="38">
        <v>13</v>
      </c>
      <c r="D226" s="38">
        <v>13</v>
      </c>
      <c r="E226" s="43">
        <f t="shared" si="18"/>
        <v>26</v>
      </c>
      <c r="F226" s="40"/>
    </row>
    <row r="227" spans="1:8">
      <c r="A227" s="45">
        <v>5</v>
      </c>
      <c r="B227" s="46" t="s">
        <v>364</v>
      </c>
      <c r="C227" s="38">
        <v>14</v>
      </c>
      <c r="D227" s="38">
        <v>12</v>
      </c>
      <c r="E227" s="43">
        <f t="shared" si="18"/>
        <v>26</v>
      </c>
      <c r="F227" s="40"/>
    </row>
    <row r="228" spans="1:8" ht="15.75" thickBot="1">
      <c r="A228" s="45">
        <v>6</v>
      </c>
      <c r="B228" s="544" t="s">
        <v>1065</v>
      </c>
      <c r="C228" s="38">
        <v>12</v>
      </c>
      <c r="D228" s="38">
        <v>15</v>
      </c>
      <c r="E228" s="43">
        <f t="shared" si="18"/>
        <v>27</v>
      </c>
      <c r="F228" s="40"/>
    </row>
    <row r="229" spans="1:8" ht="15.75" thickBot="1">
      <c r="A229" s="1035" t="s">
        <v>365</v>
      </c>
      <c r="B229" s="1036"/>
      <c r="C229" s="36">
        <f>SUM(C223:C228)</f>
        <v>78</v>
      </c>
      <c r="D229" s="36">
        <f>SUM(D223:D228)</f>
        <v>86</v>
      </c>
      <c r="E229" s="37">
        <f t="shared" si="18"/>
        <v>164</v>
      </c>
      <c r="F229" s="916"/>
    </row>
    <row r="230" spans="1:8">
      <c r="A230" s="19">
        <v>7</v>
      </c>
      <c r="B230" s="42" t="s">
        <v>366</v>
      </c>
      <c r="C230" s="38">
        <v>16</v>
      </c>
      <c r="D230" s="38">
        <v>16</v>
      </c>
      <c r="E230" s="43">
        <f t="shared" si="18"/>
        <v>32</v>
      </c>
      <c r="F230" s="40"/>
    </row>
    <row r="231" spans="1:8">
      <c r="A231" s="21">
        <v>8</v>
      </c>
      <c r="B231" s="42" t="s">
        <v>367</v>
      </c>
      <c r="C231" s="38">
        <v>18</v>
      </c>
      <c r="D231" s="38">
        <v>13</v>
      </c>
      <c r="E231" s="43">
        <f t="shared" si="18"/>
        <v>31</v>
      </c>
      <c r="F231" s="40"/>
    </row>
    <row r="232" spans="1:8">
      <c r="A232" s="21">
        <v>9</v>
      </c>
      <c r="B232" s="42" t="s">
        <v>369</v>
      </c>
      <c r="C232" s="38">
        <v>18</v>
      </c>
      <c r="D232" s="38">
        <v>14</v>
      </c>
      <c r="E232" s="43">
        <f t="shared" si="18"/>
        <v>32</v>
      </c>
      <c r="F232" s="40"/>
      <c r="H232" s="70"/>
    </row>
    <row r="233" spans="1:8">
      <c r="A233" s="21">
        <v>10</v>
      </c>
      <c r="B233" s="42" t="s">
        <v>370</v>
      </c>
      <c r="C233" s="38">
        <v>18</v>
      </c>
      <c r="D233" s="38">
        <v>14</v>
      </c>
      <c r="E233" s="43">
        <f t="shared" si="18"/>
        <v>32</v>
      </c>
      <c r="F233" s="40"/>
    </row>
    <row r="234" spans="1:8">
      <c r="A234" s="21">
        <v>11</v>
      </c>
      <c r="B234" s="543" t="s">
        <v>384</v>
      </c>
      <c r="C234" s="38">
        <v>13</v>
      </c>
      <c r="D234" s="38">
        <v>15</v>
      </c>
      <c r="E234" s="43">
        <f t="shared" si="18"/>
        <v>28</v>
      </c>
      <c r="F234" s="40"/>
    </row>
    <row r="235" spans="1:8" ht="15.75" thickBot="1">
      <c r="A235" s="21"/>
      <c r="B235" s="42"/>
      <c r="C235" s="38"/>
      <c r="D235" s="38"/>
      <c r="E235" s="43"/>
      <c r="F235" s="40"/>
    </row>
    <row r="236" spans="1:8" ht="15.75" thickBot="1">
      <c r="A236" s="1035" t="s">
        <v>365</v>
      </c>
      <c r="B236" s="1036"/>
      <c r="C236" s="36">
        <f>SUM(C230:C235)</f>
        <v>83</v>
      </c>
      <c r="D236" s="36">
        <f>SUM(D230:D235)</f>
        <v>72</v>
      </c>
      <c r="E236" s="37">
        <f t="shared" ref="E236" si="19">SUM(C236:D236)</f>
        <v>155</v>
      </c>
      <c r="F236" s="916"/>
    </row>
    <row r="237" spans="1:8">
      <c r="A237" s="19"/>
      <c r="B237" s="38"/>
      <c r="C237" s="38"/>
      <c r="D237" s="38"/>
      <c r="E237" s="39"/>
      <c r="F237" s="40"/>
    </row>
    <row r="238" spans="1:8">
      <c r="A238" s="21">
        <v>12</v>
      </c>
      <c r="B238" s="42" t="s">
        <v>372</v>
      </c>
      <c r="C238" s="38">
        <v>18</v>
      </c>
      <c r="D238" s="38">
        <v>14</v>
      </c>
      <c r="E238" s="43">
        <f>SUM(C238:D238)</f>
        <v>32</v>
      </c>
      <c r="F238" s="40"/>
    </row>
    <row r="239" spans="1:8">
      <c r="A239" s="21">
        <v>13</v>
      </c>
      <c r="B239" s="42" t="s">
        <v>373</v>
      </c>
      <c r="C239" s="38">
        <v>12</v>
      </c>
      <c r="D239" s="38">
        <v>14</v>
      </c>
      <c r="E239" s="43">
        <f t="shared" ref="E239:E241" si="20">SUM(C239:D239)</f>
        <v>26</v>
      </c>
      <c r="F239" s="40"/>
    </row>
    <row r="240" spans="1:8">
      <c r="A240" s="21">
        <v>14</v>
      </c>
      <c r="B240" s="42" t="s">
        <v>374</v>
      </c>
      <c r="C240" s="637">
        <v>10</v>
      </c>
      <c r="D240" s="38">
        <v>15</v>
      </c>
      <c r="E240" s="43">
        <f t="shared" si="20"/>
        <v>25</v>
      </c>
      <c r="F240" s="40"/>
    </row>
    <row r="241" spans="1:6">
      <c r="A241" s="21">
        <v>15</v>
      </c>
      <c r="B241" s="42" t="s">
        <v>375</v>
      </c>
      <c r="C241" s="38">
        <v>11</v>
      </c>
      <c r="D241" s="38">
        <v>14</v>
      </c>
      <c r="E241" s="43">
        <f t="shared" si="20"/>
        <v>25</v>
      </c>
      <c r="F241" s="40"/>
    </row>
    <row r="242" spans="1:6">
      <c r="A242" s="21"/>
      <c r="B242" s="42"/>
      <c r="C242" s="38"/>
      <c r="D242" s="38"/>
      <c r="E242" s="43"/>
      <c r="F242" s="40"/>
    </row>
    <row r="243" spans="1:6">
      <c r="A243" s="45"/>
      <c r="B243" s="46"/>
      <c r="C243" s="38"/>
      <c r="D243" s="38"/>
      <c r="E243" s="43"/>
      <c r="F243" s="40"/>
    </row>
    <row r="244" spans="1:6" ht="15.75" thickBot="1">
      <c r="A244" s="45"/>
      <c r="B244" s="46"/>
      <c r="C244" s="38"/>
      <c r="D244" s="38"/>
      <c r="E244" s="47"/>
      <c r="F244" s="40"/>
    </row>
    <row r="245" spans="1:6" ht="15.75" thickBot="1">
      <c r="A245" s="1035" t="s">
        <v>365</v>
      </c>
      <c r="B245" s="1036"/>
      <c r="C245" s="36">
        <f>SUM(C238:C244)</f>
        <v>51</v>
      </c>
      <c r="D245" s="36">
        <f>SUM(D238:D244)</f>
        <v>57</v>
      </c>
      <c r="E245" s="37">
        <f t="shared" ref="E245" si="21">SUM(C245:D245)</f>
        <v>108</v>
      </c>
      <c r="F245" s="916"/>
    </row>
    <row r="246" spans="1:6" ht="15.75" thickBot="1">
      <c r="A246" s="48"/>
      <c r="B246" s="49"/>
      <c r="C246" s="49"/>
      <c r="D246" s="49"/>
      <c r="E246" s="50"/>
      <c r="F246" s="40"/>
    </row>
    <row r="247" spans="1:6" ht="15.75" thickBot="1">
      <c r="A247" s="1035" t="s">
        <v>376</v>
      </c>
      <c r="B247" s="1036"/>
      <c r="C247" s="90">
        <f>C229+C236+C245</f>
        <v>212</v>
      </c>
      <c r="D247" s="36">
        <f>D229+D236+D245</f>
        <v>215</v>
      </c>
      <c r="E247" s="91">
        <f>E229+E236+E245</f>
        <v>427</v>
      </c>
      <c r="F247" s="916"/>
    </row>
    <row r="249" spans="1:6">
      <c r="D249" s="636" t="s">
        <v>1192</v>
      </c>
    </row>
    <row r="250" spans="1:6">
      <c r="D250" s="1017" t="s">
        <v>382</v>
      </c>
    </row>
    <row r="253" spans="1:6">
      <c r="D253" s="92" t="s">
        <v>1208</v>
      </c>
    </row>
    <row r="254" spans="1:6">
      <c r="D254" t="s">
        <v>637</v>
      </c>
    </row>
    <row r="255" spans="1:6">
      <c r="D255" t="s">
        <v>1209</v>
      </c>
    </row>
    <row r="257" spans="1:8" ht="15.75" thickBot="1">
      <c r="A257" t="s">
        <v>383</v>
      </c>
    </row>
    <row r="258" spans="1:8">
      <c r="A258" s="646" t="s">
        <v>1196</v>
      </c>
      <c r="B258" s="642" t="s">
        <v>564</v>
      </c>
      <c r="C258" s="643" t="s">
        <v>77</v>
      </c>
      <c r="D258" s="644" t="s">
        <v>3</v>
      </c>
      <c r="E258" s="623" t="s">
        <v>1193</v>
      </c>
      <c r="F258" s="41"/>
      <c r="G258" s="638"/>
    </row>
    <row r="259" spans="1:8">
      <c r="A259" s="647" t="s">
        <v>1195</v>
      </c>
      <c r="B259" s="54" t="s">
        <v>797</v>
      </c>
      <c r="C259" s="73" t="s">
        <v>980</v>
      </c>
      <c r="D259" s="55" t="s">
        <v>3</v>
      </c>
      <c r="E259" s="611" t="s">
        <v>1193</v>
      </c>
      <c r="F259" s="41"/>
      <c r="G259" s="469"/>
    </row>
    <row r="260" spans="1:8">
      <c r="A260" s="653" t="s">
        <v>1194</v>
      </c>
      <c r="B260" s="54" t="s">
        <v>751</v>
      </c>
      <c r="C260" s="641" t="s">
        <v>919</v>
      </c>
      <c r="D260" s="55" t="s">
        <v>24</v>
      </c>
      <c r="E260" s="611" t="s">
        <v>1193</v>
      </c>
      <c r="F260" s="41"/>
      <c r="G260" s="638"/>
    </row>
    <row r="261" spans="1:8">
      <c r="A261" s="650" t="s">
        <v>1194</v>
      </c>
      <c r="B261" s="651" t="s">
        <v>335</v>
      </c>
      <c r="C261" s="408" t="s">
        <v>334</v>
      </c>
      <c r="D261" s="652" t="s">
        <v>24</v>
      </c>
      <c r="E261" s="684" t="s">
        <v>1193</v>
      </c>
      <c r="F261" s="41"/>
      <c r="G261" s="210"/>
    </row>
    <row r="262" spans="1:8">
      <c r="A262" s="648" t="s">
        <v>1187</v>
      </c>
      <c r="B262" s="645" t="s">
        <v>17</v>
      </c>
      <c r="C262" s="61" t="s">
        <v>60</v>
      </c>
      <c r="D262" s="72" t="s">
        <v>3</v>
      </c>
      <c r="E262" s="649" t="s">
        <v>1191</v>
      </c>
      <c r="F262" s="977"/>
      <c r="G262" s="51"/>
      <c r="H262" s="255"/>
    </row>
    <row r="263" spans="1:8" ht="15.75" thickBot="1">
      <c r="A263" s="654" t="s">
        <v>1187</v>
      </c>
      <c r="B263" s="656" t="s">
        <v>1197</v>
      </c>
      <c r="C263" s="282" t="s">
        <v>1188</v>
      </c>
      <c r="D263" s="282" t="s">
        <v>24</v>
      </c>
      <c r="E263" s="655" t="s">
        <v>1189</v>
      </c>
      <c r="F263" s="431"/>
      <c r="G263" s="639"/>
    </row>
    <row r="266" spans="1:8">
      <c r="A266" s="1018" t="s">
        <v>0</v>
      </c>
      <c r="B266" s="1018"/>
      <c r="C266" s="1018"/>
      <c r="D266" s="1018"/>
      <c r="E266" s="1018"/>
      <c r="F266" s="911"/>
    </row>
    <row r="267" spans="1:8">
      <c r="A267" s="1018" t="s">
        <v>1</v>
      </c>
      <c r="B267" s="1018"/>
      <c r="C267" s="1018"/>
      <c r="D267" s="1018"/>
      <c r="E267" s="1018"/>
      <c r="F267" s="911"/>
    </row>
    <row r="268" spans="1:8">
      <c r="A268" s="1018" t="s">
        <v>4</v>
      </c>
      <c r="B268" s="1018"/>
      <c r="C268" s="1018"/>
      <c r="D268" s="1018"/>
      <c r="E268" s="1018"/>
      <c r="F268" s="911"/>
    </row>
    <row r="269" spans="1:8">
      <c r="A269" s="1019" t="s">
        <v>6</v>
      </c>
      <c r="B269" s="1019"/>
      <c r="C269" s="1019"/>
      <c r="D269" s="1019"/>
      <c r="E269" s="1019"/>
      <c r="F269" s="912"/>
    </row>
    <row r="270" spans="1:8">
      <c r="A270" s="1020" t="s">
        <v>7</v>
      </c>
      <c r="B270" s="1020"/>
      <c r="C270" s="1020"/>
      <c r="D270" s="1020"/>
      <c r="E270" s="1020"/>
      <c r="F270" s="918"/>
    </row>
    <row r="271" spans="1:8">
      <c r="E271" s="16"/>
      <c r="F271" s="16"/>
    </row>
    <row r="272" spans="1:8" ht="15.75">
      <c r="A272" s="1021" t="s">
        <v>353</v>
      </c>
      <c r="B272" s="1021"/>
      <c r="C272" s="1021"/>
      <c r="D272" s="1021"/>
      <c r="E272" s="1021"/>
      <c r="F272" s="914"/>
    </row>
    <row r="273" spans="1:9" ht="15.75">
      <c r="A273" s="1022" t="s">
        <v>4</v>
      </c>
      <c r="B273" s="1022"/>
      <c r="C273" s="1022"/>
      <c r="D273" s="1022"/>
      <c r="E273" s="1022"/>
      <c r="F273" s="915"/>
    </row>
    <row r="274" spans="1:9" ht="15.75">
      <c r="A274" s="1037" t="s">
        <v>1256</v>
      </c>
      <c r="B274" s="1037"/>
      <c r="C274" s="1037"/>
      <c r="D274" s="1037"/>
      <c r="E274" s="1037"/>
      <c r="F274" s="917"/>
    </row>
    <row r="275" spans="1:9" ht="15.75" thickBot="1"/>
    <row r="276" spans="1:9" ht="15.75" thickBot="1">
      <c r="A276" s="35" t="s">
        <v>356</v>
      </c>
      <c r="B276" s="36" t="s">
        <v>357</v>
      </c>
      <c r="C276" s="36" t="s">
        <v>24</v>
      </c>
      <c r="D276" s="36" t="s">
        <v>3</v>
      </c>
      <c r="E276" s="37" t="s">
        <v>358</v>
      </c>
      <c r="F276" s="916"/>
    </row>
    <row r="277" spans="1:9">
      <c r="A277" s="19">
        <v>1</v>
      </c>
      <c r="B277" s="38" t="s">
        <v>360</v>
      </c>
      <c r="C277" s="38">
        <v>17</v>
      </c>
      <c r="D277" s="38">
        <v>15</v>
      </c>
      <c r="E277" s="39">
        <f>SUM(C277:D277)</f>
        <v>32</v>
      </c>
      <c r="F277" s="40"/>
    </row>
    <row r="278" spans="1:9">
      <c r="A278" s="21">
        <v>2</v>
      </c>
      <c r="B278" s="42" t="s">
        <v>361</v>
      </c>
      <c r="C278" s="38">
        <v>10</v>
      </c>
      <c r="D278" s="38">
        <v>16</v>
      </c>
      <c r="E278" s="43">
        <f t="shared" ref="E278:E288" si="22">SUM(C278:D278)</f>
        <v>26</v>
      </c>
      <c r="F278" s="40"/>
      <c r="I278" s="70"/>
    </row>
    <row r="279" spans="1:9">
      <c r="A279" s="21">
        <v>3</v>
      </c>
      <c r="B279" s="42" t="s">
        <v>362</v>
      </c>
      <c r="C279" s="38">
        <v>12</v>
      </c>
      <c r="D279" s="38">
        <v>15</v>
      </c>
      <c r="E279" s="43">
        <f t="shared" si="22"/>
        <v>27</v>
      </c>
      <c r="F279" s="40"/>
    </row>
    <row r="280" spans="1:9">
      <c r="A280" s="21">
        <v>4</v>
      </c>
      <c r="B280" s="42" t="s">
        <v>363</v>
      </c>
      <c r="C280" s="38">
        <v>13</v>
      </c>
      <c r="D280" s="38">
        <v>13</v>
      </c>
      <c r="E280" s="43">
        <f t="shared" si="22"/>
        <v>26</v>
      </c>
      <c r="F280" s="40"/>
    </row>
    <row r="281" spans="1:9">
      <c r="A281" s="45">
        <v>5</v>
      </c>
      <c r="B281" s="46" t="s">
        <v>364</v>
      </c>
      <c r="C281" s="38">
        <v>14</v>
      </c>
      <c r="D281" s="38">
        <v>12</v>
      </c>
      <c r="E281" s="43">
        <f t="shared" si="22"/>
        <v>26</v>
      </c>
      <c r="F281" s="40"/>
    </row>
    <row r="282" spans="1:9" ht="15.75" thickBot="1">
      <c r="A282" s="45">
        <v>6</v>
      </c>
      <c r="B282" s="544" t="s">
        <v>1065</v>
      </c>
      <c r="C282" s="38">
        <v>12</v>
      </c>
      <c r="D282" s="38">
        <v>15</v>
      </c>
      <c r="E282" s="43">
        <f t="shared" si="22"/>
        <v>27</v>
      </c>
      <c r="F282" s="40"/>
    </row>
    <row r="283" spans="1:9" ht="15.75" thickBot="1">
      <c r="A283" s="1035" t="s">
        <v>365</v>
      </c>
      <c r="B283" s="1036"/>
      <c r="C283" s="36">
        <f>SUM(C277:C282)</f>
        <v>78</v>
      </c>
      <c r="D283" s="36">
        <f>SUM(D277:D282)</f>
        <v>86</v>
      </c>
      <c r="E283" s="37">
        <f t="shared" si="22"/>
        <v>164</v>
      </c>
      <c r="F283" s="916"/>
    </row>
    <row r="284" spans="1:9">
      <c r="A284" s="19">
        <v>7</v>
      </c>
      <c r="B284" s="42" t="s">
        <v>366</v>
      </c>
      <c r="C284" s="38">
        <v>16</v>
      </c>
      <c r="D284" s="38">
        <v>16</v>
      </c>
      <c r="E284" s="43">
        <f t="shared" si="22"/>
        <v>32</v>
      </c>
      <c r="F284" s="40"/>
    </row>
    <row r="285" spans="1:9">
      <c r="A285" s="21">
        <v>8</v>
      </c>
      <c r="B285" s="42" t="s">
        <v>367</v>
      </c>
      <c r="C285" s="38">
        <v>18</v>
      </c>
      <c r="D285" s="38">
        <v>13</v>
      </c>
      <c r="E285" s="43">
        <f t="shared" si="22"/>
        <v>31</v>
      </c>
      <c r="F285" s="40"/>
    </row>
    <row r="286" spans="1:9">
      <c r="A286" s="21">
        <v>9</v>
      </c>
      <c r="B286" s="42" t="s">
        <v>369</v>
      </c>
      <c r="C286" s="38">
        <v>18</v>
      </c>
      <c r="D286" s="38">
        <v>13</v>
      </c>
      <c r="E286" s="43">
        <f t="shared" si="22"/>
        <v>31</v>
      </c>
      <c r="F286" s="40"/>
      <c r="H286" s="70"/>
    </row>
    <row r="287" spans="1:9">
      <c r="A287" s="21">
        <v>10</v>
      </c>
      <c r="B287" s="42" t="s">
        <v>370</v>
      </c>
      <c r="C287" s="38">
        <v>18</v>
      </c>
      <c r="D287" s="38">
        <v>14</v>
      </c>
      <c r="E287" s="43">
        <f t="shared" si="22"/>
        <v>32</v>
      </c>
      <c r="F287" s="40"/>
    </row>
    <row r="288" spans="1:9">
      <c r="A288" s="21">
        <v>11</v>
      </c>
      <c r="B288" s="543" t="s">
        <v>384</v>
      </c>
      <c r="C288" s="38">
        <v>13</v>
      </c>
      <c r="D288" s="38">
        <v>15</v>
      </c>
      <c r="E288" s="43">
        <f t="shared" si="22"/>
        <v>28</v>
      </c>
      <c r="F288" s="40"/>
    </row>
    <row r="289" spans="1:6" ht="15.75" thickBot="1">
      <c r="A289" s="21"/>
      <c r="B289" s="42"/>
      <c r="C289" s="38"/>
      <c r="D289" s="38"/>
      <c r="E289" s="43"/>
      <c r="F289" s="40"/>
    </row>
    <row r="290" spans="1:6" ht="15.75" thickBot="1">
      <c r="A290" s="1035" t="s">
        <v>365</v>
      </c>
      <c r="B290" s="1036"/>
      <c r="C290" s="36">
        <f>SUM(C284:C289)</f>
        <v>83</v>
      </c>
      <c r="D290" s="36">
        <f>SUM(D284:D289)</f>
        <v>71</v>
      </c>
      <c r="E290" s="37">
        <f t="shared" ref="E290" si="23">SUM(C290:D290)</f>
        <v>154</v>
      </c>
      <c r="F290" s="916"/>
    </row>
    <row r="291" spans="1:6">
      <c r="A291" s="19"/>
      <c r="B291" s="38"/>
      <c r="C291" s="38"/>
      <c r="D291" s="38"/>
      <c r="E291" s="39"/>
      <c r="F291" s="40"/>
    </row>
    <row r="292" spans="1:6">
      <c r="A292" s="21">
        <v>12</v>
      </c>
      <c r="B292" s="42" t="s">
        <v>372</v>
      </c>
      <c r="C292" s="38">
        <v>18</v>
      </c>
      <c r="D292" s="38">
        <v>14</v>
      </c>
      <c r="E292" s="43">
        <f>SUM(C292:D292)</f>
        <v>32</v>
      </c>
      <c r="F292" s="40"/>
    </row>
    <row r="293" spans="1:6">
      <c r="A293" s="21">
        <v>13</v>
      </c>
      <c r="B293" s="42" t="s">
        <v>373</v>
      </c>
      <c r="C293" s="38">
        <v>12</v>
      </c>
      <c r="D293" s="38">
        <v>14</v>
      </c>
      <c r="E293" s="43">
        <f t="shared" ref="E293:E295" si="24">SUM(C293:D293)</f>
        <v>26</v>
      </c>
      <c r="F293" s="40"/>
    </row>
    <row r="294" spans="1:6">
      <c r="A294" s="21">
        <v>14</v>
      </c>
      <c r="B294" s="42" t="s">
        <v>374</v>
      </c>
      <c r="C294" s="637">
        <v>10</v>
      </c>
      <c r="D294" s="38">
        <v>15</v>
      </c>
      <c r="E294" s="43">
        <f t="shared" si="24"/>
        <v>25</v>
      </c>
      <c r="F294" s="40"/>
    </row>
    <row r="295" spans="1:6">
      <c r="A295" s="21">
        <v>15</v>
      </c>
      <c r="B295" s="42" t="s">
        <v>375</v>
      </c>
      <c r="C295" s="38">
        <v>11</v>
      </c>
      <c r="D295" s="38">
        <v>14</v>
      </c>
      <c r="E295" s="43">
        <f t="shared" si="24"/>
        <v>25</v>
      </c>
      <c r="F295" s="40"/>
    </row>
    <row r="296" spans="1:6">
      <c r="A296" s="21"/>
      <c r="B296" s="42"/>
      <c r="C296" s="38"/>
      <c r="D296" s="38"/>
      <c r="E296" s="43"/>
      <c r="F296" s="40"/>
    </row>
    <row r="297" spans="1:6">
      <c r="A297" s="45"/>
      <c r="B297" s="46"/>
      <c r="C297" s="38"/>
      <c r="D297" s="38"/>
      <c r="E297" s="43"/>
      <c r="F297" s="40"/>
    </row>
    <row r="298" spans="1:6" ht="15.75" thickBot="1">
      <c r="A298" s="45"/>
      <c r="B298" s="46"/>
      <c r="C298" s="38"/>
      <c r="D298" s="38"/>
      <c r="E298" s="47"/>
      <c r="F298" s="40"/>
    </row>
    <row r="299" spans="1:6" ht="15.75" thickBot="1">
      <c r="A299" s="1035" t="s">
        <v>365</v>
      </c>
      <c r="B299" s="1036"/>
      <c r="C299" s="36">
        <f>SUM(C292:C298)</f>
        <v>51</v>
      </c>
      <c r="D299" s="36">
        <f>SUM(D292:D298)</f>
        <v>57</v>
      </c>
      <c r="E299" s="37">
        <f t="shared" ref="E299" si="25">SUM(C299:D299)</f>
        <v>108</v>
      </c>
      <c r="F299" s="916"/>
    </row>
    <row r="300" spans="1:6" ht="15.75" thickBot="1">
      <c r="A300" s="48"/>
      <c r="B300" s="49"/>
      <c r="C300" s="49"/>
      <c r="D300" s="49"/>
      <c r="E300" s="50"/>
      <c r="F300" s="40"/>
    </row>
    <row r="301" spans="1:6" ht="15.75" thickBot="1">
      <c r="A301" s="1035" t="s">
        <v>376</v>
      </c>
      <c r="B301" s="1036"/>
      <c r="C301" s="90">
        <f>C283+C290+C299</f>
        <v>212</v>
      </c>
      <c r="D301" s="36">
        <f>D283+D290+D299</f>
        <v>214</v>
      </c>
      <c r="E301" s="91">
        <f>E283+E290+E299</f>
        <v>426</v>
      </c>
      <c r="F301" s="916"/>
    </row>
    <row r="303" spans="1:6">
      <c r="D303" s="687" t="s">
        <v>1203</v>
      </c>
    </row>
    <row r="304" spans="1:6">
      <c r="D304" s="1017" t="s">
        <v>382</v>
      </c>
    </row>
    <row r="307" spans="1:7">
      <c r="D307" s="92" t="s">
        <v>1208</v>
      </c>
    </row>
    <row r="308" spans="1:7">
      <c r="D308" t="s">
        <v>637</v>
      </c>
    </row>
    <row r="309" spans="1:7">
      <c r="D309" t="s">
        <v>1209</v>
      </c>
    </row>
    <row r="311" spans="1:7" ht="15.75" thickBot="1">
      <c r="A311" s="254" t="s">
        <v>383</v>
      </c>
    </row>
    <row r="312" spans="1:7">
      <c r="A312" s="670" t="s">
        <v>1201</v>
      </c>
      <c r="B312" s="688" t="s">
        <v>633</v>
      </c>
      <c r="C312" s="689" t="s">
        <v>634</v>
      </c>
      <c r="D312" s="671" t="s">
        <v>369</v>
      </c>
      <c r="E312" s="690" t="s">
        <v>1202</v>
      </c>
      <c r="F312" s="978"/>
      <c r="G312" s="691" t="s">
        <v>368</v>
      </c>
    </row>
    <row r="313" spans="1:7" ht="15.75" thickBot="1">
      <c r="A313" s="692"/>
      <c r="B313" s="566"/>
      <c r="C313" s="567"/>
      <c r="D313" s="521"/>
      <c r="E313" s="521"/>
      <c r="F313" s="979"/>
      <c r="G313" s="522"/>
    </row>
    <row r="320" spans="1:7">
      <c r="A320" s="1018" t="s">
        <v>0</v>
      </c>
      <c r="B320" s="1018"/>
      <c r="C320" s="1018"/>
      <c r="D320" s="1018"/>
      <c r="E320" s="1018"/>
      <c r="F320" s="911"/>
    </row>
    <row r="321" spans="1:8">
      <c r="A321" s="1018" t="s">
        <v>1</v>
      </c>
      <c r="B321" s="1018"/>
      <c r="C321" s="1018"/>
      <c r="D321" s="1018"/>
      <c r="E321" s="1018"/>
      <c r="F321" s="911"/>
    </row>
    <row r="322" spans="1:8">
      <c r="A322" s="1018" t="s">
        <v>4</v>
      </c>
      <c r="B322" s="1018"/>
      <c r="C322" s="1018"/>
      <c r="D322" s="1018"/>
      <c r="E322" s="1018"/>
      <c r="F322" s="911"/>
    </row>
    <row r="323" spans="1:8">
      <c r="A323" s="1019" t="s">
        <v>6</v>
      </c>
      <c r="B323" s="1019"/>
      <c r="C323" s="1019"/>
      <c r="D323" s="1019"/>
      <c r="E323" s="1019"/>
      <c r="F323" s="912"/>
    </row>
    <row r="324" spans="1:8">
      <c r="A324" s="1020" t="s">
        <v>7</v>
      </c>
      <c r="B324" s="1020"/>
      <c r="C324" s="1020"/>
      <c r="D324" s="1020"/>
      <c r="E324" s="1020"/>
      <c r="F324" s="918"/>
    </row>
    <row r="325" spans="1:8">
      <c r="E325" s="16"/>
      <c r="F325" s="16"/>
    </row>
    <row r="326" spans="1:8" ht="15.75">
      <c r="A326" s="1021" t="s">
        <v>353</v>
      </c>
      <c r="B326" s="1021"/>
      <c r="C326" s="1021"/>
      <c r="D326" s="1021"/>
      <c r="E326" s="1021"/>
      <c r="F326" s="914"/>
    </row>
    <row r="327" spans="1:8" ht="15.75">
      <c r="A327" s="1022" t="s">
        <v>4</v>
      </c>
      <c r="B327" s="1022"/>
      <c r="C327" s="1022"/>
      <c r="D327" s="1022"/>
      <c r="E327" s="1022"/>
      <c r="F327" s="915"/>
    </row>
    <row r="328" spans="1:8" ht="15.75">
      <c r="A328" s="1037" t="s">
        <v>1256</v>
      </c>
      <c r="B328" s="1037"/>
      <c r="C328" s="1037"/>
      <c r="D328" s="1037"/>
      <c r="E328" s="1037"/>
      <c r="F328" s="917"/>
    </row>
    <row r="329" spans="1:8" ht="15.75" thickBot="1"/>
    <row r="330" spans="1:8" ht="15.75" thickBot="1">
      <c r="A330" s="35" t="s">
        <v>356</v>
      </c>
      <c r="B330" s="36" t="s">
        <v>357</v>
      </c>
      <c r="C330" s="36" t="s">
        <v>24</v>
      </c>
      <c r="D330" s="36" t="s">
        <v>3</v>
      </c>
      <c r="E330" s="37" t="s">
        <v>358</v>
      </c>
      <c r="F330" s="916"/>
    </row>
    <row r="331" spans="1:8">
      <c r="A331" s="19">
        <v>1</v>
      </c>
      <c r="B331" s="38" t="s">
        <v>360</v>
      </c>
      <c r="C331" s="38">
        <v>17</v>
      </c>
      <c r="D331" s="38">
        <v>15</v>
      </c>
      <c r="E331" s="39">
        <f>SUM(C331:D331)</f>
        <v>32</v>
      </c>
      <c r="F331" s="40"/>
    </row>
    <row r="332" spans="1:8">
      <c r="A332" s="21">
        <v>2</v>
      </c>
      <c r="B332" s="42" t="s">
        <v>361</v>
      </c>
      <c r="C332" s="38">
        <v>10</v>
      </c>
      <c r="D332" s="38">
        <v>16</v>
      </c>
      <c r="E332" s="43">
        <f t="shared" ref="E332:E342" si="26">SUM(C332:D332)</f>
        <v>26</v>
      </c>
      <c r="F332" s="40"/>
      <c r="H332" s="70"/>
    </row>
    <row r="333" spans="1:8">
      <c r="A333" s="21">
        <v>3</v>
      </c>
      <c r="B333" s="42" t="s">
        <v>362</v>
      </c>
      <c r="C333" s="38">
        <v>12</v>
      </c>
      <c r="D333" s="38">
        <v>15</v>
      </c>
      <c r="E333" s="43">
        <f t="shared" si="26"/>
        <v>27</v>
      </c>
      <c r="F333" s="40"/>
    </row>
    <row r="334" spans="1:8">
      <c r="A334" s="21">
        <v>4</v>
      </c>
      <c r="B334" s="42" t="s">
        <v>363</v>
      </c>
      <c r="C334" s="38">
        <v>13</v>
      </c>
      <c r="D334" s="38">
        <v>13</v>
      </c>
      <c r="E334" s="43">
        <f t="shared" si="26"/>
        <v>26</v>
      </c>
      <c r="F334" s="40"/>
    </row>
    <row r="335" spans="1:8">
      <c r="A335" s="45">
        <v>5</v>
      </c>
      <c r="B335" s="46" t="s">
        <v>364</v>
      </c>
      <c r="C335" s="38">
        <v>14</v>
      </c>
      <c r="D335" s="38">
        <v>12</v>
      </c>
      <c r="E335" s="43">
        <f t="shared" si="26"/>
        <v>26</v>
      </c>
      <c r="F335" s="40"/>
    </row>
    <row r="336" spans="1:8" ht="15.75" thickBot="1">
      <c r="A336" s="45">
        <v>6</v>
      </c>
      <c r="B336" s="544" t="s">
        <v>1065</v>
      </c>
      <c r="C336" s="38">
        <v>12</v>
      </c>
      <c r="D336" s="38">
        <v>15</v>
      </c>
      <c r="E336" s="43">
        <f t="shared" si="26"/>
        <v>27</v>
      </c>
      <c r="F336" s="40"/>
    </row>
    <row r="337" spans="1:6" ht="15.75" thickBot="1">
      <c r="A337" s="1035" t="s">
        <v>365</v>
      </c>
      <c r="B337" s="1036"/>
      <c r="C337" s="36">
        <f>SUM(C331:C336)</f>
        <v>78</v>
      </c>
      <c r="D337" s="36">
        <f>SUM(D331:D336)</f>
        <v>86</v>
      </c>
      <c r="E337" s="37">
        <f t="shared" si="26"/>
        <v>164</v>
      </c>
      <c r="F337" s="916"/>
    </row>
    <row r="338" spans="1:6">
      <c r="A338" s="19">
        <v>7</v>
      </c>
      <c r="B338" s="42" t="s">
        <v>366</v>
      </c>
      <c r="C338" s="38">
        <v>16</v>
      </c>
      <c r="D338" s="38">
        <v>16</v>
      </c>
      <c r="E338" s="43">
        <f t="shared" si="26"/>
        <v>32</v>
      </c>
      <c r="F338" s="40"/>
    </row>
    <row r="339" spans="1:6">
      <c r="A339" s="21">
        <v>8</v>
      </c>
      <c r="B339" s="42" t="s">
        <v>367</v>
      </c>
      <c r="C339" s="38">
        <v>18</v>
      </c>
      <c r="D339" s="38">
        <v>13</v>
      </c>
      <c r="E339" s="43">
        <f t="shared" si="26"/>
        <v>31</v>
      </c>
      <c r="F339" s="40"/>
    </row>
    <row r="340" spans="1:6">
      <c r="A340" s="21">
        <v>9</v>
      </c>
      <c r="B340" s="42" t="s">
        <v>369</v>
      </c>
      <c r="C340" s="38">
        <v>18</v>
      </c>
      <c r="D340" s="38">
        <v>13</v>
      </c>
      <c r="E340" s="43">
        <f t="shared" si="26"/>
        <v>31</v>
      </c>
      <c r="F340" s="40"/>
    </row>
    <row r="341" spans="1:6">
      <c r="A341" s="21">
        <v>10</v>
      </c>
      <c r="B341" s="42" t="s">
        <v>370</v>
      </c>
      <c r="C341" s="38">
        <v>18</v>
      </c>
      <c r="D341" s="38">
        <v>13</v>
      </c>
      <c r="E341" s="43">
        <f t="shared" si="26"/>
        <v>31</v>
      </c>
      <c r="F341" s="40"/>
    </row>
    <row r="342" spans="1:6">
      <c r="A342" s="21">
        <v>11</v>
      </c>
      <c r="B342" s="543" t="s">
        <v>384</v>
      </c>
      <c r="C342" s="38">
        <v>13</v>
      </c>
      <c r="D342" s="38">
        <v>15</v>
      </c>
      <c r="E342" s="43">
        <f t="shared" si="26"/>
        <v>28</v>
      </c>
      <c r="F342" s="40"/>
    </row>
    <row r="343" spans="1:6" ht="15.75" thickBot="1">
      <c r="A343" s="21"/>
      <c r="B343" s="42"/>
      <c r="C343" s="38"/>
      <c r="D343" s="38"/>
      <c r="E343" s="43"/>
      <c r="F343" s="40"/>
    </row>
    <row r="344" spans="1:6" ht="15.75" thickBot="1">
      <c r="A344" s="1035" t="s">
        <v>365</v>
      </c>
      <c r="B344" s="1036"/>
      <c r="C344" s="36">
        <f>SUM(C338:C343)</f>
        <v>83</v>
      </c>
      <c r="D344" s="36">
        <f>SUM(D338:D343)</f>
        <v>70</v>
      </c>
      <c r="E344" s="37">
        <f t="shared" ref="E344" si="27">SUM(C344:D344)</f>
        <v>153</v>
      </c>
      <c r="F344" s="916"/>
    </row>
    <row r="345" spans="1:6">
      <c r="A345" s="19"/>
      <c r="B345" s="38"/>
      <c r="C345" s="38"/>
      <c r="D345" s="38"/>
      <c r="E345" s="39"/>
      <c r="F345" s="40"/>
    </row>
    <row r="346" spans="1:6">
      <c r="A346" s="21">
        <v>12</v>
      </c>
      <c r="B346" s="42" t="s">
        <v>372</v>
      </c>
      <c r="C346" s="38">
        <v>18</v>
      </c>
      <c r="D346" s="38">
        <v>14</v>
      </c>
      <c r="E346" s="43">
        <f>SUM(C346:D346)</f>
        <v>32</v>
      </c>
      <c r="F346" s="40"/>
    </row>
    <row r="347" spans="1:6">
      <c r="A347" s="21">
        <v>13</v>
      </c>
      <c r="B347" s="42" t="s">
        <v>373</v>
      </c>
      <c r="C347" s="38">
        <v>12</v>
      </c>
      <c r="D347" s="38">
        <v>14</v>
      </c>
      <c r="E347" s="43">
        <f t="shared" ref="E347:E349" si="28">SUM(C347:D347)</f>
        <v>26</v>
      </c>
      <c r="F347" s="40"/>
    </row>
    <row r="348" spans="1:6">
      <c r="A348" s="21">
        <v>14</v>
      </c>
      <c r="B348" s="42" t="s">
        <v>374</v>
      </c>
      <c r="C348" s="637">
        <v>10</v>
      </c>
      <c r="D348" s="38">
        <v>15</v>
      </c>
      <c r="E348" s="43">
        <f t="shared" si="28"/>
        <v>25</v>
      </c>
      <c r="F348" s="40"/>
    </row>
    <row r="349" spans="1:6">
      <c r="A349" s="21">
        <v>15</v>
      </c>
      <c r="B349" s="42" t="s">
        <v>375</v>
      </c>
      <c r="C349" s="38">
        <v>10</v>
      </c>
      <c r="D349" s="38">
        <v>15</v>
      </c>
      <c r="E349" s="43">
        <f t="shared" si="28"/>
        <v>25</v>
      </c>
      <c r="F349" s="40"/>
    </row>
    <row r="350" spans="1:6">
      <c r="A350" s="21"/>
      <c r="B350" s="42"/>
      <c r="C350" s="38"/>
      <c r="D350" s="38"/>
      <c r="E350" s="43"/>
      <c r="F350" s="40"/>
    </row>
    <row r="351" spans="1:6">
      <c r="A351" s="45"/>
      <c r="B351" s="46"/>
      <c r="C351" s="38"/>
      <c r="D351" s="38"/>
      <c r="E351" s="43"/>
      <c r="F351" s="40"/>
    </row>
    <row r="352" spans="1:6" ht="15.75" thickBot="1">
      <c r="A352" s="45"/>
      <c r="B352" s="46"/>
      <c r="C352" s="38"/>
      <c r="D352" s="38"/>
      <c r="E352" s="47"/>
      <c r="F352" s="40"/>
    </row>
    <row r="353" spans="1:6" ht="15.75" thickBot="1">
      <c r="A353" s="1035" t="s">
        <v>365</v>
      </c>
      <c r="B353" s="1036"/>
      <c r="C353" s="36">
        <f>SUM(C346:C352)</f>
        <v>50</v>
      </c>
      <c r="D353" s="36">
        <f>SUM(D346:D352)</f>
        <v>58</v>
      </c>
      <c r="E353" s="37">
        <f t="shared" ref="E353" si="29">SUM(C353:D353)</f>
        <v>108</v>
      </c>
      <c r="F353" s="916"/>
    </row>
    <row r="354" spans="1:6" ht="15.75" thickBot="1">
      <c r="A354" s="48"/>
      <c r="B354" s="49"/>
      <c r="C354" s="49"/>
      <c r="D354" s="49"/>
      <c r="E354" s="50"/>
      <c r="F354" s="40"/>
    </row>
    <row r="355" spans="1:6" ht="15.75" thickBot="1">
      <c r="A355" s="1035" t="s">
        <v>376</v>
      </c>
      <c r="B355" s="1036"/>
      <c r="C355" s="90">
        <f>C337+C344+C353</f>
        <v>211</v>
      </c>
      <c r="D355" s="36">
        <f>D337+D344+D353</f>
        <v>214</v>
      </c>
      <c r="E355" s="91">
        <f>E337+E344+E353</f>
        <v>425</v>
      </c>
      <c r="F355" s="916"/>
    </row>
    <row r="357" spans="1:6">
      <c r="D357" s="697" t="s">
        <v>1206</v>
      </c>
    </row>
    <row r="358" spans="1:6">
      <c r="D358" s="1017" t="s">
        <v>382</v>
      </c>
    </row>
    <row r="361" spans="1:6">
      <c r="D361" s="92" t="s">
        <v>1208</v>
      </c>
    </row>
    <row r="362" spans="1:6">
      <c r="D362" t="s">
        <v>637</v>
      </c>
    </row>
    <row r="363" spans="1:6">
      <c r="D363" t="s">
        <v>1209</v>
      </c>
    </row>
    <row r="364" spans="1:6" ht="15.75" thickBot="1"/>
    <row r="365" spans="1:6" ht="16.5">
      <c r="A365" s="748" t="s">
        <v>159</v>
      </c>
      <c r="B365" s="749" t="s">
        <v>525</v>
      </c>
      <c r="C365" s="750" t="s">
        <v>131</v>
      </c>
      <c r="D365" s="751" t="s">
        <v>3</v>
      </c>
      <c r="E365" s="752" t="s">
        <v>333</v>
      </c>
      <c r="F365" s="417"/>
    </row>
    <row r="366" spans="1:6">
      <c r="A366" s="753" t="s">
        <v>77</v>
      </c>
      <c r="B366" s="501" t="s">
        <v>565</v>
      </c>
      <c r="C366" s="502" t="s">
        <v>564</v>
      </c>
      <c r="D366" s="503" t="s">
        <v>3</v>
      </c>
      <c r="E366" s="754" t="s">
        <v>10</v>
      </c>
      <c r="F366" s="255"/>
    </row>
    <row r="367" spans="1:6">
      <c r="A367" s="753" t="s">
        <v>980</v>
      </c>
      <c r="B367" s="434" t="s">
        <v>798</v>
      </c>
      <c r="C367" s="425" t="s">
        <v>797</v>
      </c>
      <c r="D367" s="435" t="s">
        <v>3</v>
      </c>
      <c r="E367" s="622" t="s">
        <v>884</v>
      </c>
      <c r="F367" s="51"/>
    </row>
    <row r="368" spans="1:6">
      <c r="A368" s="753" t="s">
        <v>919</v>
      </c>
      <c r="B368" s="434" t="s">
        <v>752</v>
      </c>
      <c r="C368" s="425" t="s">
        <v>751</v>
      </c>
      <c r="D368" s="435" t="s">
        <v>24</v>
      </c>
      <c r="E368" s="622" t="s">
        <v>882</v>
      </c>
      <c r="F368" s="51"/>
    </row>
    <row r="369" spans="1:9" ht="17.25" thickBot="1">
      <c r="A369" s="755" t="s">
        <v>334</v>
      </c>
      <c r="B369" s="411" t="s">
        <v>630</v>
      </c>
      <c r="C369" s="756" t="s">
        <v>335</v>
      </c>
      <c r="D369" s="757" t="s">
        <v>24</v>
      </c>
      <c r="E369" s="758" t="s">
        <v>348</v>
      </c>
      <c r="F369" s="706"/>
    </row>
    <row r="370" spans="1:9" ht="60.75" customHeight="1"/>
    <row r="372" spans="1:9">
      <c r="A372" s="1018" t="s">
        <v>0</v>
      </c>
      <c r="B372" s="1018"/>
      <c r="C372" s="1018"/>
      <c r="D372" s="1018"/>
      <c r="E372" s="1018"/>
      <c r="F372" s="911"/>
    </row>
    <row r="373" spans="1:9">
      <c r="A373" s="1018" t="s">
        <v>1</v>
      </c>
      <c r="B373" s="1018"/>
      <c r="C373" s="1018"/>
      <c r="D373" s="1018"/>
      <c r="E373" s="1018"/>
      <c r="F373" s="911"/>
    </row>
    <row r="374" spans="1:9">
      <c r="A374" s="1018" t="s">
        <v>4</v>
      </c>
      <c r="B374" s="1018"/>
      <c r="C374" s="1018"/>
      <c r="D374" s="1018"/>
      <c r="E374" s="1018"/>
      <c r="F374" s="911"/>
    </row>
    <row r="375" spans="1:9">
      <c r="A375" s="1019" t="s">
        <v>6</v>
      </c>
      <c r="B375" s="1019"/>
      <c r="C375" s="1019"/>
      <c r="D375" s="1019"/>
      <c r="E375" s="1019"/>
      <c r="F375" s="912"/>
    </row>
    <row r="376" spans="1:9">
      <c r="A376" s="1020" t="s">
        <v>7</v>
      </c>
      <c r="B376" s="1020"/>
      <c r="C376" s="1020"/>
      <c r="D376" s="1020"/>
      <c r="E376" s="1020"/>
      <c r="F376" s="918"/>
    </row>
    <row r="377" spans="1:9">
      <c r="E377" s="16"/>
      <c r="F377" s="16"/>
    </row>
    <row r="378" spans="1:9" ht="15.75">
      <c r="A378" s="1021" t="s">
        <v>353</v>
      </c>
      <c r="B378" s="1021"/>
      <c r="C378" s="1021"/>
      <c r="D378" s="1021"/>
      <c r="E378" s="1021"/>
      <c r="F378" s="914"/>
    </row>
    <row r="379" spans="1:9" ht="15.75">
      <c r="A379" s="1022" t="s">
        <v>4</v>
      </c>
      <c r="B379" s="1022"/>
      <c r="C379" s="1022"/>
      <c r="D379" s="1022"/>
      <c r="E379" s="1022"/>
      <c r="F379" s="915"/>
    </row>
    <row r="380" spans="1:9" ht="15.75">
      <c r="A380" s="1037" t="s">
        <v>1256</v>
      </c>
      <c r="B380" s="1037"/>
      <c r="C380" s="1037"/>
      <c r="D380" s="1037"/>
      <c r="E380" s="1037"/>
      <c r="F380" s="917"/>
    </row>
    <row r="381" spans="1:9" ht="15.75" thickBot="1"/>
    <row r="382" spans="1:9" ht="15.75" thickBot="1">
      <c r="A382" s="35" t="s">
        <v>356</v>
      </c>
      <c r="B382" s="36" t="s">
        <v>357</v>
      </c>
      <c r="C382" s="36" t="s">
        <v>24</v>
      </c>
      <c r="D382" s="36" t="s">
        <v>3</v>
      </c>
      <c r="E382" s="37" t="s">
        <v>358</v>
      </c>
      <c r="F382" s="916"/>
    </row>
    <row r="383" spans="1:9">
      <c r="A383" s="19">
        <v>1</v>
      </c>
      <c r="B383" s="38" t="s">
        <v>360</v>
      </c>
      <c r="C383" s="38">
        <v>17</v>
      </c>
      <c r="D383" s="38">
        <v>15</v>
      </c>
      <c r="E383" s="39">
        <f>SUM(C383:D383)</f>
        <v>32</v>
      </c>
      <c r="F383" s="40"/>
      <c r="I383" s="70"/>
    </row>
    <row r="384" spans="1:9">
      <c r="A384" s="21">
        <v>2</v>
      </c>
      <c r="B384" s="42" t="s">
        <v>361</v>
      </c>
      <c r="C384" s="38">
        <v>10</v>
      </c>
      <c r="D384" s="38">
        <v>15</v>
      </c>
      <c r="E384" s="43">
        <f t="shared" ref="E384:E394" si="30">SUM(C384:D384)</f>
        <v>25</v>
      </c>
      <c r="F384" s="40"/>
      <c r="H384" s="70"/>
    </row>
    <row r="385" spans="1:9">
      <c r="A385" s="21">
        <v>3</v>
      </c>
      <c r="B385" s="42" t="s">
        <v>362</v>
      </c>
      <c r="C385" s="38">
        <v>12</v>
      </c>
      <c r="D385" s="38">
        <v>15</v>
      </c>
      <c r="E385" s="43">
        <f t="shared" si="30"/>
        <v>27</v>
      </c>
      <c r="F385" s="40"/>
      <c r="H385" s="70"/>
    </row>
    <row r="386" spans="1:9">
      <c r="A386" s="21">
        <v>4</v>
      </c>
      <c r="B386" s="42" t="s">
        <v>363</v>
      </c>
      <c r="C386" s="38">
        <v>13</v>
      </c>
      <c r="D386" s="38">
        <v>13</v>
      </c>
      <c r="E386" s="43">
        <f t="shared" si="30"/>
        <v>26</v>
      </c>
      <c r="F386" s="40"/>
    </row>
    <row r="387" spans="1:9">
      <c r="A387" s="45">
        <v>5</v>
      </c>
      <c r="B387" s="46" t="s">
        <v>364</v>
      </c>
      <c r="C387" s="38">
        <v>14</v>
      </c>
      <c r="D387" s="38">
        <v>12</v>
      </c>
      <c r="E387" s="43">
        <f t="shared" si="30"/>
        <v>26</v>
      </c>
      <c r="F387" s="40"/>
    </row>
    <row r="388" spans="1:9" ht="15.75" thickBot="1">
      <c r="A388" s="45">
        <v>6</v>
      </c>
      <c r="B388" s="544" t="s">
        <v>1065</v>
      </c>
      <c r="C388" s="38">
        <v>12</v>
      </c>
      <c r="D388" s="38">
        <v>14</v>
      </c>
      <c r="E388" s="43">
        <f t="shared" si="30"/>
        <v>26</v>
      </c>
      <c r="F388" s="40"/>
    </row>
    <row r="389" spans="1:9" ht="15.75" thickBot="1">
      <c r="A389" s="1035" t="s">
        <v>365</v>
      </c>
      <c r="B389" s="1036"/>
      <c r="C389" s="36">
        <f>SUM(C383:C388)</f>
        <v>78</v>
      </c>
      <c r="D389" s="36">
        <f>SUM(D383:D388)</f>
        <v>84</v>
      </c>
      <c r="E389" s="37">
        <f t="shared" si="30"/>
        <v>162</v>
      </c>
      <c r="F389" s="916"/>
    </row>
    <row r="390" spans="1:9">
      <c r="A390" s="19">
        <v>7</v>
      </c>
      <c r="B390" s="42" t="s">
        <v>366</v>
      </c>
      <c r="C390" s="38">
        <v>16</v>
      </c>
      <c r="D390" s="38">
        <v>16</v>
      </c>
      <c r="E390" s="43">
        <f t="shared" si="30"/>
        <v>32</v>
      </c>
      <c r="F390" s="40"/>
    </row>
    <row r="391" spans="1:9">
      <c r="A391" s="21">
        <v>8</v>
      </c>
      <c r="B391" s="42" t="s">
        <v>367</v>
      </c>
      <c r="C391" s="38">
        <v>18</v>
      </c>
      <c r="D391" s="38">
        <v>13</v>
      </c>
      <c r="E391" s="43">
        <f t="shared" si="30"/>
        <v>31</v>
      </c>
      <c r="F391" s="40"/>
    </row>
    <row r="392" spans="1:9">
      <c r="A392" s="21">
        <v>9</v>
      </c>
      <c r="B392" s="42" t="s">
        <v>369</v>
      </c>
      <c r="C392" s="38">
        <v>18</v>
      </c>
      <c r="D392" s="38">
        <v>13</v>
      </c>
      <c r="E392" s="43">
        <f t="shared" si="30"/>
        <v>31</v>
      </c>
      <c r="F392" s="40"/>
      <c r="H392" s="271"/>
    </row>
    <row r="393" spans="1:9">
      <c r="A393" s="21">
        <v>10</v>
      </c>
      <c r="B393" s="42" t="s">
        <v>370</v>
      </c>
      <c r="C393" s="38">
        <v>18</v>
      </c>
      <c r="D393" s="38">
        <v>13</v>
      </c>
      <c r="E393" s="43">
        <f t="shared" si="30"/>
        <v>31</v>
      </c>
      <c r="F393" s="40"/>
    </row>
    <row r="394" spans="1:9">
      <c r="A394" s="21">
        <v>11</v>
      </c>
      <c r="B394" s="543" t="s">
        <v>384</v>
      </c>
      <c r="C394" s="38">
        <v>13</v>
      </c>
      <c r="D394" s="38">
        <v>15</v>
      </c>
      <c r="E394" s="43">
        <f t="shared" si="30"/>
        <v>28</v>
      </c>
      <c r="F394" s="40"/>
      <c r="H394" s="70"/>
      <c r="I394" s="70"/>
    </row>
    <row r="395" spans="1:9" ht="15.75" thickBot="1">
      <c r="A395" s="21"/>
      <c r="B395" s="42"/>
      <c r="C395" s="38"/>
      <c r="D395" s="38"/>
      <c r="E395" s="43"/>
      <c r="F395" s="40"/>
    </row>
    <row r="396" spans="1:9" ht="15.75" thickBot="1">
      <c r="A396" s="1035" t="s">
        <v>365</v>
      </c>
      <c r="B396" s="1036"/>
      <c r="C396" s="36">
        <f>SUM(C390:C395)</f>
        <v>83</v>
      </c>
      <c r="D396" s="36">
        <f>SUM(D390:D395)</f>
        <v>70</v>
      </c>
      <c r="E396" s="37">
        <f t="shared" ref="E396" si="31">SUM(C396:D396)</f>
        <v>153</v>
      </c>
      <c r="F396" s="916"/>
    </row>
    <row r="397" spans="1:9">
      <c r="A397" s="19"/>
      <c r="B397" s="38"/>
      <c r="C397" s="38"/>
      <c r="D397" s="38"/>
      <c r="E397" s="39"/>
      <c r="F397" s="40"/>
    </row>
    <row r="398" spans="1:9">
      <c r="A398" s="21">
        <v>12</v>
      </c>
      <c r="B398" s="42" t="s">
        <v>372</v>
      </c>
      <c r="C398" s="38">
        <v>18</v>
      </c>
      <c r="D398" s="38">
        <v>14</v>
      </c>
      <c r="E398" s="43">
        <f>SUM(C398:D398)</f>
        <v>32</v>
      </c>
      <c r="F398" s="40"/>
      <c r="H398" s="271"/>
    </row>
    <row r="399" spans="1:9">
      <c r="A399" s="21">
        <v>13</v>
      </c>
      <c r="B399" s="42" t="s">
        <v>373</v>
      </c>
      <c r="C399" s="38">
        <v>12</v>
      </c>
      <c r="D399" s="38">
        <v>14</v>
      </c>
      <c r="E399" s="43">
        <f t="shared" ref="E399:E401" si="32">SUM(C399:D399)</f>
        <v>26</v>
      </c>
      <c r="F399" s="40"/>
    </row>
    <row r="400" spans="1:9">
      <c r="A400" s="21">
        <v>14</v>
      </c>
      <c r="B400" s="42" t="s">
        <v>374</v>
      </c>
      <c r="C400" s="637">
        <v>10</v>
      </c>
      <c r="D400" s="38">
        <v>15</v>
      </c>
      <c r="E400" s="43">
        <f t="shared" si="32"/>
        <v>25</v>
      </c>
      <c r="F400" s="40"/>
    </row>
    <row r="401" spans="1:6">
      <c r="A401" s="21">
        <v>15</v>
      </c>
      <c r="B401" s="42" t="s">
        <v>375</v>
      </c>
      <c r="C401" s="38">
        <v>10</v>
      </c>
      <c r="D401" s="38">
        <v>15</v>
      </c>
      <c r="E401" s="43">
        <f t="shared" si="32"/>
        <v>25</v>
      </c>
      <c r="F401" s="40"/>
    </row>
    <row r="402" spans="1:6">
      <c r="A402" s="21"/>
      <c r="B402" s="42"/>
      <c r="C402" s="38"/>
      <c r="D402" s="38"/>
      <c r="E402" s="43"/>
      <c r="F402" s="40"/>
    </row>
    <row r="403" spans="1:6">
      <c r="A403" s="45"/>
      <c r="B403" s="46"/>
      <c r="C403" s="38"/>
      <c r="D403" s="38"/>
      <c r="E403" s="43"/>
      <c r="F403" s="40"/>
    </row>
    <row r="404" spans="1:6" ht="15.75" thickBot="1">
      <c r="A404" s="45"/>
      <c r="B404" s="46"/>
      <c r="C404" s="38"/>
      <c r="D404" s="38"/>
      <c r="E404" s="47"/>
      <c r="F404" s="40"/>
    </row>
    <row r="405" spans="1:6" ht="15.75" thickBot="1">
      <c r="A405" s="1035" t="s">
        <v>365</v>
      </c>
      <c r="B405" s="1036"/>
      <c r="C405" s="36">
        <f>SUM(C398:C404)</f>
        <v>50</v>
      </c>
      <c r="D405" s="36">
        <f>SUM(D398:D404)</f>
        <v>58</v>
      </c>
      <c r="E405" s="37">
        <f t="shared" ref="E405" si="33">SUM(C405:D405)</f>
        <v>108</v>
      </c>
      <c r="F405" s="916"/>
    </row>
    <row r="406" spans="1:6" ht="15.75" thickBot="1">
      <c r="A406" s="48"/>
      <c r="B406" s="49"/>
      <c r="C406" s="49"/>
      <c r="D406" s="49"/>
      <c r="E406" s="50"/>
      <c r="F406" s="40"/>
    </row>
    <row r="407" spans="1:6" ht="15.75" thickBot="1">
      <c r="A407" s="1035" t="s">
        <v>376</v>
      </c>
      <c r="B407" s="1036"/>
      <c r="C407" s="90">
        <f>C389+C396+C405</f>
        <v>211</v>
      </c>
      <c r="D407" s="36">
        <f>D389+D396+D405</f>
        <v>212</v>
      </c>
      <c r="E407" s="91">
        <f>E389+E396+E405</f>
        <v>423</v>
      </c>
      <c r="F407" s="916"/>
    </row>
    <row r="409" spans="1:6">
      <c r="D409" s="707" t="s">
        <v>1207</v>
      </c>
    </row>
    <row r="410" spans="1:6">
      <c r="D410" t="s">
        <v>382</v>
      </c>
    </row>
    <row r="414" spans="1:6">
      <c r="D414" s="92" t="s">
        <v>1208</v>
      </c>
    </row>
    <row r="415" spans="1:6">
      <c r="D415" t="s">
        <v>637</v>
      </c>
    </row>
    <row r="416" spans="1:6" ht="15.75" thickBot="1">
      <c r="A416" s="731" t="s">
        <v>383</v>
      </c>
      <c r="D416" t="s">
        <v>1209</v>
      </c>
    </row>
    <row r="417" spans="1:7">
      <c r="A417" s="708" t="s">
        <v>1205</v>
      </c>
      <c r="B417" s="709" t="s">
        <v>1160</v>
      </c>
      <c r="C417" s="710" t="s">
        <v>1032</v>
      </c>
      <c r="D417" s="711" t="s">
        <v>1065</v>
      </c>
      <c r="E417" s="717" t="s">
        <v>1204</v>
      </c>
      <c r="F417" s="95"/>
    </row>
    <row r="418" spans="1:7" ht="16.5">
      <c r="A418" s="712"/>
      <c r="B418" s="694"/>
      <c r="C418" s="695"/>
      <c r="D418" s="500"/>
      <c r="E418" s="696"/>
      <c r="F418" s="980"/>
      <c r="G418" s="598"/>
    </row>
    <row r="419" spans="1:7" ht="17.25" thickBot="1">
      <c r="A419" s="713"/>
      <c r="B419" s="714"/>
      <c r="C419" s="715"/>
      <c r="D419" s="716"/>
      <c r="E419" s="718"/>
      <c r="F419" s="981"/>
      <c r="G419" s="279"/>
    </row>
    <row r="420" spans="1:7" ht="16.5">
      <c r="G420" s="598"/>
    </row>
    <row r="425" spans="1:7">
      <c r="A425" s="1018" t="s">
        <v>0</v>
      </c>
      <c r="B425" s="1018"/>
      <c r="C425" s="1018"/>
      <c r="D425" s="1018"/>
      <c r="E425" s="1018"/>
      <c r="F425" s="911"/>
    </row>
    <row r="426" spans="1:7">
      <c r="A426" s="1018" t="s">
        <v>1</v>
      </c>
      <c r="B426" s="1018"/>
      <c r="C426" s="1018"/>
      <c r="D426" s="1018"/>
      <c r="E426" s="1018"/>
      <c r="F426" s="911"/>
    </row>
    <row r="427" spans="1:7">
      <c r="A427" s="1018" t="s">
        <v>4</v>
      </c>
      <c r="B427" s="1018"/>
      <c r="C427" s="1018"/>
      <c r="D427" s="1018"/>
      <c r="E427" s="1018"/>
      <c r="F427" s="911"/>
    </row>
    <row r="428" spans="1:7">
      <c r="A428" s="1019" t="s">
        <v>6</v>
      </c>
      <c r="B428" s="1019"/>
      <c r="C428" s="1019"/>
      <c r="D428" s="1019"/>
      <c r="E428" s="1019"/>
      <c r="F428" s="912"/>
    </row>
    <row r="429" spans="1:7">
      <c r="A429" s="1020" t="s">
        <v>7</v>
      </c>
      <c r="B429" s="1020"/>
      <c r="C429" s="1020"/>
      <c r="D429" s="1020"/>
      <c r="E429" s="1020"/>
      <c r="F429" s="918"/>
    </row>
    <row r="430" spans="1:7">
      <c r="E430" s="16"/>
      <c r="F430" s="16"/>
    </row>
    <row r="431" spans="1:7" ht="15.75">
      <c r="A431" s="1021" t="s">
        <v>353</v>
      </c>
      <c r="B431" s="1021"/>
      <c r="C431" s="1021"/>
      <c r="D431" s="1021"/>
      <c r="E431" s="1021"/>
      <c r="F431" s="914"/>
    </row>
    <row r="432" spans="1:7" ht="15.75">
      <c r="A432" s="1022" t="s">
        <v>4</v>
      </c>
      <c r="B432" s="1022"/>
      <c r="C432" s="1022"/>
      <c r="D432" s="1022"/>
      <c r="E432" s="1022"/>
      <c r="F432" s="915"/>
    </row>
    <row r="433" spans="1:9" ht="15.75">
      <c r="A433" s="1037" t="s">
        <v>647</v>
      </c>
      <c r="B433" s="1037"/>
      <c r="C433" s="1037"/>
      <c r="D433" s="1037"/>
      <c r="E433" s="1037"/>
      <c r="F433" s="917"/>
    </row>
    <row r="434" spans="1:9" ht="15.75" thickBot="1"/>
    <row r="435" spans="1:9" ht="15.75" thickBot="1">
      <c r="A435" s="35" t="s">
        <v>356</v>
      </c>
      <c r="B435" s="36" t="s">
        <v>357</v>
      </c>
      <c r="C435" s="36" t="s">
        <v>24</v>
      </c>
      <c r="D435" s="36" t="s">
        <v>3</v>
      </c>
      <c r="E435" s="37" t="s">
        <v>358</v>
      </c>
      <c r="F435" s="916"/>
    </row>
    <row r="436" spans="1:9">
      <c r="A436" s="19">
        <v>1</v>
      </c>
      <c r="B436" s="38" t="s">
        <v>360</v>
      </c>
      <c r="C436" s="38">
        <v>17</v>
      </c>
      <c r="D436" s="38">
        <v>15</v>
      </c>
      <c r="E436" s="39">
        <f>SUM(C436:D436)</f>
        <v>32</v>
      </c>
      <c r="F436" s="40"/>
      <c r="H436" s="277"/>
      <c r="I436" s="41"/>
    </row>
    <row r="437" spans="1:9">
      <c r="A437" s="21">
        <v>2</v>
      </c>
      <c r="B437" s="42" t="s">
        <v>361</v>
      </c>
      <c r="C437" s="38">
        <v>10</v>
      </c>
      <c r="D437" s="38">
        <v>15</v>
      </c>
      <c r="E437" s="43">
        <f t="shared" ref="E437:E447" si="34">SUM(C437:D437)</f>
        <v>25</v>
      </c>
      <c r="F437" s="40"/>
      <c r="H437" s="40"/>
      <c r="I437" s="40"/>
    </row>
    <row r="438" spans="1:9" ht="16.5">
      <c r="A438" s="21">
        <v>3</v>
      </c>
      <c r="B438" s="42" t="s">
        <v>362</v>
      </c>
      <c r="C438" s="38">
        <v>12</v>
      </c>
      <c r="D438" s="38">
        <v>15</v>
      </c>
      <c r="E438" s="43">
        <f t="shared" si="34"/>
        <v>27</v>
      </c>
      <c r="F438" s="40"/>
      <c r="I438" s="44"/>
    </row>
    <row r="439" spans="1:9">
      <c r="A439" s="21">
        <v>4</v>
      </c>
      <c r="B439" s="42" t="s">
        <v>363</v>
      </c>
      <c r="C439" s="38">
        <v>13</v>
      </c>
      <c r="D439" s="38">
        <v>13</v>
      </c>
      <c r="E439" s="43">
        <f t="shared" si="34"/>
        <v>26</v>
      </c>
      <c r="F439" s="40"/>
      <c r="H439" s="40"/>
      <c r="I439" s="40"/>
    </row>
    <row r="440" spans="1:9">
      <c r="A440" s="45">
        <v>5</v>
      </c>
      <c r="B440" s="46" t="s">
        <v>364</v>
      </c>
      <c r="C440" s="38">
        <v>14</v>
      </c>
      <c r="D440" s="38">
        <v>12</v>
      </c>
      <c r="E440" s="43">
        <f t="shared" si="34"/>
        <v>26</v>
      </c>
      <c r="F440" s="40"/>
      <c r="H440" s="277"/>
      <c r="I440" s="40"/>
    </row>
    <row r="441" spans="1:9" ht="15.75" thickBot="1">
      <c r="A441" s="45">
        <v>6</v>
      </c>
      <c r="B441" s="544" t="s">
        <v>1065</v>
      </c>
      <c r="C441" s="38">
        <v>12</v>
      </c>
      <c r="D441" s="38">
        <v>14</v>
      </c>
      <c r="E441" s="43">
        <f t="shared" si="34"/>
        <v>26</v>
      </c>
      <c r="F441" s="40"/>
      <c r="H441" s="40"/>
      <c r="I441" s="40"/>
    </row>
    <row r="442" spans="1:9" ht="15.75" thickBot="1">
      <c r="A442" s="1035" t="s">
        <v>365</v>
      </c>
      <c r="B442" s="1036"/>
      <c r="C442" s="36">
        <f>SUM(C436:C441)</f>
        <v>78</v>
      </c>
      <c r="D442" s="36">
        <f>SUM(D436:D441)</f>
        <v>84</v>
      </c>
      <c r="E442" s="37">
        <f t="shared" si="34"/>
        <v>162</v>
      </c>
      <c r="F442" s="916"/>
      <c r="H442" s="1039"/>
      <c r="I442" s="1039"/>
    </row>
    <row r="443" spans="1:9">
      <c r="A443" s="19">
        <v>7</v>
      </c>
      <c r="B443" s="42" t="s">
        <v>366</v>
      </c>
      <c r="C443" s="38">
        <v>16</v>
      </c>
      <c r="D443" s="38">
        <v>16</v>
      </c>
      <c r="E443" s="43">
        <f t="shared" si="34"/>
        <v>32</v>
      </c>
      <c r="F443" s="40"/>
      <c r="H443" s="40"/>
    </row>
    <row r="444" spans="1:9">
      <c r="A444" s="21">
        <v>8</v>
      </c>
      <c r="B444" s="42" t="s">
        <v>367</v>
      </c>
      <c r="C444" s="38">
        <v>18</v>
      </c>
      <c r="D444" s="38">
        <v>13</v>
      </c>
      <c r="E444" s="43">
        <f t="shared" si="34"/>
        <v>31</v>
      </c>
      <c r="F444" s="40"/>
      <c r="H444" s="287"/>
      <c r="I444" s="41"/>
    </row>
    <row r="445" spans="1:9">
      <c r="A445" s="21">
        <v>9</v>
      </c>
      <c r="B445" s="42" t="s">
        <v>369</v>
      </c>
      <c r="C445" s="38">
        <v>18</v>
      </c>
      <c r="D445" s="38">
        <v>13</v>
      </c>
      <c r="E445" s="43">
        <f t="shared" si="34"/>
        <v>31</v>
      </c>
      <c r="F445" s="40"/>
      <c r="H445" s="288"/>
      <c r="I445" s="40"/>
    </row>
    <row r="446" spans="1:9">
      <c r="A446" s="21">
        <v>10</v>
      </c>
      <c r="B446" s="42" t="s">
        <v>370</v>
      </c>
      <c r="C446" s="38">
        <v>19</v>
      </c>
      <c r="D446" s="38">
        <v>13</v>
      </c>
      <c r="E446" s="43">
        <f t="shared" si="34"/>
        <v>32</v>
      </c>
      <c r="F446" s="40"/>
      <c r="H446" s="41"/>
      <c r="I446" s="40"/>
    </row>
    <row r="447" spans="1:9">
      <c r="A447" s="21">
        <v>11</v>
      </c>
      <c r="B447" s="543" t="s">
        <v>384</v>
      </c>
      <c r="C447" s="38">
        <v>13</v>
      </c>
      <c r="D447" s="38">
        <v>14</v>
      </c>
      <c r="E447" s="43">
        <f t="shared" si="34"/>
        <v>27</v>
      </c>
      <c r="F447" s="40"/>
      <c r="H447" s="40"/>
      <c r="I447" s="40"/>
    </row>
    <row r="448" spans="1:9" ht="15.75" thickBot="1">
      <c r="A448" s="21"/>
      <c r="B448" s="42"/>
      <c r="C448" s="38"/>
      <c r="D448" s="38"/>
      <c r="E448" s="43"/>
      <c r="F448" s="40"/>
      <c r="H448" s="40"/>
      <c r="I448" s="40"/>
    </row>
    <row r="449" spans="1:9" ht="15.75" thickBot="1">
      <c r="A449" s="1035" t="s">
        <v>365</v>
      </c>
      <c r="B449" s="1036"/>
      <c r="C449" s="36">
        <f>SUM(C443:C448)</f>
        <v>84</v>
      </c>
      <c r="D449" s="36">
        <f>SUM(D443:D448)</f>
        <v>69</v>
      </c>
      <c r="E449" s="37">
        <f t="shared" ref="E449" si="35">SUM(C449:D449)</f>
        <v>153</v>
      </c>
      <c r="F449" s="916"/>
      <c r="H449" s="1039"/>
      <c r="I449" s="1039"/>
    </row>
    <row r="450" spans="1:9">
      <c r="A450" s="19"/>
      <c r="B450" s="38"/>
      <c r="C450" s="38"/>
      <c r="D450" s="38"/>
      <c r="E450" s="39"/>
      <c r="F450" s="40"/>
      <c r="H450" s="40"/>
      <c r="I450" s="40"/>
    </row>
    <row r="451" spans="1:9">
      <c r="A451" s="21">
        <v>12</v>
      </c>
      <c r="B451" s="42" t="s">
        <v>372</v>
      </c>
      <c r="C451" s="38">
        <v>18</v>
      </c>
      <c r="D451" s="38">
        <v>14</v>
      </c>
      <c r="E451" s="43">
        <f>SUM(C451:D451)</f>
        <v>32</v>
      </c>
      <c r="F451" s="40"/>
      <c r="H451" s="259"/>
      <c r="I451" s="40"/>
    </row>
    <row r="452" spans="1:9">
      <c r="A452" s="21">
        <v>13</v>
      </c>
      <c r="B452" s="42" t="s">
        <v>373</v>
      </c>
      <c r="C452" s="38">
        <v>12</v>
      </c>
      <c r="D452" s="38">
        <v>14</v>
      </c>
      <c r="E452" s="43">
        <f t="shared" ref="E452:E454" si="36">SUM(C452:D452)</f>
        <v>26</v>
      </c>
      <c r="F452" s="40"/>
      <c r="H452" s="40"/>
      <c r="I452" s="40"/>
    </row>
    <row r="453" spans="1:9">
      <c r="A453" s="21">
        <v>14</v>
      </c>
      <c r="B453" s="42" t="s">
        <v>374</v>
      </c>
      <c r="C453" s="637">
        <v>10</v>
      </c>
      <c r="D453" s="38">
        <v>15</v>
      </c>
      <c r="E453" s="43">
        <f t="shared" si="36"/>
        <v>25</v>
      </c>
      <c r="F453" s="40"/>
      <c r="H453" s="40"/>
      <c r="I453" s="40"/>
    </row>
    <row r="454" spans="1:9">
      <c r="A454" s="21">
        <v>15</v>
      </c>
      <c r="B454" s="42" t="s">
        <v>375</v>
      </c>
      <c r="C454" s="38">
        <v>10</v>
      </c>
      <c r="D454" s="38">
        <v>15</v>
      </c>
      <c r="E454" s="43">
        <f t="shared" si="36"/>
        <v>25</v>
      </c>
      <c r="F454" s="40"/>
      <c r="H454" s="40"/>
      <c r="I454" s="40"/>
    </row>
    <row r="455" spans="1:9">
      <c r="A455" s="21"/>
      <c r="B455" s="42"/>
      <c r="C455" s="38"/>
      <c r="D455" s="38"/>
      <c r="E455" s="43"/>
      <c r="F455" s="40"/>
      <c r="H455" s="40"/>
      <c r="I455" s="40"/>
    </row>
    <row r="456" spans="1:9">
      <c r="A456" s="45"/>
      <c r="B456" s="46"/>
      <c r="C456" s="38"/>
      <c r="D456" s="38"/>
      <c r="E456" s="43"/>
      <c r="F456" s="40"/>
      <c r="H456" s="40"/>
      <c r="I456" s="40"/>
    </row>
    <row r="457" spans="1:9" ht="15.75" thickBot="1">
      <c r="A457" s="45"/>
      <c r="B457" s="46"/>
      <c r="C457" s="38"/>
      <c r="D457" s="38"/>
      <c r="E457" s="47"/>
      <c r="F457" s="40"/>
    </row>
    <row r="458" spans="1:9" ht="15.75" thickBot="1">
      <c r="A458" s="1035" t="s">
        <v>365</v>
      </c>
      <c r="B458" s="1036"/>
      <c r="C458" s="36">
        <f>SUM(C451:C457)</f>
        <v>50</v>
      </c>
      <c r="D458" s="36">
        <f>SUM(D451:D457)</f>
        <v>58</v>
      </c>
      <c r="E458" s="37">
        <f t="shared" ref="E458" si="37">SUM(C458:D458)</f>
        <v>108</v>
      </c>
      <c r="F458" s="916"/>
    </row>
    <row r="459" spans="1:9" ht="15.75" thickBot="1">
      <c r="A459" s="48"/>
      <c r="B459" s="49"/>
      <c r="C459" s="49"/>
      <c r="D459" s="49"/>
      <c r="E459" s="50"/>
      <c r="F459" s="40"/>
    </row>
    <row r="460" spans="1:9" ht="15.75" thickBot="1">
      <c r="A460" s="1035" t="s">
        <v>376</v>
      </c>
      <c r="B460" s="1036"/>
      <c r="C460" s="90">
        <f>C442+C449+C458</f>
        <v>212</v>
      </c>
      <c r="D460" s="36">
        <f>D442+D449+D458</f>
        <v>211</v>
      </c>
      <c r="E460" s="91">
        <f>E442+E449+E458</f>
        <v>423</v>
      </c>
      <c r="F460" s="916"/>
    </row>
    <row r="462" spans="1:9">
      <c r="D462" s="731" t="s">
        <v>1217</v>
      </c>
    </row>
    <row r="463" spans="1:9">
      <c r="D463" t="s">
        <v>382</v>
      </c>
    </row>
    <row r="466" spans="1:7">
      <c r="D466" s="92" t="s">
        <v>1208</v>
      </c>
    </row>
    <row r="467" spans="1:7">
      <c r="D467" t="s">
        <v>637</v>
      </c>
    </row>
    <row r="468" spans="1:7">
      <c r="D468" t="s">
        <v>1209</v>
      </c>
    </row>
    <row r="469" spans="1:7">
      <c r="A469" s="274" t="s">
        <v>383</v>
      </c>
    </row>
    <row r="470" spans="1:7">
      <c r="A470" s="720" t="s">
        <v>1210</v>
      </c>
      <c r="B470" s="721" t="s">
        <v>1216</v>
      </c>
      <c r="C470" s="722" t="s">
        <v>1213</v>
      </c>
      <c r="D470" s="723" t="s">
        <v>370</v>
      </c>
      <c r="E470" s="724" t="s">
        <v>1211</v>
      </c>
      <c r="F470" s="586"/>
    </row>
    <row r="471" spans="1:7">
      <c r="A471" s="719" t="s">
        <v>1212</v>
      </c>
      <c r="B471" s="727" t="s">
        <v>1215</v>
      </c>
      <c r="C471" s="725" t="s">
        <v>1175</v>
      </c>
      <c r="D471" s="726" t="s">
        <v>384</v>
      </c>
      <c r="E471" s="727" t="s">
        <v>1214</v>
      </c>
      <c r="F471" s="255"/>
    </row>
    <row r="472" spans="1:7">
      <c r="A472" s="720" t="s">
        <v>1221</v>
      </c>
      <c r="B472" s="426" t="s">
        <v>1218</v>
      </c>
      <c r="C472" s="458" t="s">
        <v>1220</v>
      </c>
      <c r="D472" s="732" t="s">
        <v>364</v>
      </c>
      <c r="E472" s="721" t="s">
        <v>1219</v>
      </c>
      <c r="F472" s="447"/>
    </row>
    <row r="473" spans="1:7">
      <c r="G473" s="271"/>
    </row>
    <row r="475" spans="1:7">
      <c r="A475" s="34"/>
      <c r="B475" s="293"/>
      <c r="C475" s="276"/>
      <c r="D475" s="275"/>
      <c r="E475" s="276"/>
      <c r="F475" s="276"/>
    </row>
    <row r="476" spans="1:7">
      <c r="A476" s="139"/>
      <c r="B476" s="539"/>
      <c r="C476" s="447"/>
      <c r="D476" s="430"/>
      <c r="E476" s="447"/>
      <c r="F476" s="447"/>
    </row>
    <row r="479" spans="1:7">
      <c r="A479" s="1018" t="s">
        <v>0</v>
      </c>
      <c r="B479" s="1018"/>
      <c r="C479" s="1018"/>
      <c r="D479" s="1018"/>
      <c r="E479" s="1018"/>
      <c r="F479" s="911"/>
    </row>
    <row r="480" spans="1:7">
      <c r="A480" s="1018" t="s">
        <v>1</v>
      </c>
      <c r="B480" s="1018"/>
      <c r="C480" s="1018"/>
      <c r="D480" s="1018"/>
      <c r="E480" s="1018"/>
      <c r="F480" s="911"/>
    </row>
    <row r="481" spans="1:9">
      <c r="A481" s="1018" t="s">
        <v>4</v>
      </c>
      <c r="B481" s="1018"/>
      <c r="C481" s="1018"/>
      <c r="D481" s="1018"/>
      <c r="E481" s="1018"/>
      <c r="F481" s="911"/>
    </row>
    <row r="482" spans="1:9">
      <c r="A482" s="1019" t="s">
        <v>6</v>
      </c>
      <c r="B482" s="1019"/>
      <c r="C482" s="1019"/>
      <c r="D482" s="1019"/>
      <c r="E482" s="1019"/>
      <c r="F482" s="912"/>
    </row>
    <row r="483" spans="1:9">
      <c r="A483" s="1020" t="s">
        <v>7</v>
      </c>
      <c r="B483" s="1020"/>
      <c r="C483" s="1020"/>
      <c r="D483" s="1020"/>
      <c r="E483" s="1020"/>
      <c r="F483" s="918"/>
    </row>
    <row r="484" spans="1:9">
      <c r="E484" s="16"/>
      <c r="F484" s="16"/>
    </row>
    <row r="485" spans="1:9" ht="15.75">
      <c r="A485" s="1021" t="s">
        <v>353</v>
      </c>
      <c r="B485" s="1021"/>
      <c r="C485" s="1021"/>
      <c r="D485" s="1021"/>
      <c r="E485" s="1021"/>
      <c r="F485" s="914"/>
    </row>
    <row r="486" spans="1:9" ht="15.75">
      <c r="A486" s="1022" t="s">
        <v>4</v>
      </c>
      <c r="B486" s="1022"/>
      <c r="C486" s="1022"/>
      <c r="D486" s="1022"/>
      <c r="E486" s="1022"/>
      <c r="F486" s="915"/>
    </row>
    <row r="487" spans="1:9" ht="15.75">
      <c r="A487" s="1037" t="s">
        <v>647</v>
      </c>
      <c r="B487" s="1037"/>
      <c r="C487" s="1037"/>
      <c r="D487" s="1037"/>
      <c r="E487" s="1037"/>
      <c r="F487" s="917"/>
    </row>
    <row r="488" spans="1:9" ht="15.75" thickBot="1"/>
    <row r="489" spans="1:9" ht="15.75" thickBot="1">
      <c r="A489" s="35" t="s">
        <v>356</v>
      </c>
      <c r="B489" s="36" t="s">
        <v>357</v>
      </c>
      <c r="C489" s="36" t="s">
        <v>24</v>
      </c>
      <c r="D489" s="36" t="s">
        <v>3</v>
      </c>
      <c r="E489" s="37" t="s">
        <v>358</v>
      </c>
      <c r="F489" s="916"/>
    </row>
    <row r="490" spans="1:9">
      <c r="A490" s="19">
        <v>1</v>
      </c>
      <c r="B490" s="38" t="s">
        <v>360</v>
      </c>
      <c r="C490" s="38">
        <v>17</v>
      </c>
      <c r="D490" s="38">
        <v>15</v>
      </c>
      <c r="E490" s="39">
        <f>SUM(C490:D490)</f>
        <v>32</v>
      </c>
      <c r="F490" s="40"/>
      <c r="H490" s="277"/>
      <c r="I490" s="41"/>
    </row>
    <row r="491" spans="1:9">
      <c r="A491" s="21">
        <v>2</v>
      </c>
      <c r="B491" s="42" t="s">
        <v>361</v>
      </c>
      <c r="C491" s="38">
        <v>10</v>
      </c>
      <c r="D491" s="38">
        <v>16</v>
      </c>
      <c r="E491" s="43">
        <f t="shared" ref="E491:E501" si="38">SUM(C491:D491)</f>
        <v>26</v>
      </c>
      <c r="F491" s="40"/>
      <c r="H491" s="40"/>
      <c r="I491" s="40"/>
    </row>
    <row r="492" spans="1:9" ht="16.5">
      <c r="A492" s="21">
        <v>3</v>
      </c>
      <c r="B492" s="42" t="s">
        <v>362</v>
      </c>
      <c r="C492" s="38">
        <v>12</v>
      </c>
      <c r="D492" s="38">
        <v>15</v>
      </c>
      <c r="E492" s="43">
        <f t="shared" si="38"/>
        <v>27</v>
      </c>
      <c r="F492" s="40"/>
      <c r="I492" s="44"/>
    </row>
    <row r="493" spans="1:9">
      <c r="A493" s="21">
        <v>4</v>
      </c>
      <c r="B493" s="42" t="s">
        <v>363</v>
      </c>
      <c r="C493" s="38">
        <v>13</v>
      </c>
      <c r="D493" s="38">
        <v>13</v>
      </c>
      <c r="E493" s="43">
        <f t="shared" si="38"/>
        <v>26</v>
      </c>
      <c r="F493" s="40"/>
      <c r="H493" s="290"/>
      <c r="I493" s="40"/>
    </row>
    <row r="494" spans="1:9">
      <c r="A494" s="45">
        <v>5</v>
      </c>
      <c r="B494" s="46" t="s">
        <v>364</v>
      </c>
      <c r="C494" s="38">
        <v>14</v>
      </c>
      <c r="D494" s="38">
        <v>12</v>
      </c>
      <c r="E494" s="43">
        <f t="shared" si="38"/>
        <v>26</v>
      </c>
      <c r="F494" s="40"/>
      <c r="H494" s="277"/>
      <c r="I494" s="40"/>
    </row>
    <row r="495" spans="1:9" ht="15.75" thickBot="1">
      <c r="A495" s="45">
        <v>6</v>
      </c>
      <c r="B495" s="544" t="s">
        <v>1065</v>
      </c>
      <c r="C495" s="38">
        <v>12</v>
      </c>
      <c r="D495" s="38">
        <v>14</v>
      </c>
      <c r="E495" s="43">
        <f t="shared" si="38"/>
        <v>26</v>
      </c>
      <c r="F495" s="40"/>
      <c r="H495" s="40"/>
      <c r="I495" s="40"/>
    </row>
    <row r="496" spans="1:9" ht="15.75" thickBot="1">
      <c r="A496" s="1035" t="s">
        <v>365</v>
      </c>
      <c r="B496" s="1036"/>
      <c r="C496" s="36">
        <f>SUM(C490:C495)</f>
        <v>78</v>
      </c>
      <c r="D496" s="36">
        <f>SUM(D490:D495)</f>
        <v>85</v>
      </c>
      <c r="E496" s="37">
        <f t="shared" si="38"/>
        <v>163</v>
      </c>
      <c r="F496" s="916"/>
      <c r="H496" s="1039"/>
      <c r="I496" s="1039"/>
    </row>
    <row r="497" spans="1:9">
      <c r="A497" s="19">
        <v>7</v>
      </c>
      <c r="B497" s="42" t="s">
        <v>366</v>
      </c>
      <c r="C497" s="38">
        <v>16</v>
      </c>
      <c r="D497" s="38">
        <v>16</v>
      </c>
      <c r="E497" s="43">
        <f t="shared" si="38"/>
        <v>32</v>
      </c>
      <c r="F497" s="40"/>
      <c r="H497" s="40"/>
    </row>
    <row r="498" spans="1:9">
      <c r="A498" s="21">
        <v>8</v>
      </c>
      <c r="B498" s="42" t="s">
        <v>367</v>
      </c>
      <c r="C498" s="38">
        <v>18</v>
      </c>
      <c r="D498" s="38">
        <v>13</v>
      </c>
      <c r="E498" s="43">
        <f t="shared" si="38"/>
        <v>31</v>
      </c>
      <c r="F498" s="40"/>
      <c r="H498" s="287"/>
      <c r="I498" s="41"/>
    </row>
    <row r="499" spans="1:9">
      <c r="A499" s="21">
        <v>9</v>
      </c>
      <c r="B499" s="42" t="s">
        <v>369</v>
      </c>
      <c r="C499" s="38">
        <v>18</v>
      </c>
      <c r="D499" s="38">
        <v>13</v>
      </c>
      <c r="E499" s="43">
        <f t="shared" si="38"/>
        <v>31</v>
      </c>
      <c r="F499" s="40"/>
      <c r="H499" s="288"/>
      <c r="I499" s="40"/>
    </row>
    <row r="500" spans="1:9">
      <c r="A500" s="21">
        <v>10</v>
      </c>
      <c r="B500" s="42" t="s">
        <v>370</v>
      </c>
      <c r="C500" s="38">
        <v>19</v>
      </c>
      <c r="D500" s="38">
        <v>13</v>
      </c>
      <c r="E500" s="43">
        <f t="shared" si="38"/>
        <v>32</v>
      </c>
      <c r="F500" s="40"/>
      <c r="H500" s="288"/>
      <c r="I500" s="40"/>
    </row>
    <row r="501" spans="1:9">
      <c r="A501" s="21">
        <v>11</v>
      </c>
      <c r="B501" s="543" t="s">
        <v>384</v>
      </c>
      <c r="C501" s="38">
        <v>13</v>
      </c>
      <c r="D501" s="38">
        <v>14</v>
      </c>
      <c r="E501" s="43">
        <f t="shared" si="38"/>
        <v>27</v>
      </c>
      <c r="F501" s="40"/>
      <c r="H501" s="40"/>
      <c r="I501" s="40"/>
    </row>
    <row r="502" spans="1:9" ht="15.75" thickBot="1">
      <c r="A502" s="21"/>
      <c r="B502" s="42"/>
      <c r="C502" s="38"/>
      <c r="D502" s="38"/>
      <c r="E502" s="43"/>
      <c r="F502" s="40"/>
      <c r="H502" s="40"/>
      <c r="I502" s="40"/>
    </row>
    <row r="503" spans="1:9" ht="15.75" thickBot="1">
      <c r="A503" s="1035" t="s">
        <v>365</v>
      </c>
      <c r="B503" s="1036"/>
      <c r="C503" s="36">
        <f>SUM(C497:C502)</f>
        <v>84</v>
      </c>
      <c r="D503" s="36">
        <f>SUM(D497:D502)</f>
        <v>69</v>
      </c>
      <c r="E503" s="37">
        <f t="shared" ref="E503" si="39">SUM(C503:D503)</f>
        <v>153</v>
      </c>
      <c r="F503" s="916"/>
      <c r="H503" s="1039"/>
      <c r="I503" s="1039"/>
    </row>
    <row r="504" spans="1:9">
      <c r="A504" s="19"/>
      <c r="B504" s="38"/>
      <c r="C504" s="38"/>
      <c r="D504" s="38"/>
      <c r="E504" s="39"/>
      <c r="F504" s="40"/>
      <c r="H504" s="40"/>
      <c r="I504" s="40"/>
    </row>
    <row r="505" spans="1:9">
      <c r="A505" s="21">
        <v>12</v>
      </c>
      <c r="B505" s="42" t="s">
        <v>372</v>
      </c>
      <c r="C505" s="38">
        <v>18</v>
      </c>
      <c r="D505" s="38">
        <v>14</v>
      </c>
      <c r="E505" s="43">
        <f>SUM(C505:D505)</f>
        <v>32</v>
      </c>
      <c r="F505" s="40"/>
      <c r="H505" s="288"/>
      <c r="I505" s="40"/>
    </row>
    <row r="506" spans="1:9">
      <c r="A506" s="21">
        <v>13</v>
      </c>
      <c r="B506" s="42" t="s">
        <v>373</v>
      </c>
      <c r="C506" s="38">
        <v>12</v>
      </c>
      <c r="D506" s="38">
        <v>14</v>
      </c>
      <c r="E506" s="43">
        <f t="shared" ref="E506:E508" si="40">SUM(C506:D506)</f>
        <v>26</v>
      </c>
      <c r="F506" s="40"/>
      <c r="H506" s="291"/>
      <c r="I506" s="40"/>
    </row>
    <row r="507" spans="1:9">
      <c r="A507" s="21">
        <v>14</v>
      </c>
      <c r="B507" s="42" t="s">
        <v>374</v>
      </c>
      <c r="C507" s="637">
        <v>10</v>
      </c>
      <c r="D507" s="38">
        <v>15</v>
      </c>
      <c r="E507" s="43">
        <f t="shared" si="40"/>
        <v>25</v>
      </c>
      <c r="F507" s="40"/>
      <c r="H507" s="291"/>
      <c r="I507" s="40"/>
    </row>
    <row r="508" spans="1:9">
      <c r="A508" s="21">
        <v>15</v>
      </c>
      <c r="B508" s="42" t="s">
        <v>375</v>
      </c>
      <c r="C508" s="38">
        <v>10</v>
      </c>
      <c r="D508" s="38">
        <v>15</v>
      </c>
      <c r="E508" s="43">
        <f t="shared" si="40"/>
        <v>25</v>
      </c>
      <c r="F508" s="40"/>
      <c r="H508" s="291"/>
      <c r="I508" s="40"/>
    </row>
    <row r="509" spans="1:9">
      <c r="A509" s="21"/>
      <c r="B509" s="42"/>
      <c r="C509" s="38"/>
      <c r="D509" s="38"/>
      <c r="E509" s="43"/>
      <c r="F509" s="40"/>
      <c r="H509" s="40"/>
      <c r="I509" s="40"/>
    </row>
    <row r="510" spans="1:9">
      <c r="A510" s="45"/>
      <c r="B510" s="46"/>
      <c r="C510" s="38"/>
      <c r="D510" s="38"/>
      <c r="E510" s="43"/>
      <c r="F510" s="40"/>
      <c r="H510" s="40"/>
      <c r="I510" s="40"/>
    </row>
    <row r="511" spans="1:9" ht="15.75" thickBot="1">
      <c r="A511" s="45"/>
      <c r="B511" s="46"/>
      <c r="C511" s="38"/>
      <c r="D511" s="38"/>
      <c r="E511" s="47"/>
      <c r="F511" s="40"/>
    </row>
    <row r="512" spans="1:9" ht="15.75" thickBot="1">
      <c r="A512" s="1035" t="s">
        <v>365</v>
      </c>
      <c r="B512" s="1036"/>
      <c r="C512" s="36">
        <f>SUM(C505:C511)</f>
        <v>50</v>
      </c>
      <c r="D512" s="36">
        <f>SUM(D505:D511)</f>
        <v>58</v>
      </c>
      <c r="E512" s="37">
        <f t="shared" ref="E512" si="41">SUM(C512:D512)</f>
        <v>108</v>
      </c>
      <c r="F512" s="916"/>
    </row>
    <row r="513" spans="1:6" ht="15.75" thickBot="1">
      <c r="A513" s="48"/>
      <c r="B513" s="49"/>
      <c r="C513" s="49"/>
      <c r="D513" s="49"/>
      <c r="E513" s="50"/>
      <c r="F513" s="40"/>
    </row>
    <row r="514" spans="1:6" ht="15.75" thickBot="1">
      <c r="A514" s="1035" t="s">
        <v>376</v>
      </c>
      <c r="B514" s="1036"/>
      <c r="C514" s="90">
        <f>C496+C503+C512</f>
        <v>212</v>
      </c>
      <c r="D514" s="36">
        <f>D496+D503+D512</f>
        <v>212</v>
      </c>
      <c r="E514" s="91">
        <f>E496+E503+E512</f>
        <v>424</v>
      </c>
      <c r="F514" s="916"/>
    </row>
    <row r="516" spans="1:6">
      <c r="D516" s="759" t="s">
        <v>1224</v>
      </c>
    </row>
    <row r="517" spans="1:6">
      <c r="D517" t="s">
        <v>382</v>
      </c>
    </row>
    <row r="521" spans="1:6">
      <c r="D521" s="92" t="s">
        <v>1208</v>
      </c>
    </row>
    <row r="522" spans="1:6">
      <c r="D522" t="s">
        <v>637</v>
      </c>
    </row>
    <row r="523" spans="1:6">
      <c r="A523" t="s">
        <v>385</v>
      </c>
      <c r="D523" t="s">
        <v>1209</v>
      </c>
    </row>
    <row r="524" spans="1:6" ht="16.5">
      <c r="A524" s="761" t="s">
        <v>1225</v>
      </c>
      <c r="B524" s="68" t="s">
        <v>1226</v>
      </c>
      <c r="C524" s="55" t="s">
        <v>1227</v>
      </c>
      <c r="D524" s="760" t="s">
        <v>361</v>
      </c>
      <c r="E524" s="760" t="s">
        <v>1228</v>
      </c>
      <c r="F524" s="602"/>
    </row>
    <row r="525" spans="1:6">
      <c r="B525" s="70"/>
    </row>
    <row r="526" spans="1:6">
      <c r="B526" s="70"/>
    </row>
    <row r="527" spans="1:6">
      <c r="B527" s="70"/>
    </row>
    <row r="533" spans="1:6">
      <c r="A533" s="1018" t="s">
        <v>0</v>
      </c>
      <c r="B533" s="1018"/>
      <c r="C533" s="1018"/>
      <c r="D533" s="1018"/>
      <c r="E533" s="1018"/>
      <c r="F533" s="911"/>
    </row>
    <row r="534" spans="1:6">
      <c r="A534" s="1018" t="s">
        <v>1</v>
      </c>
      <c r="B534" s="1018"/>
      <c r="C534" s="1018"/>
      <c r="D534" s="1018"/>
      <c r="E534" s="1018"/>
      <c r="F534" s="911"/>
    </row>
    <row r="535" spans="1:6">
      <c r="A535" s="1018" t="s">
        <v>4</v>
      </c>
      <c r="B535" s="1018"/>
      <c r="C535" s="1018"/>
      <c r="D535" s="1018"/>
      <c r="E535" s="1018"/>
      <c r="F535" s="911"/>
    </row>
    <row r="536" spans="1:6">
      <c r="A536" s="1019" t="s">
        <v>6</v>
      </c>
      <c r="B536" s="1019"/>
      <c r="C536" s="1019"/>
      <c r="D536" s="1019"/>
      <c r="E536" s="1019"/>
      <c r="F536" s="912"/>
    </row>
    <row r="537" spans="1:6">
      <c r="A537" s="1020" t="s">
        <v>7</v>
      </c>
      <c r="B537" s="1020"/>
      <c r="C537" s="1020"/>
      <c r="D537" s="1020"/>
      <c r="E537" s="1020"/>
      <c r="F537" s="918"/>
    </row>
    <row r="538" spans="1:6">
      <c r="E538" s="16"/>
      <c r="F538" s="16"/>
    </row>
    <row r="539" spans="1:6" ht="15.75">
      <c r="A539" s="1021" t="s">
        <v>353</v>
      </c>
      <c r="B539" s="1021"/>
      <c r="C539" s="1021"/>
      <c r="D539" s="1021"/>
      <c r="E539" s="1021"/>
      <c r="F539" s="914"/>
    </row>
    <row r="540" spans="1:6" ht="15.75">
      <c r="A540" s="1022" t="s">
        <v>4</v>
      </c>
      <c r="B540" s="1022"/>
      <c r="C540" s="1022"/>
      <c r="D540" s="1022"/>
      <c r="E540" s="1022"/>
      <c r="F540" s="915"/>
    </row>
    <row r="541" spans="1:6" ht="15.75">
      <c r="A541" s="1037" t="s">
        <v>647</v>
      </c>
      <c r="B541" s="1037"/>
      <c r="C541" s="1037"/>
      <c r="D541" s="1037"/>
      <c r="E541" s="1037"/>
      <c r="F541" s="917"/>
    </row>
    <row r="542" spans="1:6" ht="15.75" thickBot="1"/>
    <row r="543" spans="1:6" ht="15.75" thickBot="1">
      <c r="A543" s="35" t="s">
        <v>356</v>
      </c>
      <c r="B543" s="36" t="s">
        <v>357</v>
      </c>
      <c r="C543" s="36" t="s">
        <v>24</v>
      </c>
      <c r="D543" s="36" t="s">
        <v>3</v>
      </c>
      <c r="E543" s="37" t="s">
        <v>358</v>
      </c>
      <c r="F543" s="916"/>
    </row>
    <row r="544" spans="1:6">
      <c r="A544" s="19">
        <v>1</v>
      </c>
      <c r="B544" s="38" t="s">
        <v>360</v>
      </c>
      <c r="C544" s="38">
        <v>17</v>
      </c>
      <c r="D544" s="38">
        <v>15</v>
      </c>
      <c r="E544" s="39">
        <f>SUM(C544:D544)</f>
        <v>32</v>
      </c>
      <c r="F544" s="40"/>
    </row>
    <row r="545" spans="1:9">
      <c r="A545" s="21">
        <v>2</v>
      </c>
      <c r="B545" s="42" t="s">
        <v>361</v>
      </c>
      <c r="C545" s="38">
        <v>10</v>
      </c>
      <c r="D545" s="38">
        <v>16</v>
      </c>
      <c r="E545" s="43">
        <f t="shared" ref="E545:E555" si="42">SUM(C545:D545)</f>
        <v>26</v>
      </c>
      <c r="F545" s="40"/>
      <c r="H545" s="289"/>
      <c r="I545" s="41"/>
    </row>
    <row r="546" spans="1:9">
      <c r="A546" s="21">
        <v>3</v>
      </c>
      <c r="B546" s="42" t="s">
        <v>362</v>
      </c>
      <c r="C546" s="38">
        <v>12</v>
      </c>
      <c r="D546" s="38">
        <v>15</v>
      </c>
      <c r="E546" s="43">
        <f t="shared" si="42"/>
        <v>27</v>
      </c>
      <c r="F546" s="40"/>
      <c r="H546" s="290"/>
      <c r="I546" s="40"/>
    </row>
    <row r="547" spans="1:9" ht="16.5">
      <c r="A547" s="21">
        <v>4</v>
      </c>
      <c r="B547" s="42" t="s">
        <v>363</v>
      </c>
      <c r="C547" s="38">
        <v>13</v>
      </c>
      <c r="D547" s="38">
        <v>13</v>
      </c>
      <c r="E547" s="43">
        <f t="shared" si="42"/>
        <v>26</v>
      </c>
      <c r="F547" s="40"/>
      <c r="I547" s="44"/>
    </row>
    <row r="548" spans="1:9">
      <c r="A548" s="45">
        <v>5</v>
      </c>
      <c r="B548" s="46" t="s">
        <v>364</v>
      </c>
      <c r="C548" s="38">
        <v>14</v>
      </c>
      <c r="D548" s="38">
        <v>12</v>
      </c>
      <c r="E548" s="43">
        <f t="shared" si="42"/>
        <v>26</v>
      </c>
      <c r="F548" s="40"/>
      <c r="H548" s="40"/>
      <c r="I548" s="40"/>
    </row>
    <row r="549" spans="1:9" ht="15.75" thickBot="1">
      <c r="A549" s="45">
        <v>6</v>
      </c>
      <c r="B549" s="544" t="s">
        <v>1065</v>
      </c>
      <c r="C549" s="38">
        <v>12</v>
      </c>
      <c r="D549" s="38">
        <v>14</v>
      </c>
      <c r="E549" s="43">
        <f t="shared" si="42"/>
        <v>26</v>
      </c>
      <c r="F549" s="40"/>
      <c r="H549" s="277"/>
      <c r="I549" s="40"/>
    </row>
    <row r="550" spans="1:9" ht="15.75" thickBot="1">
      <c r="A550" s="1035" t="s">
        <v>365</v>
      </c>
      <c r="B550" s="1036"/>
      <c r="C550" s="36">
        <f>SUM(C544:C549)</f>
        <v>78</v>
      </c>
      <c r="D550" s="36">
        <f>SUM(D544:D549)</f>
        <v>85</v>
      </c>
      <c r="E550" s="37">
        <f t="shared" si="42"/>
        <v>163</v>
      </c>
      <c r="F550" s="916"/>
      <c r="H550" s="40"/>
      <c r="I550" s="40"/>
    </row>
    <row r="551" spans="1:9">
      <c r="A551" s="19">
        <v>7</v>
      </c>
      <c r="B551" s="42" t="s">
        <v>366</v>
      </c>
      <c r="C551" s="38">
        <v>16</v>
      </c>
      <c r="D551" s="38">
        <v>16</v>
      </c>
      <c r="E551" s="43">
        <f t="shared" si="42"/>
        <v>32</v>
      </c>
      <c r="F551" s="40"/>
      <c r="H551" s="1039"/>
      <c r="I551" s="1039"/>
    </row>
    <row r="552" spans="1:9">
      <c r="A552" s="21">
        <v>8</v>
      </c>
      <c r="B552" s="42" t="s">
        <v>367</v>
      </c>
      <c r="C552" s="38">
        <v>18</v>
      </c>
      <c r="D552" s="38">
        <v>13</v>
      </c>
      <c r="E552" s="43">
        <f t="shared" si="42"/>
        <v>31</v>
      </c>
      <c r="F552" s="40"/>
      <c r="H552" s="40"/>
    </row>
    <row r="553" spans="1:9">
      <c r="A553" s="21">
        <v>9</v>
      </c>
      <c r="B553" s="42" t="s">
        <v>369</v>
      </c>
      <c r="C553" s="38">
        <v>18</v>
      </c>
      <c r="D553" s="38">
        <v>13</v>
      </c>
      <c r="E553" s="43">
        <f t="shared" si="42"/>
        <v>31</v>
      </c>
      <c r="F553" s="40"/>
      <c r="H553" s="287"/>
      <c r="I553" s="41"/>
    </row>
    <row r="554" spans="1:9">
      <c r="A554" s="21">
        <v>10</v>
      </c>
      <c r="B554" s="42" t="s">
        <v>370</v>
      </c>
      <c r="C554" s="38">
        <v>19</v>
      </c>
      <c r="D554" s="38">
        <v>13</v>
      </c>
      <c r="E554" s="43">
        <f t="shared" si="42"/>
        <v>32</v>
      </c>
      <c r="F554" s="40"/>
      <c r="H554" s="288"/>
      <c r="I554" s="40"/>
    </row>
    <row r="555" spans="1:9">
      <c r="A555" s="21">
        <v>11</v>
      </c>
      <c r="B555" s="543" t="s">
        <v>384</v>
      </c>
      <c r="C555" s="38">
        <v>13</v>
      </c>
      <c r="D555" s="38">
        <v>14</v>
      </c>
      <c r="E555" s="43">
        <f t="shared" si="42"/>
        <v>27</v>
      </c>
      <c r="F555" s="40"/>
      <c r="H555" s="41"/>
      <c r="I555" s="40"/>
    </row>
    <row r="556" spans="1:9" ht="15.75" thickBot="1">
      <c r="A556" s="21"/>
      <c r="B556" s="42"/>
      <c r="C556" s="38"/>
      <c r="D556" s="38"/>
      <c r="E556" s="43"/>
      <c r="F556" s="40"/>
      <c r="H556" s="40"/>
      <c r="I556" s="40"/>
    </row>
    <row r="557" spans="1:9" ht="15.75" thickBot="1">
      <c r="A557" s="1035" t="s">
        <v>365</v>
      </c>
      <c r="B557" s="1036"/>
      <c r="C557" s="36">
        <f>SUM(C551:C556)</f>
        <v>84</v>
      </c>
      <c r="D557" s="36">
        <f>SUM(D551:D556)</f>
        <v>69</v>
      </c>
      <c r="E557" s="37">
        <f t="shared" ref="E557" si="43">SUM(C557:D557)</f>
        <v>153</v>
      </c>
      <c r="F557" s="916"/>
      <c r="H557" s="40"/>
      <c r="I557" s="40"/>
    </row>
    <row r="558" spans="1:9">
      <c r="A558" s="19"/>
      <c r="B558" s="38"/>
      <c r="C558" s="38"/>
      <c r="D558" s="38"/>
      <c r="E558" s="39"/>
      <c r="F558" s="40"/>
      <c r="H558" s="1039"/>
      <c r="I558" s="1039"/>
    </row>
    <row r="559" spans="1:9">
      <c r="A559" s="21">
        <v>12</v>
      </c>
      <c r="B559" s="42" t="s">
        <v>372</v>
      </c>
      <c r="C559" s="38">
        <v>18</v>
      </c>
      <c r="D559" s="38">
        <v>14</v>
      </c>
      <c r="E559" s="43">
        <f>SUM(C559:D559)</f>
        <v>32</v>
      </c>
      <c r="F559" s="40"/>
      <c r="H559" s="288"/>
      <c r="I559" s="40"/>
    </row>
    <row r="560" spans="1:9">
      <c r="A560" s="21">
        <v>13</v>
      </c>
      <c r="B560" s="42" t="s">
        <v>373</v>
      </c>
      <c r="C560" s="38">
        <v>12</v>
      </c>
      <c r="D560" s="38">
        <v>14</v>
      </c>
      <c r="E560" s="43">
        <f t="shared" ref="E560:E562" si="44">SUM(C560:D560)</f>
        <v>26</v>
      </c>
      <c r="F560" s="40"/>
      <c r="H560" s="288"/>
      <c r="I560" s="40"/>
    </row>
    <row r="561" spans="1:9">
      <c r="A561" s="21">
        <v>14</v>
      </c>
      <c r="B561" s="42" t="s">
        <v>374</v>
      </c>
      <c r="C561" s="637">
        <v>10</v>
      </c>
      <c r="D561" s="38">
        <v>15</v>
      </c>
      <c r="E561" s="43">
        <f t="shared" si="44"/>
        <v>25</v>
      </c>
      <c r="F561" s="40"/>
      <c r="H561" s="291"/>
      <c r="I561" s="40"/>
    </row>
    <row r="562" spans="1:9">
      <c r="A562" s="21">
        <v>15</v>
      </c>
      <c r="B562" s="42" t="s">
        <v>375</v>
      </c>
      <c r="C562" s="38">
        <v>10</v>
      </c>
      <c r="D562" s="38">
        <v>15</v>
      </c>
      <c r="E562" s="43">
        <f t="shared" si="44"/>
        <v>25</v>
      </c>
      <c r="F562" s="40"/>
      <c r="H562" s="291"/>
      <c r="I562" s="40"/>
    </row>
    <row r="563" spans="1:9">
      <c r="A563" s="21"/>
      <c r="B563" s="42"/>
      <c r="C563" s="38"/>
      <c r="D563" s="38"/>
      <c r="E563" s="43"/>
      <c r="F563" s="40"/>
      <c r="H563" s="291"/>
      <c r="I563" s="40"/>
    </row>
    <row r="564" spans="1:9">
      <c r="A564" s="45"/>
      <c r="B564" s="46"/>
      <c r="C564" s="38"/>
      <c r="D564" s="38"/>
      <c r="E564" s="43"/>
      <c r="F564" s="40"/>
      <c r="H564" s="40"/>
      <c r="I564" s="40"/>
    </row>
    <row r="565" spans="1:9" ht="15.75" thickBot="1">
      <c r="A565" s="45"/>
      <c r="B565" s="46"/>
      <c r="C565" s="38"/>
      <c r="D565" s="38"/>
      <c r="E565" s="47"/>
      <c r="F565" s="40"/>
      <c r="H565" s="40"/>
      <c r="I565" s="40"/>
    </row>
    <row r="566" spans="1:9" ht="15.75" thickBot="1">
      <c r="A566" s="1035" t="s">
        <v>365</v>
      </c>
      <c r="B566" s="1036"/>
      <c r="C566" s="36">
        <f>SUM(C559:C565)</f>
        <v>50</v>
      </c>
      <c r="D566" s="36">
        <f>SUM(D559:D565)</f>
        <v>58</v>
      </c>
      <c r="E566" s="37">
        <f t="shared" ref="E566" si="45">SUM(C566:D566)</f>
        <v>108</v>
      </c>
      <c r="F566" s="916"/>
    </row>
    <row r="567" spans="1:9" ht="15.75" thickBot="1">
      <c r="A567" s="48"/>
      <c r="B567" s="49"/>
      <c r="C567" s="49"/>
      <c r="D567" s="49"/>
      <c r="E567" s="50"/>
      <c r="F567" s="40"/>
    </row>
    <row r="568" spans="1:9" ht="15.75" thickBot="1">
      <c r="A568" s="1035" t="s">
        <v>376</v>
      </c>
      <c r="B568" s="1036"/>
      <c r="C568" s="90">
        <f>C550+C557+C566</f>
        <v>212</v>
      </c>
      <c r="D568" s="36">
        <f>D550+D557+D566</f>
        <v>212</v>
      </c>
      <c r="E568" s="91">
        <f>E550+E557+E566</f>
        <v>424</v>
      </c>
      <c r="F568" s="916"/>
    </row>
    <row r="570" spans="1:9">
      <c r="D570" s="759" t="s">
        <v>1231</v>
      </c>
    </row>
    <row r="571" spans="1:9">
      <c r="D571" t="s">
        <v>382</v>
      </c>
    </row>
    <row r="575" spans="1:9">
      <c r="D575" s="92" t="s">
        <v>1208</v>
      </c>
    </row>
    <row r="576" spans="1:9">
      <c r="D576" t="s">
        <v>637</v>
      </c>
    </row>
    <row r="577" spans="1:8">
      <c r="D577" t="s">
        <v>1209</v>
      </c>
    </row>
    <row r="578" spans="1:8">
      <c r="A578" s="780"/>
      <c r="B578" s="373"/>
      <c r="C578" s="781"/>
      <c r="D578" s="782"/>
      <c r="E578" s="210"/>
      <c r="F578" s="210"/>
      <c r="G578" s="292"/>
      <c r="H578" s="34"/>
    </row>
    <row r="579" spans="1:8">
      <c r="A579" s="783"/>
      <c r="B579" s="293"/>
      <c r="C579" s="784"/>
      <c r="D579" s="259"/>
      <c r="E579" s="259"/>
      <c r="F579" s="259"/>
      <c r="G579" s="210"/>
      <c r="H579" s="292"/>
    </row>
    <row r="580" spans="1:8">
      <c r="C580" s="279"/>
      <c r="D580" s="34"/>
      <c r="E580" s="279"/>
      <c r="F580" s="279"/>
    </row>
    <row r="581" spans="1:8">
      <c r="B581" s="70"/>
      <c r="C581" s="70"/>
    </row>
    <row r="582" spans="1:8">
      <c r="B582" s="70"/>
      <c r="C582" s="70"/>
    </row>
    <row r="583" spans="1:8">
      <c r="B583" s="70"/>
      <c r="C583" s="70"/>
    </row>
    <row r="587" spans="1:8">
      <c r="A587" s="1018" t="s">
        <v>0</v>
      </c>
      <c r="B587" s="1018"/>
      <c r="C587" s="1018"/>
      <c r="D587" s="1018"/>
      <c r="E587" s="1018"/>
      <c r="F587" s="911"/>
    </row>
    <row r="588" spans="1:8">
      <c r="A588" s="1018" t="s">
        <v>1</v>
      </c>
      <c r="B588" s="1018"/>
      <c r="C588" s="1018"/>
      <c r="D588" s="1018"/>
      <c r="E588" s="1018"/>
      <c r="F588" s="911"/>
    </row>
    <row r="589" spans="1:8">
      <c r="A589" s="1018" t="s">
        <v>4</v>
      </c>
      <c r="B589" s="1018"/>
      <c r="C589" s="1018"/>
      <c r="D589" s="1018"/>
      <c r="E589" s="1018"/>
      <c r="F589" s="911"/>
    </row>
    <row r="590" spans="1:8">
      <c r="A590" s="1019" t="s">
        <v>6</v>
      </c>
      <c r="B590" s="1019"/>
      <c r="C590" s="1019"/>
      <c r="D590" s="1019"/>
      <c r="E590" s="1019"/>
      <c r="F590" s="912"/>
    </row>
    <row r="591" spans="1:8">
      <c r="A591" s="1020" t="s">
        <v>7</v>
      </c>
      <c r="B591" s="1020"/>
      <c r="C591" s="1020"/>
      <c r="D591" s="1020"/>
      <c r="E591" s="1020"/>
      <c r="F591" s="918"/>
    </row>
    <row r="592" spans="1:8">
      <c r="E592" s="16"/>
      <c r="F592" s="16"/>
    </row>
    <row r="593" spans="1:6" ht="15.75">
      <c r="A593" s="1021" t="s">
        <v>353</v>
      </c>
      <c r="B593" s="1021"/>
      <c r="C593" s="1021"/>
      <c r="D593" s="1021"/>
      <c r="E593" s="1021"/>
      <c r="F593" s="914"/>
    </row>
    <row r="594" spans="1:6" ht="15.75">
      <c r="A594" s="1022" t="s">
        <v>4</v>
      </c>
      <c r="B594" s="1022"/>
      <c r="C594" s="1022"/>
      <c r="D594" s="1022"/>
      <c r="E594" s="1022"/>
      <c r="F594" s="915"/>
    </row>
    <row r="595" spans="1:6" ht="15.75">
      <c r="A595" s="1037" t="s">
        <v>647</v>
      </c>
      <c r="B595" s="1037"/>
      <c r="C595" s="1037"/>
      <c r="D595" s="1037"/>
      <c r="E595" s="1037"/>
      <c r="F595" s="917"/>
    </row>
    <row r="596" spans="1:6" ht="15.75" thickBot="1"/>
    <row r="597" spans="1:6" ht="15.75" thickBot="1">
      <c r="A597" s="35" t="s">
        <v>356</v>
      </c>
      <c r="B597" s="36" t="s">
        <v>357</v>
      </c>
      <c r="C597" s="36" t="s">
        <v>24</v>
      </c>
      <c r="D597" s="36" t="s">
        <v>3</v>
      </c>
      <c r="E597" s="37" t="s">
        <v>358</v>
      </c>
      <c r="F597" s="916"/>
    </row>
    <row r="598" spans="1:6">
      <c r="A598" s="19">
        <v>1</v>
      </c>
      <c r="B598" s="38" t="s">
        <v>360</v>
      </c>
      <c r="C598" s="38">
        <v>17</v>
      </c>
      <c r="D598" s="38">
        <v>15</v>
      </c>
      <c r="E598" s="39">
        <f>SUM(C598:D598)</f>
        <v>32</v>
      </c>
      <c r="F598" s="40"/>
    </row>
    <row r="599" spans="1:6">
      <c r="A599" s="21">
        <v>2</v>
      </c>
      <c r="B599" s="42" t="s">
        <v>361</v>
      </c>
      <c r="C599" s="38">
        <v>10</v>
      </c>
      <c r="D599" s="38">
        <v>16</v>
      </c>
      <c r="E599" s="43">
        <f t="shared" ref="E599:E609" si="46">SUM(C599:D599)</f>
        <v>26</v>
      </c>
      <c r="F599" s="40"/>
    </row>
    <row r="600" spans="1:6">
      <c r="A600" s="21">
        <v>3</v>
      </c>
      <c r="B600" s="42" t="s">
        <v>362</v>
      </c>
      <c r="C600" s="38">
        <v>12</v>
      </c>
      <c r="D600" s="38">
        <v>15</v>
      </c>
      <c r="E600" s="43">
        <f t="shared" si="46"/>
        <v>27</v>
      </c>
      <c r="F600" s="40"/>
    </row>
    <row r="601" spans="1:6">
      <c r="A601" s="21">
        <v>4</v>
      </c>
      <c r="B601" s="42" t="s">
        <v>363</v>
      </c>
      <c r="C601" s="38">
        <v>13</v>
      </c>
      <c r="D601" s="38">
        <v>13</v>
      </c>
      <c r="E601" s="43">
        <f t="shared" si="46"/>
        <v>26</v>
      </c>
      <c r="F601" s="40"/>
    </row>
    <row r="602" spans="1:6">
      <c r="A602" s="45">
        <v>5</v>
      </c>
      <c r="B602" s="46" t="s">
        <v>364</v>
      </c>
      <c r="C602" s="38">
        <v>14</v>
      </c>
      <c r="D602" s="38">
        <v>12</v>
      </c>
      <c r="E602" s="43">
        <f t="shared" si="46"/>
        <v>26</v>
      </c>
      <c r="F602" s="40"/>
    </row>
    <row r="603" spans="1:6" ht="15.75" thickBot="1">
      <c r="A603" s="45">
        <v>6</v>
      </c>
      <c r="B603" s="544" t="s">
        <v>1065</v>
      </c>
      <c r="C603" s="38">
        <v>12</v>
      </c>
      <c r="D603" s="38">
        <v>14</v>
      </c>
      <c r="E603" s="43">
        <f t="shared" si="46"/>
        <v>26</v>
      </c>
      <c r="F603" s="40"/>
    </row>
    <row r="604" spans="1:6" ht="15.75" thickBot="1">
      <c r="A604" s="1035" t="s">
        <v>365</v>
      </c>
      <c r="B604" s="1036"/>
      <c r="C604" s="36">
        <f>SUM(C598:C603)</f>
        <v>78</v>
      </c>
      <c r="D604" s="36">
        <f>SUM(D598:D603)</f>
        <v>85</v>
      </c>
      <c r="E604" s="37">
        <f t="shared" si="46"/>
        <v>163</v>
      </c>
      <c r="F604" s="916"/>
    </row>
    <row r="605" spans="1:6">
      <c r="A605" s="19">
        <v>7</v>
      </c>
      <c r="B605" s="42" t="s">
        <v>366</v>
      </c>
      <c r="C605" s="38">
        <v>16</v>
      </c>
      <c r="D605" s="38">
        <v>16</v>
      </c>
      <c r="E605" s="43">
        <f t="shared" si="46"/>
        <v>32</v>
      </c>
      <c r="F605" s="40"/>
    </row>
    <row r="606" spans="1:6">
      <c r="A606" s="21">
        <v>8</v>
      </c>
      <c r="B606" s="42" t="s">
        <v>367</v>
      </c>
      <c r="C606" s="38">
        <v>18</v>
      </c>
      <c r="D606" s="38">
        <v>13</v>
      </c>
      <c r="E606" s="43">
        <f t="shared" si="46"/>
        <v>31</v>
      </c>
      <c r="F606" s="40"/>
    </row>
    <row r="607" spans="1:6">
      <c r="A607" s="21">
        <v>9</v>
      </c>
      <c r="B607" s="42" t="s">
        <v>369</v>
      </c>
      <c r="C607" s="38">
        <v>18</v>
      </c>
      <c r="D607" s="38">
        <v>13</v>
      </c>
      <c r="E607" s="43">
        <f t="shared" si="46"/>
        <v>31</v>
      </c>
      <c r="F607" s="40"/>
    </row>
    <row r="608" spans="1:6">
      <c r="A608" s="21">
        <v>10</v>
      </c>
      <c r="B608" s="42" t="s">
        <v>370</v>
      </c>
      <c r="C608" s="38">
        <v>19</v>
      </c>
      <c r="D608" s="38">
        <v>13</v>
      </c>
      <c r="E608" s="43">
        <f t="shared" si="46"/>
        <v>32</v>
      </c>
      <c r="F608" s="40"/>
    </row>
    <row r="609" spans="1:6">
      <c r="A609" s="21">
        <v>11</v>
      </c>
      <c r="B609" s="543" t="s">
        <v>384</v>
      </c>
      <c r="C609" s="38">
        <v>13</v>
      </c>
      <c r="D609" s="38">
        <v>14</v>
      </c>
      <c r="E609" s="43">
        <f t="shared" si="46"/>
        <v>27</v>
      </c>
      <c r="F609" s="40"/>
    </row>
    <row r="610" spans="1:6" ht="15.75" thickBot="1">
      <c r="A610" s="21"/>
      <c r="B610" s="42"/>
      <c r="C610" s="38"/>
      <c r="D610" s="38"/>
      <c r="E610" s="43"/>
      <c r="F610" s="40"/>
    </row>
    <row r="611" spans="1:6" ht="15.75" thickBot="1">
      <c r="A611" s="1035" t="s">
        <v>365</v>
      </c>
      <c r="B611" s="1036"/>
      <c r="C611" s="36">
        <f>SUM(C605:C610)</f>
        <v>84</v>
      </c>
      <c r="D611" s="36">
        <f>SUM(D605:D610)</f>
        <v>69</v>
      </c>
      <c r="E611" s="37">
        <f t="shared" ref="E611" si="47">SUM(C611:D611)</f>
        <v>153</v>
      </c>
      <c r="F611" s="916"/>
    </row>
    <row r="612" spans="1:6">
      <c r="A612" s="19"/>
      <c r="B612" s="38"/>
      <c r="C612" s="38"/>
      <c r="D612" s="38"/>
      <c r="E612" s="39"/>
      <c r="F612" s="40"/>
    </row>
    <row r="613" spans="1:6">
      <c r="A613" s="21">
        <v>12</v>
      </c>
      <c r="B613" s="42" t="s">
        <v>372</v>
      </c>
      <c r="C613" s="38">
        <v>18</v>
      </c>
      <c r="D613" s="38">
        <v>14</v>
      </c>
      <c r="E613" s="43">
        <f>SUM(C613:D613)</f>
        <v>32</v>
      </c>
      <c r="F613" s="40"/>
    </row>
    <row r="614" spans="1:6">
      <c r="A614" s="21">
        <v>13</v>
      </c>
      <c r="B614" s="42" t="s">
        <v>373</v>
      </c>
      <c r="C614" s="38">
        <v>12</v>
      </c>
      <c r="D614" s="38">
        <v>14</v>
      </c>
      <c r="E614" s="43">
        <f t="shared" ref="E614:E616" si="48">SUM(C614:D614)</f>
        <v>26</v>
      </c>
      <c r="F614" s="40"/>
    </row>
    <row r="615" spans="1:6">
      <c r="A615" s="21">
        <v>14</v>
      </c>
      <c r="B615" s="42" t="s">
        <v>374</v>
      </c>
      <c r="C615" s="637">
        <v>10</v>
      </c>
      <c r="D615" s="38">
        <v>15</v>
      </c>
      <c r="E615" s="43">
        <f t="shared" si="48"/>
        <v>25</v>
      </c>
      <c r="F615" s="40"/>
    </row>
    <row r="616" spans="1:6">
      <c r="A616" s="21">
        <v>15</v>
      </c>
      <c r="B616" s="42" t="s">
        <v>375</v>
      </c>
      <c r="C616" s="38">
        <v>10</v>
      </c>
      <c r="D616" s="38">
        <v>15</v>
      </c>
      <c r="E616" s="43">
        <f t="shared" si="48"/>
        <v>25</v>
      </c>
      <c r="F616" s="40"/>
    </row>
    <row r="617" spans="1:6">
      <c r="A617" s="21"/>
      <c r="B617" s="42"/>
      <c r="C617" s="38"/>
      <c r="D617" s="38"/>
      <c r="E617" s="43"/>
      <c r="F617" s="40"/>
    </row>
    <row r="618" spans="1:6">
      <c r="A618" s="45"/>
      <c r="B618" s="46"/>
      <c r="C618" s="38"/>
      <c r="D618" s="38"/>
      <c r="E618" s="43"/>
      <c r="F618" s="40"/>
    </row>
    <row r="619" spans="1:6" ht="15.75" thickBot="1">
      <c r="A619" s="45"/>
      <c r="B619" s="46"/>
      <c r="C619" s="38"/>
      <c r="D619" s="38"/>
      <c r="E619" s="47"/>
      <c r="F619" s="40"/>
    </row>
    <row r="620" spans="1:6" ht="15.75" thickBot="1">
      <c r="A620" s="1035" t="s">
        <v>365</v>
      </c>
      <c r="B620" s="1036"/>
      <c r="C620" s="36">
        <f>SUM(C613:C619)</f>
        <v>50</v>
      </c>
      <c r="D620" s="36">
        <f>SUM(D613:D619)</f>
        <v>58</v>
      </c>
      <c r="E620" s="37">
        <f t="shared" ref="E620" si="49">SUM(C620:D620)</f>
        <v>108</v>
      </c>
      <c r="F620" s="916"/>
    </row>
    <row r="621" spans="1:6" ht="15.75" thickBot="1">
      <c r="A621" s="48"/>
      <c r="B621" s="49"/>
      <c r="C621" s="49"/>
      <c r="D621" s="49"/>
      <c r="E621" s="50"/>
      <c r="F621" s="40"/>
    </row>
    <row r="622" spans="1:6" ht="15.75" thickBot="1">
      <c r="A622" s="1035" t="s">
        <v>376</v>
      </c>
      <c r="B622" s="1036"/>
      <c r="C622" s="90">
        <f>C604+C611+C620</f>
        <v>212</v>
      </c>
      <c r="D622" s="36">
        <f>D604+D611+D620</f>
        <v>212</v>
      </c>
      <c r="E622" s="91">
        <f>E604+E611+E620</f>
        <v>424</v>
      </c>
      <c r="F622" s="916"/>
    </row>
    <row r="624" spans="1:6">
      <c r="D624" t="s">
        <v>1234</v>
      </c>
    </row>
    <row r="625" spans="1:4">
      <c r="D625" t="s">
        <v>382</v>
      </c>
    </row>
    <row r="629" spans="1:4">
      <c r="D629" s="92" t="s">
        <v>1208</v>
      </c>
    </row>
    <row r="630" spans="1:4">
      <c r="D630" t="s">
        <v>637</v>
      </c>
    </row>
    <row r="631" spans="1:4">
      <c r="D631" t="s">
        <v>1209</v>
      </c>
    </row>
    <row r="632" spans="1:4">
      <c r="A632" t="s">
        <v>386</v>
      </c>
    </row>
    <row r="641" spans="1:8">
      <c r="A641" s="1018" t="s">
        <v>0</v>
      </c>
      <c r="B641" s="1018"/>
      <c r="C641" s="1018"/>
      <c r="D641" s="1018"/>
      <c r="E641" s="1018"/>
      <c r="F641" s="911"/>
    </row>
    <row r="642" spans="1:8">
      <c r="A642" s="1018" t="s">
        <v>1</v>
      </c>
      <c r="B642" s="1018"/>
      <c r="C642" s="1018"/>
      <c r="D642" s="1018"/>
      <c r="E642" s="1018"/>
      <c r="F642" s="911"/>
    </row>
    <row r="643" spans="1:8">
      <c r="A643" s="1018" t="s">
        <v>4</v>
      </c>
      <c r="B643" s="1018"/>
      <c r="C643" s="1018"/>
      <c r="D643" s="1018"/>
      <c r="E643" s="1018"/>
      <c r="F643" s="911"/>
    </row>
    <row r="644" spans="1:8">
      <c r="A644" s="1019" t="s">
        <v>6</v>
      </c>
      <c r="B644" s="1019"/>
      <c r="C644" s="1019"/>
      <c r="D644" s="1019"/>
      <c r="E644" s="1019"/>
      <c r="F644" s="912"/>
    </row>
    <row r="645" spans="1:8">
      <c r="A645" s="1020" t="s">
        <v>7</v>
      </c>
      <c r="B645" s="1020"/>
      <c r="C645" s="1020"/>
      <c r="D645" s="1020"/>
      <c r="E645" s="1020"/>
      <c r="F645" s="918"/>
    </row>
    <row r="646" spans="1:8">
      <c r="E646" s="16"/>
      <c r="F646" s="16"/>
    </row>
    <row r="647" spans="1:8" ht="15.75">
      <c r="A647" s="1021" t="s">
        <v>353</v>
      </c>
      <c r="B647" s="1021"/>
      <c r="C647" s="1021"/>
      <c r="D647" s="1021"/>
      <c r="E647" s="1021"/>
      <c r="F647" s="914"/>
    </row>
    <row r="648" spans="1:8" ht="15.75">
      <c r="A648" s="1022" t="s">
        <v>4</v>
      </c>
      <c r="B648" s="1022"/>
      <c r="C648" s="1022"/>
      <c r="D648" s="1022"/>
      <c r="E648" s="1022"/>
      <c r="F648" s="915"/>
    </row>
    <row r="649" spans="1:8" ht="15.75">
      <c r="A649" s="1037" t="s">
        <v>647</v>
      </c>
      <c r="B649" s="1037"/>
      <c r="C649" s="1037"/>
      <c r="D649" s="1037"/>
      <c r="E649" s="1037"/>
      <c r="F649" s="917"/>
    </row>
    <row r="650" spans="1:8" ht="15.75" thickBot="1"/>
    <row r="651" spans="1:8" ht="15.75" thickBot="1">
      <c r="A651" s="35" t="s">
        <v>356</v>
      </c>
      <c r="B651" s="36" t="s">
        <v>357</v>
      </c>
      <c r="C651" s="36" t="s">
        <v>24</v>
      </c>
      <c r="D651" s="36" t="s">
        <v>3</v>
      </c>
      <c r="E651" s="37" t="s">
        <v>358</v>
      </c>
      <c r="F651" s="916"/>
    </row>
    <row r="652" spans="1:8">
      <c r="A652" s="19">
        <v>1</v>
      </c>
      <c r="B652" s="38" t="s">
        <v>360</v>
      </c>
      <c r="C652" s="38">
        <v>17</v>
      </c>
      <c r="D652" s="38">
        <v>15</v>
      </c>
      <c r="E652" s="39">
        <f>SUM(C652:D652)</f>
        <v>32</v>
      </c>
      <c r="F652" s="40"/>
      <c r="H652" s="70"/>
    </row>
    <row r="653" spans="1:8">
      <c r="A653" s="21">
        <v>2</v>
      </c>
      <c r="B653" s="42" t="s">
        <v>361</v>
      </c>
      <c r="C653" s="38">
        <v>10</v>
      </c>
      <c r="D653" s="38">
        <v>16</v>
      </c>
      <c r="E653" s="43">
        <f t="shared" ref="E653:E663" si="50">SUM(C653:D653)</f>
        <v>26</v>
      </c>
      <c r="F653" s="40"/>
    </row>
    <row r="654" spans="1:8">
      <c r="A654" s="21">
        <v>3</v>
      </c>
      <c r="B654" s="42" t="s">
        <v>362</v>
      </c>
      <c r="C654" s="38">
        <v>12</v>
      </c>
      <c r="D654" s="38">
        <v>15</v>
      </c>
      <c r="E654" s="43">
        <f t="shared" si="50"/>
        <v>27</v>
      </c>
      <c r="F654" s="40"/>
      <c r="H654" s="70"/>
    </row>
    <row r="655" spans="1:8">
      <c r="A655" s="21">
        <v>4</v>
      </c>
      <c r="B655" s="42" t="s">
        <v>363</v>
      </c>
      <c r="C655" s="38">
        <v>13</v>
      </c>
      <c r="D655" s="38">
        <v>13</v>
      </c>
      <c r="E655" s="43">
        <f t="shared" si="50"/>
        <v>26</v>
      </c>
      <c r="F655" s="40"/>
    </row>
    <row r="656" spans="1:8">
      <c r="A656" s="45">
        <v>5</v>
      </c>
      <c r="B656" s="46" t="s">
        <v>364</v>
      </c>
      <c r="C656" s="38">
        <v>14</v>
      </c>
      <c r="D656" s="38">
        <v>13</v>
      </c>
      <c r="E656" s="43">
        <f t="shared" si="50"/>
        <v>27</v>
      </c>
      <c r="F656" s="40"/>
    </row>
    <row r="657" spans="1:6" ht="15.75" thickBot="1">
      <c r="A657" s="45">
        <v>6</v>
      </c>
      <c r="B657" s="544" t="s">
        <v>1065</v>
      </c>
      <c r="C657" s="38">
        <v>12</v>
      </c>
      <c r="D657" s="38">
        <v>14</v>
      </c>
      <c r="E657" s="43">
        <f t="shared" si="50"/>
        <v>26</v>
      </c>
      <c r="F657" s="40"/>
    </row>
    <row r="658" spans="1:6" ht="15.75" thickBot="1">
      <c r="A658" s="1035" t="s">
        <v>365</v>
      </c>
      <c r="B658" s="1036"/>
      <c r="C658" s="36">
        <f>SUM(C652:C657)</f>
        <v>78</v>
      </c>
      <c r="D658" s="36">
        <f>SUM(D652:D657)</f>
        <v>86</v>
      </c>
      <c r="E658" s="37">
        <f t="shared" si="50"/>
        <v>164</v>
      </c>
      <c r="F658" s="916"/>
    </row>
    <row r="659" spans="1:6">
      <c r="A659" s="19">
        <v>7</v>
      </c>
      <c r="B659" s="42" t="s">
        <v>366</v>
      </c>
      <c r="C659" s="38">
        <v>16</v>
      </c>
      <c r="D659" s="38">
        <v>16</v>
      </c>
      <c r="E659" s="43">
        <f t="shared" si="50"/>
        <v>32</v>
      </c>
      <c r="F659" s="40"/>
    </row>
    <row r="660" spans="1:6">
      <c r="A660" s="21">
        <v>8</v>
      </c>
      <c r="B660" s="42" t="s">
        <v>367</v>
      </c>
      <c r="C660" s="38">
        <v>18</v>
      </c>
      <c r="D660" s="38">
        <v>14</v>
      </c>
      <c r="E660" s="43">
        <f t="shared" si="50"/>
        <v>32</v>
      </c>
      <c r="F660" s="40"/>
    </row>
    <row r="661" spans="1:6">
      <c r="A661" s="21">
        <v>9</v>
      </c>
      <c r="B661" s="42" t="s">
        <v>369</v>
      </c>
      <c r="C661" s="38">
        <v>18</v>
      </c>
      <c r="D661" s="38">
        <v>12</v>
      </c>
      <c r="E661" s="43">
        <f t="shared" si="50"/>
        <v>30</v>
      </c>
      <c r="F661" s="40"/>
    </row>
    <row r="662" spans="1:6">
      <c r="A662" s="21">
        <v>10</v>
      </c>
      <c r="B662" s="42" t="s">
        <v>370</v>
      </c>
      <c r="C662" s="38">
        <v>19</v>
      </c>
      <c r="D662" s="38">
        <v>13</v>
      </c>
      <c r="E662" s="43">
        <f t="shared" si="50"/>
        <v>32</v>
      </c>
      <c r="F662" s="40"/>
    </row>
    <row r="663" spans="1:6">
      <c r="A663" s="21">
        <v>11</v>
      </c>
      <c r="B663" s="543" t="s">
        <v>384</v>
      </c>
      <c r="C663" s="38">
        <v>12</v>
      </c>
      <c r="D663" s="38">
        <v>14</v>
      </c>
      <c r="E663" s="43">
        <f t="shared" si="50"/>
        <v>26</v>
      </c>
      <c r="F663" s="40"/>
    </row>
    <row r="664" spans="1:6" ht="15.75" thickBot="1">
      <c r="A664" s="21"/>
      <c r="B664" s="42"/>
      <c r="C664" s="38"/>
      <c r="D664" s="38"/>
      <c r="E664" s="43"/>
      <c r="F664" s="40"/>
    </row>
    <row r="665" spans="1:6" ht="15.75" thickBot="1">
      <c r="A665" s="1035" t="s">
        <v>365</v>
      </c>
      <c r="B665" s="1036"/>
      <c r="C665" s="36">
        <f>SUM(C659:C664)</f>
        <v>83</v>
      </c>
      <c r="D665" s="36">
        <f>SUM(D659:D664)</f>
        <v>69</v>
      </c>
      <c r="E665" s="37">
        <f t="shared" ref="E665" si="51">SUM(C665:D665)</f>
        <v>152</v>
      </c>
      <c r="F665" s="916"/>
    </row>
    <row r="666" spans="1:6">
      <c r="A666" s="19"/>
      <c r="B666" s="38"/>
      <c r="C666" s="38"/>
      <c r="D666" s="38"/>
      <c r="E666" s="39"/>
      <c r="F666" s="40"/>
    </row>
    <row r="667" spans="1:6">
      <c r="A667" s="21">
        <v>12</v>
      </c>
      <c r="B667" s="42" t="s">
        <v>372</v>
      </c>
      <c r="C667" s="38"/>
      <c r="D667" s="38"/>
      <c r="E667" s="43">
        <f>SUM(C667:D667)</f>
        <v>0</v>
      </c>
      <c r="F667" s="40"/>
    </row>
    <row r="668" spans="1:6">
      <c r="A668" s="21">
        <v>13</v>
      </c>
      <c r="B668" s="42" t="s">
        <v>373</v>
      </c>
      <c r="C668" s="38"/>
      <c r="D668" s="38"/>
      <c r="E668" s="43">
        <f t="shared" ref="E668:E670" si="52">SUM(C668:D668)</f>
        <v>0</v>
      </c>
      <c r="F668" s="40"/>
    </row>
    <row r="669" spans="1:6">
      <c r="A669" s="21">
        <v>14</v>
      </c>
      <c r="B669" s="42" t="s">
        <v>374</v>
      </c>
      <c r="C669" s="637"/>
      <c r="D669" s="38"/>
      <c r="E669" s="43">
        <f t="shared" si="52"/>
        <v>0</v>
      </c>
      <c r="F669" s="40"/>
    </row>
    <row r="670" spans="1:6">
      <c r="A670" s="21">
        <v>15</v>
      </c>
      <c r="B670" s="42" t="s">
        <v>375</v>
      </c>
      <c r="C670" s="38"/>
      <c r="D670" s="38"/>
      <c r="E670" s="43">
        <f t="shared" si="52"/>
        <v>0</v>
      </c>
      <c r="F670" s="40"/>
    </row>
    <row r="671" spans="1:6">
      <c r="A671" s="21"/>
      <c r="B671" s="42"/>
      <c r="C671" s="38"/>
      <c r="D671" s="38"/>
      <c r="E671" s="43"/>
      <c r="F671" s="40"/>
    </row>
    <row r="672" spans="1:6">
      <c r="A672" s="45"/>
      <c r="B672" s="46"/>
      <c r="C672" s="38"/>
      <c r="D672" s="38"/>
      <c r="E672" s="43"/>
      <c r="F672" s="40"/>
    </row>
    <row r="673" spans="1:6" ht="15.75" thickBot="1">
      <c r="A673" s="45"/>
      <c r="B673" s="46"/>
      <c r="C673" s="38"/>
      <c r="D673" s="38"/>
      <c r="E673" s="47"/>
      <c r="F673" s="40"/>
    </row>
    <row r="674" spans="1:6" ht="15.75" thickBot="1">
      <c r="A674" s="1035" t="s">
        <v>365</v>
      </c>
      <c r="B674" s="1036"/>
      <c r="C674" s="36">
        <f>SUM(C667:C673)</f>
        <v>0</v>
      </c>
      <c r="D674" s="36">
        <f>SUM(D667:D673)</f>
        <v>0</v>
      </c>
      <c r="E674" s="37">
        <f t="shared" ref="E674" si="53">SUM(C674:D674)</f>
        <v>0</v>
      </c>
      <c r="F674" s="916"/>
    </row>
    <row r="675" spans="1:6" ht="15.75" thickBot="1">
      <c r="A675" s="48"/>
      <c r="B675" s="49"/>
      <c r="C675" s="49"/>
      <c r="D675" s="49"/>
      <c r="E675" s="50"/>
      <c r="F675" s="40"/>
    </row>
    <row r="676" spans="1:6" ht="15.75" thickBot="1">
      <c r="A676" s="1035" t="s">
        <v>376</v>
      </c>
      <c r="B676" s="1036"/>
      <c r="C676" s="90">
        <f>C658+C665+C674</f>
        <v>161</v>
      </c>
      <c r="D676" s="36">
        <f>D658+D665+D674</f>
        <v>155</v>
      </c>
      <c r="E676" s="91">
        <f>E658+E665+E674</f>
        <v>316</v>
      </c>
      <c r="F676" s="916"/>
    </row>
    <row r="678" spans="1:6">
      <c r="D678" s="786" t="s">
        <v>1235</v>
      </c>
    </row>
    <row r="679" spans="1:6">
      <c r="D679" s="785" t="s">
        <v>382</v>
      </c>
    </row>
    <row r="683" spans="1:6">
      <c r="D683" s="92" t="s">
        <v>1208</v>
      </c>
    </row>
    <row r="684" spans="1:6">
      <c r="A684" s="70"/>
      <c r="D684" t="s">
        <v>637</v>
      </c>
    </row>
    <row r="685" spans="1:6">
      <c r="A685" s="70"/>
      <c r="D685" t="s">
        <v>1209</v>
      </c>
    </row>
    <row r="686" spans="1:6">
      <c r="A686" t="s">
        <v>383</v>
      </c>
    </row>
    <row r="695" spans="1:6">
      <c r="A695" s="1018" t="s">
        <v>0</v>
      </c>
      <c r="B695" s="1018"/>
      <c r="C695" s="1018"/>
      <c r="D695" s="1018"/>
      <c r="E695" s="1018"/>
      <c r="F695" s="911"/>
    </row>
    <row r="696" spans="1:6">
      <c r="A696" s="1018" t="s">
        <v>1</v>
      </c>
      <c r="B696" s="1018"/>
      <c r="C696" s="1018"/>
      <c r="D696" s="1018"/>
      <c r="E696" s="1018"/>
      <c r="F696" s="911"/>
    </row>
    <row r="697" spans="1:6">
      <c r="A697" s="1018" t="s">
        <v>4</v>
      </c>
      <c r="B697" s="1018"/>
      <c r="C697" s="1018"/>
      <c r="D697" s="1018"/>
      <c r="E697" s="1018"/>
      <c r="F697" s="911"/>
    </row>
    <row r="698" spans="1:6">
      <c r="A698" s="1019" t="s">
        <v>6</v>
      </c>
      <c r="B698" s="1019"/>
      <c r="C698" s="1019"/>
      <c r="D698" s="1019"/>
      <c r="E698" s="1019"/>
      <c r="F698" s="912"/>
    </row>
    <row r="699" spans="1:6">
      <c r="A699" s="1020" t="s">
        <v>7</v>
      </c>
      <c r="B699" s="1020"/>
      <c r="C699" s="1020"/>
      <c r="D699" s="1020"/>
      <c r="E699" s="1020"/>
      <c r="F699" s="918"/>
    </row>
    <row r="700" spans="1:6">
      <c r="E700" s="16"/>
      <c r="F700" s="16"/>
    </row>
    <row r="701" spans="1:6" ht="15.75">
      <c r="A701" s="1021" t="s">
        <v>353</v>
      </c>
      <c r="B701" s="1021"/>
      <c r="C701" s="1021"/>
      <c r="D701" s="1021"/>
      <c r="E701" s="1021"/>
      <c r="F701" s="914"/>
    </row>
    <row r="702" spans="1:6" ht="15.75">
      <c r="A702" s="1022" t="s">
        <v>4</v>
      </c>
      <c r="B702" s="1022"/>
      <c r="C702" s="1022"/>
      <c r="D702" s="1022"/>
      <c r="E702" s="1022"/>
      <c r="F702" s="915"/>
    </row>
    <row r="703" spans="1:6" ht="15.75">
      <c r="A703" s="1037" t="s">
        <v>647</v>
      </c>
      <c r="B703" s="1037"/>
      <c r="C703" s="1037"/>
      <c r="D703" s="1037"/>
      <c r="E703" s="1037"/>
      <c r="F703" s="917"/>
    </row>
    <row r="704" spans="1:6" ht="15.75" thickBot="1"/>
    <row r="705" spans="1:8" ht="15.75" thickBot="1">
      <c r="A705" s="35" t="s">
        <v>356</v>
      </c>
      <c r="B705" s="36" t="s">
        <v>357</v>
      </c>
      <c r="C705" s="36" t="s">
        <v>24</v>
      </c>
      <c r="D705" s="36" t="s">
        <v>3</v>
      </c>
      <c r="E705" s="37" t="s">
        <v>358</v>
      </c>
      <c r="F705" s="916"/>
    </row>
    <row r="706" spans="1:8">
      <c r="A706" s="19">
        <v>1</v>
      </c>
      <c r="B706" s="38" t="s">
        <v>360</v>
      </c>
      <c r="C706" s="38">
        <v>15</v>
      </c>
      <c r="D706" s="38">
        <v>15</v>
      </c>
      <c r="E706" s="39">
        <f t="shared" ref="E706:E710" si="54">SUM(C706:D706)</f>
        <v>30</v>
      </c>
      <c r="F706" s="40"/>
      <c r="H706" s="70" t="s">
        <v>387</v>
      </c>
    </row>
    <row r="707" spans="1:8">
      <c r="A707" s="21">
        <v>2</v>
      </c>
      <c r="B707" s="42" t="s">
        <v>361</v>
      </c>
      <c r="C707" s="38">
        <v>16</v>
      </c>
      <c r="D707" s="38">
        <v>17</v>
      </c>
      <c r="E707" s="43">
        <f t="shared" si="54"/>
        <v>33</v>
      </c>
      <c r="F707" s="40"/>
    </row>
    <row r="708" spans="1:8">
      <c r="A708" s="21">
        <v>3</v>
      </c>
      <c r="B708" s="42" t="s">
        <v>362</v>
      </c>
      <c r="C708" s="38">
        <v>16</v>
      </c>
      <c r="D708" s="38">
        <v>16</v>
      </c>
      <c r="E708" s="43">
        <f t="shared" si="54"/>
        <v>32</v>
      </c>
      <c r="F708" s="40"/>
    </row>
    <row r="709" spans="1:8">
      <c r="A709" s="21">
        <v>4</v>
      </c>
      <c r="B709" s="42" t="s">
        <v>363</v>
      </c>
      <c r="C709" s="38">
        <v>17</v>
      </c>
      <c r="D709" s="38">
        <v>16</v>
      </c>
      <c r="E709" s="43">
        <f t="shared" si="54"/>
        <v>33</v>
      </c>
      <c r="F709" s="40"/>
      <c r="H709" s="70"/>
    </row>
    <row r="710" spans="1:8">
      <c r="A710" s="45">
        <v>5</v>
      </c>
      <c r="B710" s="46" t="s">
        <v>364</v>
      </c>
      <c r="C710" s="38">
        <v>21</v>
      </c>
      <c r="D710" s="38">
        <v>11</v>
      </c>
      <c r="E710" s="43">
        <f t="shared" si="54"/>
        <v>32</v>
      </c>
      <c r="F710" s="40"/>
    </row>
    <row r="711" spans="1:8" ht="15.75" thickBot="1">
      <c r="A711" s="45"/>
      <c r="B711" s="46"/>
      <c r="C711" s="38"/>
      <c r="D711" s="38"/>
      <c r="E711" s="47"/>
      <c r="F711" s="40"/>
    </row>
    <row r="712" spans="1:8" ht="15.75" thickBot="1">
      <c r="A712" s="1035" t="s">
        <v>365</v>
      </c>
      <c r="B712" s="1036"/>
      <c r="C712" s="36">
        <f>SUM(C706:C711)</f>
        <v>85</v>
      </c>
      <c r="D712" s="36">
        <f>SUM(D706:D711)</f>
        <v>75</v>
      </c>
      <c r="E712" s="37">
        <f t="shared" ref="E712:E716" si="55">SUM(C712:D712)</f>
        <v>160</v>
      </c>
      <c r="F712" s="916"/>
    </row>
    <row r="713" spans="1:8">
      <c r="A713" s="19">
        <v>6</v>
      </c>
      <c r="B713" s="42" t="s">
        <v>366</v>
      </c>
      <c r="C713" s="38">
        <v>14</v>
      </c>
      <c r="D713" s="38">
        <v>18</v>
      </c>
      <c r="E713" s="43">
        <f t="shared" si="55"/>
        <v>32</v>
      </c>
      <c r="F713" s="40"/>
    </row>
    <row r="714" spans="1:8">
      <c r="A714" s="21">
        <v>7</v>
      </c>
      <c r="B714" s="42" t="s">
        <v>367</v>
      </c>
      <c r="C714" s="38">
        <v>14</v>
      </c>
      <c r="D714" s="38">
        <v>17</v>
      </c>
      <c r="E714" s="43">
        <f t="shared" si="55"/>
        <v>31</v>
      </c>
      <c r="F714" s="40"/>
      <c r="H714" s="70"/>
    </row>
    <row r="715" spans="1:8">
      <c r="A715" s="21">
        <v>8</v>
      </c>
      <c r="B715" s="42" t="s">
        <v>369</v>
      </c>
      <c r="C715" s="38">
        <v>11</v>
      </c>
      <c r="D715" s="38">
        <v>11</v>
      </c>
      <c r="E715" s="43">
        <f t="shared" si="55"/>
        <v>22</v>
      </c>
      <c r="F715" s="40"/>
    </row>
    <row r="716" spans="1:8">
      <c r="A716" s="21">
        <v>9</v>
      </c>
      <c r="B716" s="42" t="s">
        <v>370</v>
      </c>
      <c r="C716" s="38">
        <v>12</v>
      </c>
      <c r="D716" s="38">
        <v>12</v>
      </c>
      <c r="E716" s="43">
        <f t="shared" si="55"/>
        <v>24</v>
      </c>
      <c r="F716" s="40"/>
    </row>
    <row r="717" spans="1:8">
      <c r="A717" s="21"/>
      <c r="B717" s="42"/>
      <c r="C717" s="38"/>
      <c r="D717" s="38"/>
      <c r="E717" s="43"/>
      <c r="F717" s="40"/>
    </row>
    <row r="718" spans="1:8" ht="15.75" thickBot="1">
      <c r="A718" s="21"/>
      <c r="B718" s="42"/>
      <c r="C718" s="38"/>
      <c r="D718" s="38"/>
      <c r="E718" s="43"/>
      <c r="F718" s="40"/>
    </row>
    <row r="719" spans="1:8" ht="15.75" thickBot="1">
      <c r="A719" s="1035" t="s">
        <v>365</v>
      </c>
      <c r="B719" s="1036"/>
      <c r="C719" s="36">
        <f>SUM(C713:C718)</f>
        <v>51</v>
      </c>
      <c r="D719" s="36">
        <f>SUM(D713:D718)</f>
        <v>58</v>
      </c>
      <c r="E719" s="37">
        <f t="shared" ref="E719" si="56">SUM(C719:D719)</f>
        <v>109</v>
      </c>
      <c r="F719" s="916"/>
    </row>
    <row r="720" spans="1:8">
      <c r="A720" s="19"/>
      <c r="B720" s="38"/>
      <c r="C720" s="38"/>
      <c r="D720" s="38"/>
      <c r="E720" s="39"/>
      <c r="F720" s="40"/>
    </row>
    <row r="721" spans="1:6">
      <c r="A721" s="21">
        <v>10</v>
      </c>
      <c r="B721" s="42" t="s">
        <v>372</v>
      </c>
      <c r="C721" s="38"/>
      <c r="D721" s="38"/>
      <c r="E721" s="43">
        <f t="shared" ref="E721:E724" si="57">SUM(C721:D721)</f>
        <v>0</v>
      </c>
      <c r="F721" s="40"/>
    </row>
    <row r="722" spans="1:6">
      <c r="A722" s="21">
        <v>11</v>
      </c>
      <c r="B722" s="42" t="s">
        <v>373</v>
      </c>
      <c r="C722" s="38"/>
      <c r="D722" s="38"/>
      <c r="E722" s="43">
        <f t="shared" si="57"/>
        <v>0</v>
      </c>
      <c r="F722" s="40"/>
    </row>
    <row r="723" spans="1:6">
      <c r="A723" s="21">
        <v>12</v>
      </c>
      <c r="B723" s="42" t="s">
        <v>374</v>
      </c>
      <c r="C723" s="38"/>
      <c r="D723" s="38"/>
      <c r="E723" s="43">
        <f t="shared" si="57"/>
        <v>0</v>
      </c>
      <c r="F723" s="40"/>
    </row>
    <row r="724" spans="1:6">
      <c r="A724" s="21">
        <v>13</v>
      </c>
      <c r="B724" s="42" t="s">
        <v>375</v>
      </c>
      <c r="C724" s="38"/>
      <c r="D724" s="38"/>
      <c r="E724" s="43">
        <f t="shared" si="57"/>
        <v>0</v>
      </c>
      <c r="F724" s="40"/>
    </row>
    <row r="725" spans="1:6">
      <c r="A725" s="21"/>
      <c r="B725" s="42"/>
      <c r="C725" s="38"/>
      <c r="D725" s="38"/>
      <c r="E725" s="43"/>
      <c r="F725" s="40"/>
    </row>
    <row r="726" spans="1:6">
      <c r="A726" s="45"/>
      <c r="B726" s="46"/>
      <c r="C726" s="38"/>
      <c r="D726" s="38"/>
      <c r="E726" s="43"/>
      <c r="F726" s="40"/>
    </row>
    <row r="727" spans="1:6" ht="15.75" thickBot="1">
      <c r="A727" s="45"/>
      <c r="B727" s="46"/>
      <c r="C727" s="38"/>
      <c r="D727" s="38"/>
      <c r="E727" s="47"/>
      <c r="F727" s="40"/>
    </row>
    <row r="728" spans="1:6" ht="15.75" thickBot="1">
      <c r="A728" s="1035" t="s">
        <v>365</v>
      </c>
      <c r="B728" s="1036"/>
      <c r="C728" s="36">
        <f>SUM(C721:C727)</f>
        <v>0</v>
      </c>
      <c r="D728" s="36">
        <f>SUM(D721:D727)</f>
        <v>0</v>
      </c>
      <c r="E728" s="37">
        <f>SUM(C728:D728)</f>
        <v>0</v>
      </c>
      <c r="F728" s="916"/>
    </row>
    <row r="729" spans="1:6" ht="15.75" thickBot="1">
      <c r="A729" s="48"/>
      <c r="B729" s="49"/>
      <c r="C729" s="49"/>
      <c r="D729" s="49"/>
      <c r="E729" s="50"/>
      <c r="F729" s="40"/>
    </row>
    <row r="730" spans="1:6" ht="15.75" thickBot="1">
      <c r="A730" s="1035" t="s">
        <v>376</v>
      </c>
      <c r="B730" s="1036"/>
      <c r="C730" s="90">
        <f>C712+C719+C728</f>
        <v>136</v>
      </c>
      <c r="D730" s="36">
        <f>D712+D719+D728</f>
        <v>133</v>
      </c>
      <c r="E730" s="91">
        <f>E712+E719+E728</f>
        <v>269</v>
      </c>
      <c r="F730" s="916"/>
    </row>
    <row r="732" spans="1:6">
      <c r="D732" s="294" t="s">
        <v>639</v>
      </c>
    </row>
    <row r="733" spans="1:6">
      <c r="D733" s="294" t="s">
        <v>635</v>
      </c>
    </row>
    <row r="737" spans="1:6">
      <c r="D737" s="92" t="s">
        <v>636</v>
      </c>
    </row>
    <row r="738" spans="1:6">
      <c r="A738" s="70"/>
      <c r="D738" s="294" t="s">
        <v>637</v>
      </c>
    </row>
    <row r="739" spans="1:6">
      <c r="A739" s="70"/>
      <c r="D739" s="295" t="s">
        <v>638</v>
      </c>
    </row>
    <row r="741" spans="1:6">
      <c r="A741" t="s">
        <v>388</v>
      </c>
    </row>
    <row r="742" spans="1:6">
      <c r="A742" s="70" t="s">
        <v>640</v>
      </c>
    </row>
    <row r="743" spans="1:6">
      <c r="A743" s="70" t="s">
        <v>641</v>
      </c>
    </row>
    <row r="744" spans="1:6">
      <c r="A744" s="70"/>
    </row>
    <row r="749" spans="1:6">
      <c r="A749" s="1018" t="s">
        <v>0</v>
      </c>
      <c r="B749" s="1018"/>
      <c r="C749" s="1018"/>
      <c r="D749" s="1018"/>
      <c r="E749" s="1018"/>
      <c r="F749" s="911"/>
    </row>
    <row r="750" spans="1:6">
      <c r="A750" s="1018" t="s">
        <v>1</v>
      </c>
      <c r="B750" s="1018"/>
      <c r="C750" s="1018"/>
      <c r="D750" s="1018"/>
      <c r="E750" s="1018"/>
      <c r="F750" s="911"/>
    </row>
    <row r="751" spans="1:6">
      <c r="A751" s="1018" t="s">
        <v>4</v>
      </c>
      <c r="B751" s="1018"/>
      <c r="C751" s="1018"/>
      <c r="D751" s="1018"/>
      <c r="E751" s="1018"/>
      <c r="F751" s="911"/>
    </row>
    <row r="752" spans="1:6">
      <c r="A752" s="1019" t="s">
        <v>6</v>
      </c>
      <c r="B752" s="1019"/>
      <c r="C752" s="1019"/>
      <c r="D752" s="1019"/>
      <c r="E752" s="1019"/>
      <c r="F752" s="912"/>
    </row>
    <row r="753" spans="1:6">
      <c r="A753" s="1020" t="s">
        <v>7</v>
      </c>
      <c r="B753" s="1020"/>
      <c r="C753" s="1020"/>
      <c r="D753" s="1020"/>
      <c r="E753" s="1020"/>
      <c r="F753" s="918"/>
    </row>
    <row r="754" spans="1:6">
      <c r="E754" s="16"/>
      <c r="F754" s="16"/>
    </row>
    <row r="755" spans="1:6" ht="15.75">
      <c r="A755" s="1021" t="s">
        <v>353</v>
      </c>
      <c r="B755" s="1021"/>
      <c r="C755" s="1021"/>
      <c r="D755" s="1021"/>
      <c r="E755" s="1021"/>
      <c r="F755" s="914"/>
    </row>
    <row r="756" spans="1:6" ht="15.75">
      <c r="A756" s="1022" t="s">
        <v>4</v>
      </c>
      <c r="B756" s="1022"/>
      <c r="C756" s="1022"/>
      <c r="D756" s="1022"/>
      <c r="E756" s="1022"/>
      <c r="F756" s="915"/>
    </row>
    <row r="757" spans="1:6" ht="15.75">
      <c r="A757" s="1037" t="s">
        <v>647</v>
      </c>
      <c r="B757" s="1037"/>
      <c r="C757" s="1037"/>
      <c r="D757" s="1037"/>
      <c r="E757" s="1037"/>
      <c r="F757" s="917"/>
    </row>
    <row r="758" spans="1:6" ht="15.75" thickBot="1"/>
    <row r="759" spans="1:6">
      <c r="A759" s="35" t="s">
        <v>356</v>
      </c>
      <c r="B759" s="36" t="s">
        <v>357</v>
      </c>
      <c r="C759" s="36" t="s">
        <v>24</v>
      </c>
      <c r="D759" s="36" t="s">
        <v>3</v>
      </c>
      <c r="E759" s="37" t="s">
        <v>358</v>
      </c>
      <c r="F759" s="916"/>
    </row>
    <row r="760" spans="1:6">
      <c r="A760" s="19">
        <v>1</v>
      </c>
      <c r="B760" s="38" t="s">
        <v>360</v>
      </c>
      <c r="C760" s="38"/>
      <c r="D760" s="38"/>
      <c r="E760" s="39">
        <f>SUM(C760:D760)</f>
        <v>0</v>
      </c>
      <c r="F760" s="40"/>
    </row>
    <row r="761" spans="1:6">
      <c r="A761" s="21">
        <v>2</v>
      </c>
      <c r="B761" s="42" t="s">
        <v>361</v>
      </c>
      <c r="C761" s="38"/>
      <c r="D761" s="38"/>
      <c r="E761" s="43">
        <f t="shared" ref="E761:E764" si="58">SUM(C761:D761)</f>
        <v>0</v>
      </c>
      <c r="F761" s="40"/>
    </row>
    <row r="762" spans="1:6">
      <c r="A762" s="21">
        <v>3</v>
      </c>
      <c r="B762" s="42" t="s">
        <v>362</v>
      </c>
      <c r="C762" s="38"/>
      <c r="D762" s="38"/>
      <c r="E762" s="43">
        <f t="shared" si="58"/>
        <v>0</v>
      </c>
      <c r="F762" s="40"/>
    </row>
    <row r="763" spans="1:6">
      <c r="A763" s="21">
        <v>4</v>
      </c>
      <c r="B763" s="42" t="s">
        <v>363</v>
      </c>
      <c r="C763" s="38"/>
      <c r="D763" s="38"/>
      <c r="E763" s="43">
        <f t="shared" si="58"/>
        <v>0</v>
      </c>
      <c r="F763" s="40"/>
    </row>
    <row r="764" spans="1:6">
      <c r="A764" s="45">
        <v>5</v>
      </c>
      <c r="B764" s="46" t="s">
        <v>364</v>
      </c>
      <c r="C764" s="38"/>
      <c r="D764" s="38"/>
      <c r="E764" s="43">
        <f t="shared" si="58"/>
        <v>0</v>
      </c>
      <c r="F764" s="40"/>
    </row>
    <row r="765" spans="1:6">
      <c r="A765" s="45"/>
      <c r="B765" s="46"/>
      <c r="C765" s="38"/>
      <c r="D765" s="38"/>
      <c r="E765" s="47"/>
      <c r="F765" s="40"/>
    </row>
    <row r="766" spans="1:6">
      <c r="A766" s="1035" t="s">
        <v>365</v>
      </c>
      <c r="B766" s="1036"/>
      <c r="C766" s="36">
        <f>SUM(C760:C765)</f>
        <v>0</v>
      </c>
      <c r="D766" s="36">
        <f>SUM(D760:D765)</f>
        <v>0</v>
      </c>
      <c r="E766" s="37">
        <f t="shared" ref="E766:E768" si="59">SUM(C766:D766)</f>
        <v>0</v>
      </c>
      <c r="F766" s="916"/>
    </row>
    <row r="767" spans="1:6">
      <c r="A767" s="19">
        <v>6</v>
      </c>
      <c r="B767" s="42" t="s">
        <v>366</v>
      </c>
      <c r="C767" s="38"/>
      <c r="D767" s="38"/>
      <c r="E767" s="43">
        <f t="shared" si="59"/>
        <v>0</v>
      </c>
      <c r="F767" s="40"/>
    </row>
    <row r="768" spans="1:6">
      <c r="A768" s="21">
        <v>7</v>
      </c>
      <c r="B768" s="42" t="s">
        <v>367</v>
      </c>
      <c r="C768" s="38"/>
      <c r="D768" s="38"/>
      <c r="E768" s="43">
        <f t="shared" si="59"/>
        <v>0</v>
      </c>
      <c r="F768" s="40"/>
    </row>
    <row r="769" spans="1:6">
      <c r="A769" s="21">
        <v>8</v>
      </c>
      <c r="B769" s="42" t="s">
        <v>369</v>
      </c>
      <c r="C769" s="38"/>
      <c r="D769" s="38"/>
      <c r="E769" s="43">
        <f t="shared" ref="E769:E770" si="60">SUM(C769:D769)</f>
        <v>0</v>
      </c>
      <c r="F769" s="40"/>
    </row>
    <row r="770" spans="1:6">
      <c r="A770" s="21">
        <v>9</v>
      </c>
      <c r="B770" s="42" t="s">
        <v>370</v>
      </c>
      <c r="C770" s="38"/>
      <c r="D770" s="38"/>
      <c r="E770" s="43">
        <f t="shared" si="60"/>
        <v>0</v>
      </c>
      <c r="F770" s="40"/>
    </row>
    <row r="771" spans="1:6">
      <c r="A771" s="21"/>
      <c r="B771" s="42"/>
      <c r="C771" s="38"/>
      <c r="D771" s="38"/>
      <c r="E771" s="43"/>
      <c r="F771" s="40"/>
    </row>
    <row r="772" spans="1:6">
      <c r="A772" s="21"/>
      <c r="B772" s="42"/>
      <c r="C772" s="38"/>
      <c r="D772" s="38"/>
      <c r="E772" s="43"/>
      <c r="F772" s="40"/>
    </row>
    <row r="773" spans="1:6">
      <c r="A773" s="1035" t="s">
        <v>365</v>
      </c>
      <c r="B773" s="1036"/>
      <c r="C773" s="36">
        <f>SUM(C767:C772)</f>
        <v>0</v>
      </c>
      <c r="D773" s="36">
        <f>SUM(D767:D772)</f>
        <v>0</v>
      </c>
      <c r="E773" s="37">
        <f t="shared" ref="E773" si="61">SUM(C773:D773)</f>
        <v>0</v>
      </c>
      <c r="F773" s="916"/>
    </row>
    <row r="774" spans="1:6">
      <c r="A774" s="19"/>
      <c r="B774" s="38"/>
      <c r="C774" s="38"/>
      <c r="D774" s="38"/>
      <c r="E774" s="39"/>
      <c r="F774" s="40"/>
    </row>
    <row r="775" spans="1:6">
      <c r="A775" s="21">
        <v>10</v>
      </c>
      <c r="B775" s="42" t="s">
        <v>372</v>
      </c>
      <c r="C775" s="38"/>
      <c r="D775" s="38"/>
      <c r="E775" s="43">
        <f>SUM(C775:D775)</f>
        <v>0</v>
      </c>
      <c r="F775" s="40"/>
    </row>
    <row r="776" spans="1:6">
      <c r="A776" s="21">
        <v>11</v>
      </c>
      <c r="B776" s="42" t="s">
        <v>373</v>
      </c>
      <c r="C776" s="38"/>
      <c r="D776" s="38"/>
      <c r="E776" s="43">
        <f t="shared" ref="E776:E778" si="62">SUM(C776:D776)</f>
        <v>0</v>
      </c>
      <c r="F776" s="40"/>
    </row>
    <row r="777" spans="1:6">
      <c r="A777" s="21">
        <v>12</v>
      </c>
      <c r="B777" s="42" t="s">
        <v>374</v>
      </c>
      <c r="C777" s="38"/>
      <c r="D777" s="38"/>
      <c r="E777" s="43">
        <f t="shared" si="62"/>
        <v>0</v>
      </c>
      <c r="F777" s="40"/>
    </row>
    <row r="778" spans="1:6">
      <c r="A778" s="21">
        <v>13</v>
      </c>
      <c r="B778" s="42" t="s">
        <v>375</v>
      </c>
      <c r="C778" s="38"/>
      <c r="D778" s="38"/>
      <c r="E778" s="43">
        <f t="shared" si="62"/>
        <v>0</v>
      </c>
      <c r="F778" s="40"/>
    </row>
    <row r="779" spans="1:6">
      <c r="A779" s="21"/>
      <c r="B779" s="42"/>
      <c r="C779" s="38"/>
      <c r="D779" s="38"/>
      <c r="E779" s="43"/>
      <c r="F779" s="40"/>
    </row>
    <row r="780" spans="1:6">
      <c r="A780" s="45"/>
      <c r="B780" s="46"/>
      <c r="C780" s="38"/>
      <c r="D780" s="38"/>
      <c r="E780" s="43"/>
      <c r="F780" s="40"/>
    </row>
    <row r="781" spans="1:6">
      <c r="A781" s="45"/>
      <c r="B781" s="46"/>
      <c r="C781" s="38"/>
      <c r="D781" s="38"/>
      <c r="E781" s="47"/>
      <c r="F781" s="40"/>
    </row>
    <row r="782" spans="1:6">
      <c r="A782" s="1035" t="s">
        <v>365</v>
      </c>
      <c r="B782" s="1036"/>
      <c r="C782" s="36">
        <f>SUM(C775:C781)</f>
        <v>0</v>
      </c>
      <c r="D782" s="36">
        <f>SUM(D775:D781)</f>
        <v>0</v>
      </c>
      <c r="E782" s="37">
        <f t="shared" ref="E782" si="63">SUM(C782:D782)</f>
        <v>0</v>
      </c>
      <c r="F782" s="916"/>
    </row>
    <row r="783" spans="1:6">
      <c r="A783" s="48"/>
      <c r="B783" s="49"/>
      <c r="C783" s="49"/>
      <c r="D783" s="49"/>
      <c r="E783" s="50"/>
      <c r="F783" s="40"/>
    </row>
    <row r="784" spans="1:6">
      <c r="A784" s="1035" t="s">
        <v>376</v>
      </c>
      <c r="B784" s="1036"/>
      <c r="C784" s="37">
        <f>C766+C773+C782</f>
        <v>0</v>
      </c>
      <c r="D784" s="37">
        <f>D766+D773+D782</f>
        <v>0</v>
      </c>
      <c r="E784" s="37">
        <f>E766+E773+E782</f>
        <v>0</v>
      </c>
      <c r="F784" s="916"/>
    </row>
    <row r="786" spans="1:4">
      <c r="D786" t="s">
        <v>389</v>
      </c>
    </row>
    <row r="787" spans="1:4">
      <c r="D787" t="s">
        <v>382</v>
      </c>
    </row>
    <row r="791" spans="1:4">
      <c r="D791" s="92" t="s">
        <v>379</v>
      </c>
    </row>
    <row r="792" spans="1:4">
      <c r="D792" t="s">
        <v>380</v>
      </c>
    </row>
    <row r="793" spans="1:4">
      <c r="D793" t="s">
        <v>381</v>
      </c>
    </row>
    <row r="796" spans="1:4">
      <c r="A796" t="s">
        <v>388</v>
      </c>
    </row>
    <row r="797" spans="1:4">
      <c r="A797" s="77" t="s">
        <v>390</v>
      </c>
    </row>
    <row r="798" spans="1:4">
      <c r="A798" s="70" t="s">
        <v>391</v>
      </c>
    </row>
    <row r="799" spans="1:4">
      <c r="A799" s="70"/>
    </row>
    <row r="803" spans="1:6">
      <c r="A803" s="1018" t="s">
        <v>0</v>
      </c>
      <c r="B803" s="1018"/>
      <c r="C803" s="1018"/>
      <c r="D803" s="1018"/>
      <c r="E803" s="1018"/>
      <c r="F803" s="911"/>
    </row>
    <row r="804" spans="1:6">
      <c r="A804" s="1018" t="s">
        <v>1</v>
      </c>
      <c r="B804" s="1018"/>
      <c r="C804" s="1018"/>
      <c r="D804" s="1018"/>
      <c r="E804" s="1018"/>
      <c r="F804" s="911"/>
    </row>
    <row r="805" spans="1:6">
      <c r="A805" s="1018" t="s">
        <v>4</v>
      </c>
      <c r="B805" s="1018"/>
      <c r="C805" s="1018"/>
      <c r="D805" s="1018"/>
      <c r="E805" s="1018"/>
      <c r="F805" s="911"/>
    </row>
    <row r="806" spans="1:6">
      <c r="A806" s="1019" t="s">
        <v>6</v>
      </c>
      <c r="B806" s="1019"/>
      <c r="C806" s="1019"/>
      <c r="D806" s="1019"/>
      <c r="E806" s="1019"/>
      <c r="F806" s="912"/>
    </row>
    <row r="807" spans="1:6">
      <c r="A807" s="1020" t="s">
        <v>7</v>
      </c>
      <c r="B807" s="1020"/>
      <c r="C807" s="1020"/>
      <c r="D807" s="1020"/>
      <c r="E807" s="1020"/>
      <c r="F807" s="918"/>
    </row>
    <row r="808" spans="1:6">
      <c r="E808" s="16"/>
      <c r="F808" s="16"/>
    </row>
    <row r="809" spans="1:6" ht="15.75">
      <c r="A809" s="1021" t="s">
        <v>353</v>
      </c>
      <c r="B809" s="1021"/>
      <c r="C809" s="1021"/>
      <c r="D809" s="1021"/>
      <c r="E809" s="1021"/>
      <c r="F809" s="914"/>
    </row>
    <row r="810" spans="1:6" ht="15.75">
      <c r="A810" s="1022" t="s">
        <v>4</v>
      </c>
      <c r="B810" s="1022"/>
      <c r="C810" s="1022"/>
      <c r="D810" s="1022"/>
      <c r="E810" s="1022"/>
      <c r="F810" s="915"/>
    </row>
    <row r="811" spans="1:6" ht="15.75">
      <c r="A811" s="1037" t="s">
        <v>355</v>
      </c>
      <c r="B811" s="1037"/>
      <c r="C811" s="1037"/>
      <c r="D811" s="1037"/>
      <c r="E811" s="1037"/>
      <c r="F811" s="917"/>
    </row>
    <row r="813" spans="1:6">
      <c r="A813" s="35" t="s">
        <v>356</v>
      </c>
      <c r="B813" s="36" t="s">
        <v>357</v>
      </c>
      <c r="C813" s="36" t="s">
        <v>24</v>
      </c>
      <c r="D813" s="36" t="s">
        <v>3</v>
      </c>
      <c r="E813" s="37" t="s">
        <v>358</v>
      </c>
      <c r="F813" s="916"/>
    </row>
    <row r="814" spans="1:6">
      <c r="A814" s="19">
        <v>1</v>
      </c>
      <c r="B814" s="38" t="s">
        <v>360</v>
      </c>
      <c r="C814" s="38"/>
      <c r="D814" s="38"/>
      <c r="E814" s="39">
        <f>SUM(C814:D814)</f>
        <v>0</v>
      </c>
      <c r="F814" s="40"/>
    </row>
    <row r="815" spans="1:6">
      <c r="A815" s="21">
        <v>2</v>
      </c>
      <c r="B815" s="42" t="s">
        <v>361</v>
      </c>
      <c r="C815" s="38"/>
      <c r="D815" s="38"/>
      <c r="E815" s="43">
        <f t="shared" ref="E815:E818" si="64">SUM(C815:D815)</f>
        <v>0</v>
      </c>
      <c r="F815" s="40"/>
    </row>
    <row r="816" spans="1:6">
      <c r="A816" s="21">
        <v>3</v>
      </c>
      <c r="B816" s="42" t="s">
        <v>362</v>
      </c>
      <c r="C816" s="38"/>
      <c r="D816" s="38"/>
      <c r="E816" s="43">
        <f t="shared" si="64"/>
        <v>0</v>
      </c>
      <c r="F816" s="40"/>
    </row>
    <row r="817" spans="1:6">
      <c r="A817" s="21">
        <v>4</v>
      </c>
      <c r="B817" s="42" t="s">
        <v>363</v>
      </c>
      <c r="C817" s="38"/>
      <c r="D817" s="38"/>
      <c r="E817" s="43">
        <f t="shared" si="64"/>
        <v>0</v>
      </c>
      <c r="F817" s="40"/>
    </row>
    <row r="818" spans="1:6">
      <c r="A818" s="45">
        <v>5</v>
      </c>
      <c r="B818" s="46" t="s">
        <v>364</v>
      </c>
      <c r="C818" s="38"/>
      <c r="D818" s="38"/>
      <c r="E818" s="43">
        <f t="shared" si="64"/>
        <v>0</v>
      </c>
      <c r="F818" s="40"/>
    </row>
    <row r="819" spans="1:6">
      <c r="A819" s="45"/>
      <c r="B819" s="46"/>
      <c r="C819" s="38"/>
      <c r="D819" s="38"/>
      <c r="E819" s="47"/>
      <c r="F819" s="40"/>
    </row>
    <row r="820" spans="1:6">
      <c r="A820" s="1035" t="s">
        <v>365</v>
      </c>
      <c r="B820" s="1036"/>
      <c r="C820" s="36">
        <f>SUM(C814:C819)</f>
        <v>0</v>
      </c>
      <c r="D820" s="36">
        <f>SUM(D814:D819)</f>
        <v>0</v>
      </c>
      <c r="E820" s="37">
        <f t="shared" ref="E820:E822" si="65">SUM(C820:D820)</f>
        <v>0</v>
      </c>
      <c r="F820" s="916"/>
    </row>
    <row r="821" spans="1:6">
      <c r="A821" s="19">
        <v>6</v>
      </c>
      <c r="B821" s="42" t="s">
        <v>366</v>
      </c>
      <c r="C821" s="38"/>
      <c r="D821" s="38"/>
      <c r="E821" s="43">
        <f t="shared" si="65"/>
        <v>0</v>
      </c>
      <c r="F821" s="40"/>
    </row>
    <row r="822" spans="1:6">
      <c r="A822" s="21">
        <v>7</v>
      </c>
      <c r="B822" s="42" t="s">
        <v>367</v>
      </c>
      <c r="C822" s="38"/>
      <c r="D822" s="38"/>
      <c r="E822" s="43">
        <f t="shared" si="65"/>
        <v>0</v>
      </c>
      <c r="F822" s="40"/>
    </row>
    <row r="823" spans="1:6">
      <c r="A823" s="21">
        <v>8</v>
      </c>
      <c r="B823" s="42" t="s">
        <v>369</v>
      </c>
      <c r="C823" s="38"/>
      <c r="D823" s="38"/>
      <c r="E823" s="43">
        <f t="shared" ref="E823:E824" si="66">SUM(C823:D823)</f>
        <v>0</v>
      </c>
      <c r="F823" s="40"/>
    </row>
    <row r="824" spans="1:6">
      <c r="A824" s="21">
        <v>9</v>
      </c>
      <c r="B824" s="42" t="s">
        <v>370</v>
      </c>
      <c r="C824" s="38"/>
      <c r="D824" s="38"/>
      <c r="E824" s="43">
        <f t="shared" si="66"/>
        <v>0</v>
      </c>
      <c r="F824" s="40"/>
    </row>
    <row r="825" spans="1:6">
      <c r="A825" s="21"/>
      <c r="B825" s="42"/>
      <c r="C825" s="38"/>
      <c r="D825" s="38"/>
      <c r="E825" s="43"/>
      <c r="F825" s="40"/>
    </row>
    <row r="826" spans="1:6">
      <c r="A826" s="21"/>
      <c r="B826" s="42"/>
      <c r="C826" s="38"/>
      <c r="D826" s="38"/>
      <c r="E826" s="43"/>
      <c r="F826" s="40"/>
    </row>
    <row r="827" spans="1:6">
      <c r="A827" s="1035" t="s">
        <v>365</v>
      </c>
      <c r="B827" s="1036"/>
      <c r="C827" s="36">
        <f>SUM(C821:C826)</f>
        <v>0</v>
      </c>
      <c r="D827" s="36">
        <f>SUM(D821:D826)</f>
        <v>0</v>
      </c>
      <c r="E827" s="37">
        <f t="shared" ref="E827" si="67">SUM(C827:D827)</f>
        <v>0</v>
      </c>
      <c r="F827" s="916"/>
    </row>
    <row r="828" spans="1:6">
      <c r="A828" s="19"/>
      <c r="B828" s="38"/>
      <c r="C828" s="38"/>
      <c r="D828" s="38"/>
      <c r="E828" s="39"/>
      <c r="F828" s="40"/>
    </row>
    <row r="829" spans="1:6">
      <c r="A829" s="21">
        <v>10</v>
      </c>
      <c r="B829" s="42" t="s">
        <v>372</v>
      </c>
      <c r="C829" s="38"/>
      <c r="D829" s="38"/>
      <c r="E829" s="43">
        <f>SUM(C829:D829)</f>
        <v>0</v>
      </c>
      <c r="F829" s="40"/>
    </row>
    <row r="830" spans="1:6">
      <c r="A830" s="21">
        <v>11</v>
      </c>
      <c r="B830" s="42" t="s">
        <v>373</v>
      </c>
      <c r="C830" s="38"/>
      <c r="D830" s="38"/>
      <c r="E830" s="43">
        <f t="shared" ref="E830:E832" si="68">SUM(C830:D830)</f>
        <v>0</v>
      </c>
      <c r="F830" s="40"/>
    </row>
    <row r="831" spans="1:6">
      <c r="A831" s="21">
        <v>12</v>
      </c>
      <c r="B831" s="42" t="s">
        <v>374</v>
      </c>
      <c r="C831" s="38"/>
      <c r="D831" s="38"/>
      <c r="E831" s="43">
        <f t="shared" si="68"/>
        <v>0</v>
      </c>
      <c r="F831" s="40"/>
    </row>
    <row r="832" spans="1:6">
      <c r="A832" s="21">
        <v>13</v>
      </c>
      <c r="B832" s="42" t="s">
        <v>375</v>
      </c>
      <c r="C832" s="38"/>
      <c r="D832" s="38"/>
      <c r="E832" s="43">
        <f t="shared" si="68"/>
        <v>0</v>
      </c>
      <c r="F832" s="40"/>
    </row>
    <row r="833" spans="1:6">
      <c r="A833" s="21"/>
      <c r="B833" s="42"/>
      <c r="C833" s="38"/>
      <c r="D833" s="38"/>
      <c r="E833" s="43"/>
      <c r="F833" s="40"/>
    </row>
    <row r="834" spans="1:6">
      <c r="A834" s="45"/>
      <c r="B834" s="46"/>
      <c r="C834" s="38"/>
      <c r="D834" s="38"/>
      <c r="E834" s="43"/>
      <c r="F834" s="40"/>
    </row>
    <row r="835" spans="1:6">
      <c r="A835" s="45"/>
      <c r="B835" s="46"/>
      <c r="C835" s="38"/>
      <c r="D835" s="38"/>
      <c r="E835" s="47"/>
      <c r="F835" s="40"/>
    </row>
    <row r="836" spans="1:6">
      <c r="A836" s="1035" t="s">
        <v>365</v>
      </c>
      <c r="B836" s="1036"/>
      <c r="C836" s="36">
        <f>SUM(C829:C835)</f>
        <v>0</v>
      </c>
      <c r="D836" s="36">
        <f>SUM(D829:D835)</f>
        <v>0</v>
      </c>
      <c r="E836" s="37">
        <f t="shared" ref="E836" si="69">SUM(C836:D836)</f>
        <v>0</v>
      </c>
      <c r="F836" s="916"/>
    </row>
    <row r="837" spans="1:6">
      <c r="A837" s="48"/>
      <c r="B837" s="49"/>
      <c r="C837" s="49"/>
      <c r="D837" s="49"/>
      <c r="E837" s="50"/>
      <c r="F837" s="40"/>
    </row>
    <row r="838" spans="1:6">
      <c r="A838" s="1035" t="s">
        <v>376</v>
      </c>
      <c r="B838" s="1036"/>
      <c r="C838" s="37">
        <f>C820+C827+C836</f>
        <v>0</v>
      </c>
      <c r="D838" s="37">
        <f>D820+D827+D836</f>
        <v>0</v>
      </c>
      <c r="E838" s="37">
        <f>E820+E827+E836</f>
        <v>0</v>
      </c>
      <c r="F838" s="916"/>
    </row>
    <row r="840" spans="1:6">
      <c r="D840" t="s">
        <v>392</v>
      </c>
    </row>
    <row r="841" spans="1:6">
      <c r="D841" t="s">
        <v>382</v>
      </c>
    </row>
    <row r="845" spans="1:6">
      <c r="D845" s="92" t="s">
        <v>379</v>
      </c>
    </row>
    <row r="846" spans="1:6">
      <c r="D846" t="s">
        <v>380</v>
      </c>
    </row>
    <row r="847" spans="1:6">
      <c r="D847" t="s">
        <v>381</v>
      </c>
    </row>
  </sheetData>
  <sortState ref="A152:F157">
    <sortCondition ref="A154:A159"/>
  </sortState>
  <mergeCells count="214">
    <mergeCell ref="H442:I442"/>
    <mergeCell ref="H449:I449"/>
    <mergeCell ref="H496:I496"/>
    <mergeCell ref="H503:I503"/>
    <mergeCell ref="H551:I551"/>
    <mergeCell ref="H558:I558"/>
    <mergeCell ref="A820:B820"/>
    <mergeCell ref="A827:B827"/>
    <mergeCell ref="A836:B836"/>
    <mergeCell ref="A751:E751"/>
    <mergeCell ref="A752:E752"/>
    <mergeCell ref="A753:E753"/>
    <mergeCell ref="A755:E755"/>
    <mergeCell ref="A756:E756"/>
    <mergeCell ref="A757:E757"/>
    <mergeCell ref="A766:B766"/>
    <mergeCell ref="A773:B773"/>
    <mergeCell ref="A782:B782"/>
    <mergeCell ref="A701:E701"/>
    <mergeCell ref="A702:E702"/>
    <mergeCell ref="A703:E703"/>
    <mergeCell ref="A712:B712"/>
    <mergeCell ref="A719:B719"/>
    <mergeCell ref="A728:B728"/>
    <mergeCell ref="A730:B730"/>
    <mergeCell ref="A838:B838"/>
    <mergeCell ref="A784:B784"/>
    <mergeCell ref="A803:E803"/>
    <mergeCell ref="A804:E804"/>
    <mergeCell ref="A805:E805"/>
    <mergeCell ref="A806:E806"/>
    <mergeCell ref="A807:E807"/>
    <mergeCell ref="A809:E809"/>
    <mergeCell ref="A810:E810"/>
    <mergeCell ref="A811:E811"/>
    <mergeCell ref="A749:E749"/>
    <mergeCell ref="A750:E750"/>
    <mergeCell ref="A658:B658"/>
    <mergeCell ref="A665:B665"/>
    <mergeCell ref="A674:B674"/>
    <mergeCell ref="A676:B676"/>
    <mergeCell ref="A695:E695"/>
    <mergeCell ref="A696:E696"/>
    <mergeCell ref="A697:E697"/>
    <mergeCell ref="A698:E698"/>
    <mergeCell ref="A699:E699"/>
    <mergeCell ref="A622:B622"/>
    <mergeCell ref="A641:E641"/>
    <mergeCell ref="A642:E642"/>
    <mergeCell ref="A643:E643"/>
    <mergeCell ref="A644:E644"/>
    <mergeCell ref="A645:E645"/>
    <mergeCell ref="A647:E647"/>
    <mergeCell ref="A648:E648"/>
    <mergeCell ref="A649:E649"/>
    <mergeCell ref="A589:E589"/>
    <mergeCell ref="A590:E590"/>
    <mergeCell ref="A591:E591"/>
    <mergeCell ref="A593:E593"/>
    <mergeCell ref="A594:E594"/>
    <mergeCell ref="A595:E595"/>
    <mergeCell ref="A604:B604"/>
    <mergeCell ref="A611:B611"/>
    <mergeCell ref="A620:B620"/>
    <mergeCell ref="A539:E539"/>
    <mergeCell ref="A540:E540"/>
    <mergeCell ref="A541:E541"/>
    <mergeCell ref="A550:B550"/>
    <mergeCell ref="A557:B557"/>
    <mergeCell ref="A566:B566"/>
    <mergeCell ref="A568:B568"/>
    <mergeCell ref="A587:E587"/>
    <mergeCell ref="A588:E588"/>
    <mergeCell ref="A496:B496"/>
    <mergeCell ref="A503:B503"/>
    <mergeCell ref="A512:B512"/>
    <mergeCell ref="A514:B514"/>
    <mergeCell ref="A533:E533"/>
    <mergeCell ref="A534:E534"/>
    <mergeCell ref="A535:E535"/>
    <mergeCell ref="A536:E536"/>
    <mergeCell ref="A537:E537"/>
    <mergeCell ref="A460:B460"/>
    <mergeCell ref="A479:E479"/>
    <mergeCell ref="A480:E480"/>
    <mergeCell ref="A481:E481"/>
    <mergeCell ref="A482:E482"/>
    <mergeCell ref="A483:E483"/>
    <mergeCell ref="A485:E485"/>
    <mergeCell ref="A486:E486"/>
    <mergeCell ref="A487:E487"/>
    <mergeCell ref="A427:E427"/>
    <mergeCell ref="A428:E428"/>
    <mergeCell ref="A429:E429"/>
    <mergeCell ref="A431:E431"/>
    <mergeCell ref="A432:E432"/>
    <mergeCell ref="A433:E433"/>
    <mergeCell ref="A442:B442"/>
    <mergeCell ref="A449:B449"/>
    <mergeCell ref="A458:B458"/>
    <mergeCell ref="A378:E378"/>
    <mergeCell ref="A379:E379"/>
    <mergeCell ref="A380:E380"/>
    <mergeCell ref="A389:B389"/>
    <mergeCell ref="A396:B396"/>
    <mergeCell ref="A405:B405"/>
    <mergeCell ref="A407:B407"/>
    <mergeCell ref="A425:E425"/>
    <mergeCell ref="A426:E426"/>
    <mergeCell ref="A337:B337"/>
    <mergeCell ref="A344:B344"/>
    <mergeCell ref="A353:B353"/>
    <mergeCell ref="A355:B355"/>
    <mergeCell ref="A372:E372"/>
    <mergeCell ref="A373:E373"/>
    <mergeCell ref="A374:E374"/>
    <mergeCell ref="A375:E375"/>
    <mergeCell ref="A376:E376"/>
    <mergeCell ref="A301:B301"/>
    <mergeCell ref="A320:E320"/>
    <mergeCell ref="A321:E321"/>
    <mergeCell ref="A322:E322"/>
    <mergeCell ref="A323:E323"/>
    <mergeCell ref="A324:E324"/>
    <mergeCell ref="A326:E326"/>
    <mergeCell ref="A327:E327"/>
    <mergeCell ref="A328:E328"/>
    <mergeCell ref="A268:E268"/>
    <mergeCell ref="A269:E269"/>
    <mergeCell ref="A270:E270"/>
    <mergeCell ref="A272:E272"/>
    <mergeCell ref="A273:E273"/>
    <mergeCell ref="A274:E274"/>
    <mergeCell ref="A283:B283"/>
    <mergeCell ref="A290:B290"/>
    <mergeCell ref="A299:B299"/>
    <mergeCell ref="A218:E218"/>
    <mergeCell ref="A219:E219"/>
    <mergeCell ref="A220:E220"/>
    <mergeCell ref="A229:B229"/>
    <mergeCell ref="A236:B236"/>
    <mergeCell ref="A245:B245"/>
    <mergeCell ref="A247:B247"/>
    <mergeCell ref="A266:E266"/>
    <mergeCell ref="A267:E267"/>
    <mergeCell ref="A175:B175"/>
    <mergeCell ref="A182:B182"/>
    <mergeCell ref="A191:B191"/>
    <mergeCell ref="A193:B193"/>
    <mergeCell ref="A212:E212"/>
    <mergeCell ref="A213:E213"/>
    <mergeCell ref="A214:E214"/>
    <mergeCell ref="A215:E215"/>
    <mergeCell ref="A216:E216"/>
    <mergeCell ref="A139:B139"/>
    <mergeCell ref="A158:E158"/>
    <mergeCell ref="A159:E159"/>
    <mergeCell ref="A160:E160"/>
    <mergeCell ref="A161:E161"/>
    <mergeCell ref="A162:E162"/>
    <mergeCell ref="A164:E164"/>
    <mergeCell ref="A165:E165"/>
    <mergeCell ref="A166:E166"/>
    <mergeCell ref="A106:E106"/>
    <mergeCell ref="A107:E107"/>
    <mergeCell ref="A108:E108"/>
    <mergeCell ref="A110:E110"/>
    <mergeCell ref="A111:E111"/>
    <mergeCell ref="A112:E112"/>
    <mergeCell ref="A121:B121"/>
    <mergeCell ref="A128:B128"/>
    <mergeCell ref="A137:B137"/>
    <mergeCell ref="A58:E58"/>
    <mergeCell ref="A59:E59"/>
    <mergeCell ref="A60:E60"/>
    <mergeCell ref="A69:B69"/>
    <mergeCell ref="A76:B76"/>
    <mergeCell ref="A85:B85"/>
    <mergeCell ref="A87:B87"/>
    <mergeCell ref="A104:E104"/>
    <mergeCell ref="A105:E105"/>
    <mergeCell ref="A34:B34"/>
    <mergeCell ref="A36:B36"/>
    <mergeCell ref="A52:E52"/>
    <mergeCell ref="A53:E53"/>
    <mergeCell ref="A54:E54"/>
    <mergeCell ref="A55:E55"/>
    <mergeCell ref="A56:E56"/>
    <mergeCell ref="A8:E8"/>
    <mergeCell ref="M8:R8"/>
    <mergeCell ref="A9:E9"/>
    <mergeCell ref="M9:R9"/>
    <mergeCell ref="A18:B18"/>
    <mergeCell ref="A25:B25"/>
    <mergeCell ref="G8:L8"/>
    <mergeCell ref="G9:L9"/>
    <mergeCell ref="A4:E4"/>
    <mergeCell ref="M4:R4"/>
    <mergeCell ref="A5:E5"/>
    <mergeCell ref="M5:R5"/>
    <mergeCell ref="A7:E7"/>
    <mergeCell ref="M7:R7"/>
    <mergeCell ref="A1:E1"/>
    <mergeCell ref="M1:R1"/>
    <mergeCell ref="A2:E2"/>
    <mergeCell ref="M2:R2"/>
    <mergeCell ref="A3:E3"/>
    <mergeCell ref="M3:R3"/>
    <mergeCell ref="G1:L1"/>
    <mergeCell ref="G2:L2"/>
    <mergeCell ref="G3:L3"/>
    <mergeCell ref="G4:L4"/>
    <mergeCell ref="G5:L5"/>
    <mergeCell ref="G7:L7"/>
  </mergeCells>
  <conditionalFormatting sqref="O21 J21:K21 H21">
    <cfRule type="cellIs" dxfId="2" priority="4" operator="equal">
      <formula>0</formula>
    </cfRule>
  </conditionalFormatting>
  <conditionalFormatting sqref="J25:K25 H25">
    <cfRule type="cellIs" dxfId="1" priority="2" operator="equal">
      <formula>0</formula>
    </cfRule>
  </conditionalFormatting>
  <conditionalFormatting sqref="J24:K24 H24">
    <cfRule type="cellIs" dxfId="0" priority="1" operator="equal">
      <formula>0</formula>
    </cfRule>
  </conditionalFormatting>
  <dataValidations count="3">
    <dataValidation type="list" allowBlank="1" showInputMessage="1" showErrorMessage="1" sqref="P10 J10 R40">
      <formula1>$AB$8:$AB$10</formula1>
    </dataValidation>
    <dataValidation type="list" allowBlank="1" showInputMessage="1" showErrorMessage="1" sqref="J48 D153 P29 M36 P51">
      <formula1>#REF!</formula1>
    </dataValidation>
    <dataValidation type="list" allowBlank="1" showInputMessage="1" showErrorMessage="1" sqref="Q35 K50">
      <formula1>$N$9:$N$11</formula1>
    </dataValidation>
  </dataValidations>
  <pageMargins left="1.2" right="0.2" top="0.5" bottom="0.25" header="0.3" footer="0.3"/>
  <pageSetup paperSize="9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selection sqref="A1:I1"/>
    </sheetView>
  </sheetViews>
  <sheetFormatPr defaultColWidth="9" defaultRowHeight="15"/>
  <cols>
    <col min="1" max="1" width="5.7109375" customWidth="1"/>
    <col min="2" max="2" width="30.42578125" customWidth="1"/>
    <col min="5" max="5" width="18.42578125" customWidth="1"/>
    <col min="6" max="6" width="7.42578125" customWidth="1"/>
    <col min="7" max="7" width="5" customWidth="1"/>
    <col min="8" max="8" width="6.42578125" customWidth="1"/>
    <col min="9" max="9" width="6.28515625" customWidth="1"/>
  </cols>
  <sheetData>
    <row r="1" spans="1:9">
      <c r="A1" s="1018" t="s">
        <v>0</v>
      </c>
      <c r="B1" s="1018"/>
      <c r="C1" s="1018"/>
      <c r="D1" s="1018"/>
      <c r="E1" s="1018"/>
      <c r="F1" s="1018"/>
      <c r="G1" s="1018"/>
      <c r="H1" s="1018"/>
      <c r="I1" s="1018"/>
    </row>
    <row r="2" spans="1:9">
      <c r="A2" s="1018" t="s">
        <v>1</v>
      </c>
      <c r="B2" s="1018"/>
      <c r="C2" s="1018"/>
      <c r="D2" s="1018"/>
      <c r="E2" s="1018"/>
      <c r="F2" s="1018"/>
      <c r="G2" s="1018"/>
      <c r="H2" s="1018"/>
      <c r="I2" s="1018"/>
    </row>
    <row r="3" spans="1:9">
      <c r="A3" s="1018" t="s">
        <v>4</v>
      </c>
      <c r="B3" s="1018"/>
      <c r="C3" s="1018"/>
      <c r="D3" s="1018"/>
      <c r="E3" s="1018"/>
      <c r="F3" s="1018"/>
      <c r="G3" s="1018"/>
      <c r="H3" s="1018"/>
      <c r="I3" s="1018"/>
    </row>
    <row r="4" spans="1:9">
      <c r="A4" s="1019" t="s">
        <v>317</v>
      </c>
      <c r="B4" s="1019"/>
      <c r="C4" s="1019"/>
      <c r="D4" s="1019"/>
      <c r="E4" s="1019"/>
      <c r="F4" s="1019"/>
      <c r="G4" s="1019"/>
      <c r="H4" s="1019"/>
      <c r="I4" s="1019"/>
    </row>
    <row r="5" spans="1:9">
      <c r="A5" s="1020" t="s">
        <v>7</v>
      </c>
      <c r="B5" s="1020"/>
      <c r="C5" s="1020"/>
      <c r="D5" s="1020"/>
      <c r="E5" s="1020"/>
      <c r="F5" s="1020"/>
      <c r="G5" s="1020"/>
      <c r="H5" s="1020"/>
      <c r="I5" s="1020"/>
    </row>
    <row r="6" spans="1:9">
      <c r="E6" s="16"/>
    </row>
    <row r="7" spans="1:9" ht="15.75">
      <c r="A7" s="1021" t="s">
        <v>393</v>
      </c>
      <c r="B7" s="1021"/>
      <c r="C7" s="1021"/>
      <c r="D7" s="1021"/>
      <c r="E7" s="1021"/>
      <c r="F7" s="1021"/>
      <c r="G7" s="1021"/>
      <c r="H7" s="1021"/>
      <c r="I7" s="1021"/>
    </row>
    <row r="8" spans="1:9" ht="15.75">
      <c r="A8" s="1022" t="s">
        <v>394</v>
      </c>
      <c r="B8" s="1022"/>
      <c r="C8" s="1022"/>
      <c r="D8" s="1022"/>
      <c r="E8" s="1022"/>
      <c r="F8" s="1022"/>
      <c r="G8" s="1022"/>
      <c r="H8" s="1022"/>
      <c r="I8" s="1022"/>
    </row>
    <row r="10" spans="1:9" ht="15.75">
      <c r="A10" s="17" t="s">
        <v>356</v>
      </c>
      <c r="B10" s="18" t="s">
        <v>328</v>
      </c>
      <c r="C10" s="18" t="s">
        <v>395</v>
      </c>
      <c r="D10" s="18" t="s">
        <v>396</v>
      </c>
      <c r="E10" s="18" t="s">
        <v>397</v>
      </c>
      <c r="F10" s="18" t="s">
        <v>398</v>
      </c>
      <c r="G10" s="18" t="s">
        <v>399</v>
      </c>
      <c r="H10" s="18" t="s">
        <v>400</v>
      </c>
      <c r="I10" s="25" t="s">
        <v>16</v>
      </c>
    </row>
    <row r="11" spans="1:9">
      <c r="A11" s="19">
        <v>1</v>
      </c>
      <c r="B11" s="20"/>
      <c r="C11" s="20"/>
      <c r="D11" s="20"/>
      <c r="E11" s="20"/>
      <c r="F11" s="20"/>
      <c r="G11" s="20"/>
      <c r="H11" s="20"/>
      <c r="I11" s="26"/>
    </row>
    <row r="12" spans="1:9">
      <c r="A12" s="21">
        <v>2</v>
      </c>
      <c r="B12" s="22"/>
      <c r="C12" s="22"/>
      <c r="D12" s="22"/>
      <c r="E12" s="22"/>
      <c r="F12" s="22"/>
      <c r="G12" s="22"/>
      <c r="H12" s="22"/>
      <c r="I12" s="27"/>
    </row>
    <row r="13" spans="1:9">
      <c r="A13" s="21">
        <v>3</v>
      </c>
      <c r="B13" s="22"/>
      <c r="C13" s="22"/>
      <c r="D13" s="22"/>
      <c r="E13" s="22"/>
      <c r="F13" s="22"/>
      <c r="G13" s="22"/>
      <c r="H13" s="22"/>
      <c r="I13" s="27"/>
    </row>
    <row r="14" spans="1:9">
      <c r="A14" s="21">
        <v>4</v>
      </c>
      <c r="B14" s="22"/>
      <c r="C14" s="22"/>
      <c r="D14" s="22"/>
      <c r="E14" s="22"/>
      <c r="F14" s="22"/>
      <c r="G14" s="22"/>
      <c r="H14" s="22"/>
      <c r="I14" s="27"/>
    </row>
    <row r="15" spans="1:9">
      <c r="A15" s="21">
        <v>5</v>
      </c>
      <c r="B15" s="22"/>
      <c r="C15" s="22"/>
      <c r="D15" s="22"/>
      <c r="E15" s="22"/>
      <c r="F15" s="22"/>
      <c r="G15" s="22"/>
      <c r="H15" s="22"/>
      <c r="I15" s="27"/>
    </row>
    <row r="16" spans="1:9">
      <c r="A16" s="21">
        <v>6</v>
      </c>
      <c r="B16" s="22"/>
      <c r="C16" s="22"/>
      <c r="D16" s="22"/>
      <c r="E16" s="22"/>
      <c r="F16" s="22"/>
      <c r="G16" s="22"/>
      <c r="H16" s="22"/>
      <c r="I16" s="27"/>
    </row>
    <row r="17" spans="1:9">
      <c r="A17" s="21">
        <v>7</v>
      </c>
      <c r="B17" s="22"/>
      <c r="C17" s="22"/>
      <c r="D17" s="22"/>
      <c r="E17" s="22"/>
      <c r="F17" s="22"/>
      <c r="G17" s="22"/>
      <c r="H17" s="22"/>
      <c r="I17" s="27"/>
    </row>
    <row r="18" spans="1:9">
      <c r="A18" s="21">
        <v>8</v>
      </c>
      <c r="B18" s="22"/>
      <c r="C18" s="22"/>
      <c r="D18" s="22"/>
      <c r="E18" s="22"/>
      <c r="F18" s="22"/>
      <c r="G18" s="22"/>
      <c r="H18" s="22"/>
      <c r="I18" s="27"/>
    </row>
    <row r="19" spans="1:9">
      <c r="A19" s="21">
        <v>9</v>
      </c>
      <c r="B19" s="22"/>
      <c r="C19" s="22"/>
      <c r="D19" s="22"/>
      <c r="E19" s="22"/>
      <c r="F19" s="22"/>
      <c r="G19" s="22"/>
      <c r="H19" s="22"/>
      <c r="I19" s="27"/>
    </row>
    <row r="20" spans="1:9">
      <c r="A20" s="21">
        <v>10</v>
      </c>
      <c r="B20" s="22"/>
      <c r="C20" s="22"/>
      <c r="D20" s="22"/>
      <c r="E20" s="22"/>
      <c r="F20" s="22"/>
      <c r="G20" s="22"/>
      <c r="H20" s="22"/>
      <c r="I20" s="27"/>
    </row>
    <row r="21" spans="1:9">
      <c r="A21" s="21">
        <v>11</v>
      </c>
      <c r="B21" s="22"/>
      <c r="C21" s="22"/>
      <c r="D21" s="22"/>
      <c r="E21" s="22"/>
      <c r="F21" s="22"/>
      <c r="G21" s="22"/>
      <c r="H21" s="22"/>
      <c r="I21" s="27"/>
    </row>
    <row r="22" spans="1:9">
      <c r="A22" s="21">
        <v>12</v>
      </c>
      <c r="B22" s="22"/>
      <c r="C22" s="22"/>
      <c r="D22" s="22"/>
      <c r="E22" s="22"/>
      <c r="F22" s="22"/>
      <c r="G22" s="22"/>
      <c r="H22" s="22"/>
      <c r="I22" s="27"/>
    </row>
    <row r="23" spans="1:9">
      <c r="A23" s="21">
        <v>13</v>
      </c>
      <c r="B23" s="23"/>
      <c r="C23" s="23"/>
      <c r="D23" s="23"/>
      <c r="E23" s="23"/>
      <c r="F23" s="23"/>
      <c r="G23" s="23"/>
      <c r="H23" s="23"/>
      <c r="I23" s="28"/>
    </row>
    <row r="24" spans="1:9">
      <c r="A24" s="21">
        <v>14</v>
      </c>
      <c r="B24" s="22"/>
      <c r="C24" s="22"/>
      <c r="D24" s="22"/>
      <c r="E24" s="22"/>
      <c r="F24" s="22"/>
      <c r="G24" s="22"/>
      <c r="H24" s="22"/>
      <c r="I24" s="27"/>
    </row>
    <row r="25" spans="1:9">
      <c r="A25" s="21">
        <v>15</v>
      </c>
      <c r="B25" s="22"/>
      <c r="C25" s="22"/>
      <c r="D25" s="22"/>
      <c r="E25" s="22"/>
      <c r="F25" s="22"/>
      <c r="G25" s="22"/>
      <c r="H25" s="22"/>
      <c r="I25" s="27"/>
    </row>
    <row r="26" spans="1:9">
      <c r="A26" s="21">
        <v>16</v>
      </c>
      <c r="B26" s="22"/>
      <c r="C26" s="22"/>
      <c r="D26" s="22"/>
      <c r="E26" s="22"/>
      <c r="F26" s="22"/>
      <c r="G26" s="22"/>
      <c r="H26" s="22"/>
      <c r="I26" s="27"/>
    </row>
    <row r="27" spans="1:9">
      <c r="A27" s="21">
        <v>17</v>
      </c>
      <c r="B27" s="22"/>
      <c r="C27" s="22"/>
      <c r="D27" s="22"/>
      <c r="E27" s="22"/>
      <c r="F27" s="22"/>
      <c r="G27" s="22"/>
      <c r="H27" s="22"/>
      <c r="I27" s="27"/>
    </row>
    <row r="28" spans="1:9">
      <c r="A28" s="21">
        <v>18</v>
      </c>
      <c r="B28" s="22"/>
      <c r="C28" s="22"/>
      <c r="D28" s="22"/>
      <c r="E28" s="22"/>
      <c r="F28" s="22"/>
      <c r="G28" s="22"/>
      <c r="H28" s="22"/>
      <c r="I28" s="27"/>
    </row>
    <row r="29" spans="1:9">
      <c r="A29" s="21">
        <v>19</v>
      </c>
      <c r="B29" s="22"/>
      <c r="C29" s="22"/>
      <c r="D29" s="22"/>
      <c r="E29" s="22"/>
      <c r="F29" s="22"/>
      <c r="G29" s="22"/>
      <c r="H29" s="22"/>
      <c r="I29" s="27"/>
    </row>
    <row r="30" spans="1:9">
      <c r="A30" s="21">
        <v>20</v>
      </c>
      <c r="B30" s="22"/>
      <c r="C30" s="22"/>
      <c r="D30" s="22"/>
      <c r="E30" s="22"/>
      <c r="F30" s="22"/>
      <c r="G30" s="22"/>
      <c r="H30" s="22"/>
      <c r="I30" s="27"/>
    </row>
    <row r="31" spans="1:9">
      <c r="A31" s="21">
        <v>21</v>
      </c>
      <c r="B31" s="22"/>
      <c r="C31" s="22"/>
      <c r="D31" s="22"/>
      <c r="E31" s="22"/>
      <c r="F31" s="22"/>
      <c r="G31" s="22"/>
      <c r="H31" s="22"/>
      <c r="I31" s="27"/>
    </row>
    <row r="32" spans="1:9">
      <c r="A32" s="21">
        <v>22</v>
      </c>
      <c r="B32" s="22"/>
      <c r="C32" s="22"/>
      <c r="D32" s="22"/>
      <c r="E32" s="22"/>
      <c r="F32" s="22"/>
      <c r="G32" s="22"/>
      <c r="H32" s="22"/>
      <c r="I32" s="27"/>
    </row>
    <row r="33" spans="1:9">
      <c r="A33" s="21">
        <v>23</v>
      </c>
      <c r="B33" s="22"/>
      <c r="C33" s="22"/>
      <c r="D33" s="22"/>
      <c r="E33" s="22"/>
      <c r="F33" s="22"/>
      <c r="G33" s="22"/>
      <c r="H33" s="22"/>
      <c r="I33" s="27"/>
    </row>
    <row r="34" spans="1:9">
      <c r="A34" s="21">
        <v>24</v>
      </c>
      <c r="B34" s="22"/>
      <c r="C34" s="22"/>
      <c r="D34" s="22"/>
      <c r="E34" s="22"/>
      <c r="F34" s="22"/>
      <c r="G34" s="22"/>
      <c r="H34" s="22"/>
      <c r="I34" s="27"/>
    </row>
    <row r="35" spans="1:9">
      <c r="A35" s="21">
        <v>25</v>
      </c>
      <c r="B35" s="22"/>
      <c r="C35" s="22"/>
      <c r="D35" s="22"/>
      <c r="E35" s="22"/>
      <c r="F35" s="22"/>
      <c r="G35" s="22"/>
      <c r="H35" s="22"/>
      <c r="I35" s="27"/>
    </row>
    <row r="36" spans="1:9">
      <c r="A36" s="21">
        <v>26</v>
      </c>
      <c r="B36" s="22"/>
      <c r="C36" s="22"/>
      <c r="D36" s="22"/>
      <c r="E36" s="22"/>
      <c r="F36" s="22"/>
      <c r="G36" s="22"/>
      <c r="H36" s="22"/>
      <c r="I36" s="27"/>
    </row>
    <row r="37" spans="1:9">
      <c r="A37" s="21">
        <v>27</v>
      </c>
      <c r="B37" s="22"/>
      <c r="C37" s="22"/>
      <c r="D37" s="22"/>
      <c r="E37" s="22"/>
      <c r="F37" s="22"/>
      <c r="G37" s="22"/>
      <c r="H37" s="22"/>
      <c r="I37" s="27"/>
    </row>
    <row r="38" spans="1:9">
      <c r="A38" s="21">
        <v>28</v>
      </c>
      <c r="B38" s="22"/>
      <c r="C38" s="22"/>
      <c r="D38" s="22"/>
      <c r="E38" s="22"/>
      <c r="F38" s="22"/>
      <c r="G38" s="22"/>
      <c r="H38" s="22"/>
      <c r="I38" s="27"/>
    </row>
    <row r="39" spans="1:9">
      <c r="A39" s="21">
        <v>29</v>
      </c>
      <c r="B39" s="22"/>
      <c r="C39" s="22"/>
      <c r="D39" s="22"/>
      <c r="E39" s="22"/>
      <c r="F39" s="22"/>
      <c r="G39" s="22"/>
      <c r="H39" s="22"/>
      <c r="I39" s="27"/>
    </row>
    <row r="40" spans="1:9">
      <c r="A40" s="21">
        <v>30</v>
      </c>
      <c r="B40" s="22"/>
      <c r="C40" s="22"/>
      <c r="D40" s="22"/>
      <c r="E40" s="22"/>
      <c r="F40" s="22"/>
      <c r="G40" s="22"/>
      <c r="H40" s="22"/>
      <c r="I40" s="27"/>
    </row>
    <row r="41" spans="1:9">
      <c r="A41" s="21">
        <v>31</v>
      </c>
      <c r="B41" s="22"/>
      <c r="C41" s="22"/>
      <c r="D41" s="22"/>
      <c r="E41" s="22"/>
      <c r="F41" s="22"/>
      <c r="G41" s="22"/>
      <c r="H41" s="22"/>
      <c r="I41" s="27"/>
    </row>
    <row r="42" spans="1:9">
      <c r="A42" s="21">
        <v>32</v>
      </c>
      <c r="B42" s="24"/>
      <c r="C42" s="24"/>
      <c r="D42" s="24"/>
      <c r="E42" s="24"/>
      <c r="F42" s="24"/>
      <c r="G42" s="24"/>
      <c r="H42" s="24"/>
      <c r="I42" s="29"/>
    </row>
    <row r="43" spans="1:9">
      <c r="F43" t="s">
        <v>401</v>
      </c>
    </row>
    <row r="44" spans="1:9">
      <c r="F44" t="s">
        <v>402</v>
      </c>
    </row>
    <row r="49" spans="6:6">
      <c r="F49" t="s">
        <v>403</v>
      </c>
    </row>
  </sheetData>
  <mergeCells count="7">
    <mergeCell ref="A7:I7"/>
    <mergeCell ref="A8:I8"/>
    <mergeCell ref="A1:I1"/>
    <mergeCell ref="A2:I2"/>
    <mergeCell ref="A3:I3"/>
    <mergeCell ref="A4:I4"/>
    <mergeCell ref="A5:I5"/>
  </mergeCells>
  <pageMargins left="0.2" right="0.2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selection activeCell="B3" sqref="B3"/>
    </sheetView>
  </sheetViews>
  <sheetFormatPr defaultColWidth="9" defaultRowHeight="15"/>
  <cols>
    <col min="2" max="3" width="24" customWidth="1"/>
    <col min="4" max="4" width="25.7109375" customWidth="1"/>
    <col min="5" max="5" width="23.42578125" customWidth="1"/>
    <col min="6" max="6" width="21.85546875" customWidth="1"/>
    <col min="9" max="9" width="20.28515625" customWidth="1"/>
    <col min="14" max="14" width="20.7109375" customWidth="1"/>
  </cols>
  <sheetData>
    <row r="1" spans="1:14" ht="33.75">
      <c r="A1" t="s">
        <v>360</v>
      </c>
      <c r="B1" s="3" t="s">
        <v>411</v>
      </c>
      <c r="C1" s="6" t="s">
        <v>412</v>
      </c>
      <c r="D1" s="5" t="s">
        <v>409</v>
      </c>
      <c r="E1" s="6" t="s">
        <v>410</v>
      </c>
      <c r="F1" s="3" t="s">
        <v>404</v>
      </c>
      <c r="G1" s="253" t="s">
        <v>405</v>
      </c>
    </row>
    <row r="2" spans="1:14" ht="33.75">
      <c r="A2" t="s">
        <v>361</v>
      </c>
      <c r="B2" s="3" t="s">
        <v>1260</v>
      </c>
      <c r="C2" s="6" t="s">
        <v>1261</v>
      </c>
      <c r="D2" s="3" t="s">
        <v>411</v>
      </c>
      <c r="E2" s="6" t="s">
        <v>412</v>
      </c>
      <c r="F2" s="3" t="s">
        <v>406</v>
      </c>
      <c r="G2" s="253" t="s">
        <v>407</v>
      </c>
      <c r="N2" s="14" t="s">
        <v>408</v>
      </c>
    </row>
    <row r="3" spans="1:14">
      <c r="A3" t="s">
        <v>362</v>
      </c>
      <c r="B3" s="5" t="s">
        <v>409</v>
      </c>
      <c r="C3" s="6" t="s">
        <v>410</v>
      </c>
      <c r="D3" s="3" t="s">
        <v>404</v>
      </c>
      <c r="E3" s="253" t="s">
        <v>405</v>
      </c>
      <c r="F3" s="5" t="s">
        <v>409</v>
      </c>
      <c r="G3" s="6" t="s">
        <v>410</v>
      </c>
      <c r="I3" s="7"/>
    </row>
    <row r="4" spans="1:14">
      <c r="A4" t="s">
        <v>363</v>
      </c>
      <c r="B4" s="3" t="s">
        <v>404</v>
      </c>
      <c r="C4" s="253" t="s">
        <v>405</v>
      </c>
      <c r="D4" s="3" t="s">
        <v>414</v>
      </c>
      <c r="E4" s="253" t="s">
        <v>325</v>
      </c>
      <c r="F4" s="3" t="s">
        <v>411</v>
      </c>
      <c r="G4" s="6" t="s">
        <v>412</v>
      </c>
      <c r="N4" s="14" t="s">
        <v>413</v>
      </c>
    </row>
    <row r="5" spans="1:14" ht="33.75">
      <c r="A5" t="s">
        <v>364</v>
      </c>
      <c r="B5" s="3" t="s">
        <v>424</v>
      </c>
      <c r="C5" s="6" t="s">
        <v>425</v>
      </c>
      <c r="D5" s="10" t="s">
        <v>419</v>
      </c>
      <c r="E5" s="11" t="s">
        <v>420</v>
      </c>
      <c r="F5" s="3" t="s">
        <v>414</v>
      </c>
      <c r="G5" s="253" t="s">
        <v>325</v>
      </c>
      <c r="N5" s="15" t="s">
        <v>415</v>
      </c>
    </row>
    <row r="6" spans="1:14" ht="33.75">
      <c r="A6" s="460"/>
      <c r="B6" s="92"/>
      <c r="C6" s="462"/>
      <c r="D6" s="92" t="s">
        <v>1070</v>
      </c>
      <c r="E6" s="462" t="s">
        <v>1071</v>
      </c>
      <c r="F6" s="3" t="s">
        <v>416</v>
      </c>
      <c r="G6" s="253" t="s">
        <v>417</v>
      </c>
      <c r="I6" s="7"/>
      <c r="N6" s="14" t="s">
        <v>418</v>
      </c>
    </row>
    <row r="7" spans="1:14" ht="33.75">
      <c r="A7" t="s">
        <v>366</v>
      </c>
      <c r="B7" s="3" t="s">
        <v>433</v>
      </c>
      <c r="C7" s="6" t="s">
        <v>434</v>
      </c>
      <c r="D7" s="5" t="s">
        <v>430</v>
      </c>
      <c r="E7" s="6" t="s">
        <v>431</v>
      </c>
      <c r="F7" s="10" t="s">
        <v>419</v>
      </c>
      <c r="G7" s="11" t="s">
        <v>420</v>
      </c>
      <c r="I7" s="8"/>
    </row>
    <row r="8" spans="1:14" ht="33.75">
      <c r="A8" t="s">
        <v>367</v>
      </c>
      <c r="B8" s="5" t="s">
        <v>430</v>
      </c>
      <c r="C8" s="6" t="s">
        <v>431</v>
      </c>
      <c r="D8" s="466" t="s">
        <v>1072</v>
      </c>
      <c r="E8" s="465" t="s">
        <v>1073</v>
      </c>
      <c r="F8" s="3" t="s">
        <v>421</v>
      </c>
      <c r="G8" s="12" t="s">
        <v>422</v>
      </c>
      <c r="I8" s="9"/>
      <c r="N8" s="14" t="s">
        <v>423</v>
      </c>
    </row>
    <row r="9" spans="1:14" ht="22.5">
      <c r="A9" t="s">
        <v>369</v>
      </c>
      <c r="B9" s="3" t="s">
        <v>1066</v>
      </c>
      <c r="C9" s="464" t="s">
        <v>1067</v>
      </c>
      <c r="D9" s="3" t="s">
        <v>416</v>
      </c>
      <c r="E9" s="463" t="s">
        <v>417</v>
      </c>
      <c r="F9" s="3" t="s">
        <v>424</v>
      </c>
      <c r="G9" s="6" t="s">
        <v>425</v>
      </c>
      <c r="I9" s="7"/>
      <c r="N9" s="15" t="s">
        <v>426</v>
      </c>
    </row>
    <row r="10" spans="1:14" ht="33.75">
      <c r="A10" t="s">
        <v>370</v>
      </c>
      <c r="B10" s="466" t="s">
        <v>1068</v>
      </c>
      <c r="C10" s="465" t="s">
        <v>1069</v>
      </c>
      <c r="D10" s="3" t="s">
        <v>421</v>
      </c>
      <c r="E10" s="11" t="s">
        <v>422</v>
      </c>
      <c r="F10" s="3" t="s">
        <v>427</v>
      </c>
      <c r="G10" s="253" t="s">
        <v>428</v>
      </c>
      <c r="N10" s="14" t="s">
        <v>429</v>
      </c>
    </row>
    <row r="11" spans="1:14">
      <c r="A11" t="s">
        <v>384</v>
      </c>
      <c r="B11" s="3" t="s">
        <v>421</v>
      </c>
      <c r="C11" s="11" t="s">
        <v>422</v>
      </c>
      <c r="D11" s="466" t="s">
        <v>1068</v>
      </c>
      <c r="E11" s="465" t="s">
        <v>1069</v>
      </c>
      <c r="F11" s="5" t="s">
        <v>430</v>
      </c>
      <c r="G11" s="6" t="s">
        <v>431</v>
      </c>
      <c r="N11" s="15" t="s">
        <v>432</v>
      </c>
    </row>
    <row r="12" spans="1:14">
      <c r="A12" t="s">
        <v>372</v>
      </c>
      <c r="B12" s="3" t="s">
        <v>427</v>
      </c>
      <c r="C12" s="463" t="s">
        <v>428</v>
      </c>
      <c r="D12" s="3" t="s">
        <v>406</v>
      </c>
      <c r="E12" s="463" t="s">
        <v>407</v>
      </c>
      <c r="F12" s="3" t="s">
        <v>433</v>
      </c>
      <c r="G12" s="6" t="s">
        <v>434</v>
      </c>
      <c r="I12" s="7"/>
      <c r="N12" s="14" t="s">
        <v>435</v>
      </c>
    </row>
    <row r="13" spans="1:14" ht="22.5">
      <c r="A13" t="s">
        <v>373</v>
      </c>
      <c r="B13" s="3" t="s">
        <v>406</v>
      </c>
      <c r="C13" s="463" t="s">
        <v>407</v>
      </c>
      <c r="D13" s="3" t="s">
        <v>427</v>
      </c>
      <c r="E13" s="463" t="s">
        <v>428</v>
      </c>
      <c r="F13" s="5" t="s">
        <v>430</v>
      </c>
      <c r="G13" s="6" t="s">
        <v>431</v>
      </c>
      <c r="N13" s="15" t="s">
        <v>436</v>
      </c>
    </row>
    <row r="14" spans="1:14">
      <c r="A14" t="s">
        <v>374</v>
      </c>
      <c r="B14" s="3" t="s">
        <v>414</v>
      </c>
      <c r="C14" s="253" t="s">
        <v>325</v>
      </c>
      <c r="D14" s="10" t="s">
        <v>437</v>
      </c>
      <c r="E14" s="6" t="s">
        <v>438</v>
      </c>
      <c r="F14" s="10" t="s">
        <v>437</v>
      </c>
      <c r="G14" s="6" t="s">
        <v>438</v>
      </c>
      <c r="N14" s="14" t="s">
        <v>439</v>
      </c>
    </row>
    <row r="15" spans="1:14" ht="22.5">
      <c r="A15" t="s">
        <v>375</v>
      </c>
      <c r="B15" s="10" t="s">
        <v>437</v>
      </c>
      <c r="C15" s="6" t="s">
        <v>438</v>
      </c>
      <c r="D15" s="3" t="s">
        <v>1066</v>
      </c>
      <c r="E15" s="464" t="s">
        <v>1067</v>
      </c>
      <c r="F15" s="7"/>
      <c r="I15" s="7"/>
      <c r="N15" s="15" t="s">
        <v>440</v>
      </c>
    </row>
    <row r="16" spans="1:14" ht="22.5">
      <c r="A16" s="919" t="s">
        <v>1255</v>
      </c>
      <c r="B16" s="466" t="s">
        <v>1072</v>
      </c>
      <c r="C16" s="465" t="s">
        <v>1073</v>
      </c>
      <c r="D16" s="13"/>
      <c r="E16" s="12"/>
      <c r="N16" s="14" t="s">
        <v>441</v>
      </c>
    </row>
    <row r="17" spans="2:14">
      <c r="D17" s="34"/>
      <c r="N17" s="15" t="s">
        <v>442</v>
      </c>
    </row>
    <row r="18" spans="2:14" ht="22.5">
      <c r="D18" s="13"/>
      <c r="E18" s="12"/>
      <c r="F18" s="7"/>
      <c r="I18" s="7"/>
      <c r="N18" s="14" t="s">
        <v>443</v>
      </c>
    </row>
    <row r="19" spans="2:14">
      <c r="B19" s="13"/>
      <c r="C19" s="11"/>
      <c r="D19" s="13"/>
      <c r="E19" s="12"/>
      <c r="I19" s="7"/>
    </row>
    <row r="20" spans="2:14">
      <c r="D20" s="34"/>
      <c r="N20" s="14" t="s">
        <v>444</v>
      </c>
    </row>
    <row r="21" spans="2:14">
      <c r="D21" s="34"/>
      <c r="F21" s="7"/>
    </row>
    <row r="22" spans="2:14">
      <c r="D22" s="34"/>
      <c r="I22" s="15"/>
      <c r="N22" s="14" t="s">
        <v>445</v>
      </c>
    </row>
    <row r="23" spans="2:14">
      <c r="B23" s="3"/>
      <c r="C23" s="464"/>
      <c r="D23" s="34"/>
      <c r="I23" s="14"/>
    </row>
    <row r="24" spans="2:14">
      <c r="F24" s="7"/>
      <c r="N24" s="14" t="s">
        <v>446</v>
      </c>
    </row>
    <row r="26" spans="2:14">
      <c r="I26" s="15"/>
    </row>
    <row r="27" spans="2:14">
      <c r="I27" s="14"/>
    </row>
    <row r="28" spans="2:14">
      <c r="B28" s="3"/>
      <c r="C28" s="4"/>
    </row>
    <row r="29" spans="2:14">
      <c r="B29" s="3"/>
      <c r="C29" s="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topLeftCell="A4" workbookViewId="0">
      <selection activeCell="Q14" sqref="Q14"/>
    </sheetView>
  </sheetViews>
  <sheetFormatPr defaultColWidth="9" defaultRowHeight="15"/>
  <sheetData>
    <row r="1" spans="1:20" ht="18.75">
      <c r="A1" s="1043" t="s">
        <v>447</v>
      </c>
      <c r="B1" s="1043"/>
      <c r="C1" s="1043"/>
      <c r="D1" s="1043"/>
      <c r="E1" s="1043"/>
      <c r="F1" s="1043"/>
      <c r="G1" s="1043"/>
      <c r="H1" s="1043"/>
      <c r="I1" s="1043"/>
      <c r="J1" s="1043"/>
      <c r="K1" s="1043"/>
      <c r="L1" s="1043"/>
      <c r="M1" s="1043"/>
      <c r="N1" s="1"/>
    </row>
    <row r="2" spans="1:20" ht="18.75">
      <c r="A2" s="1043" t="s">
        <v>4</v>
      </c>
      <c r="B2" s="1043"/>
      <c r="C2" s="1043"/>
      <c r="D2" s="1043"/>
      <c r="E2" s="1043"/>
      <c r="F2" s="1043"/>
      <c r="G2" s="1043"/>
      <c r="H2" s="1043"/>
      <c r="I2" s="1043"/>
      <c r="J2" s="1043"/>
      <c r="K2" s="1043"/>
      <c r="L2" s="1043"/>
      <c r="M2" s="1043"/>
      <c r="N2" s="1"/>
    </row>
    <row r="3" spans="1:20" ht="18.75">
      <c r="A3" s="1043" t="s">
        <v>643</v>
      </c>
      <c r="B3" s="1043"/>
      <c r="C3" s="1043"/>
      <c r="D3" s="1043"/>
      <c r="E3" s="1043"/>
      <c r="F3" s="1043"/>
      <c r="G3" s="1043"/>
      <c r="H3" s="1043"/>
      <c r="I3" s="1043"/>
      <c r="J3" s="1043"/>
      <c r="K3" s="1043"/>
      <c r="L3" s="1043"/>
      <c r="M3" s="1043"/>
      <c r="N3" s="1"/>
    </row>
    <row r="4" spans="1:2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20">
      <c r="A5" s="2" t="s">
        <v>448</v>
      </c>
      <c r="B5" s="2"/>
      <c r="C5" s="2" t="s">
        <v>449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20">
      <c r="A6" s="2" t="s">
        <v>450</v>
      </c>
      <c r="B6" s="2"/>
      <c r="C6" s="2" t="s">
        <v>451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20">
      <c r="A7" s="2" t="s">
        <v>452</v>
      </c>
      <c r="B7" s="2"/>
      <c r="C7" s="2" t="s">
        <v>453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20">
      <c r="A8" s="2" t="s">
        <v>454</v>
      </c>
      <c r="B8" s="2"/>
      <c r="C8" s="2" t="s">
        <v>455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20" ht="15.75" thickBo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20">
      <c r="A10" s="1045" t="s">
        <v>456</v>
      </c>
      <c r="B10" s="1044" t="s">
        <v>457</v>
      </c>
      <c r="C10" s="1044"/>
      <c r="D10" s="1044" t="s">
        <v>458</v>
      </c>
      <c r="E10" s="1044" t="s">
        <v>459</v>
      </c>
      <c r="F10" s="1044" t="s">
        <v>460</v>
      </c>
      <c r="G10" s="1044"/>
      <c r="H10" s="1044" t="s">
        <v>458</v>
      </c>
      <c r="I10" s="1044" t="s">
        <v>459</v>
      </c>
      <c r="J10" s="1044" t="s">
        <v>461</v>
      </c>
      <c r="K10" s="1044"/>
      <c r="L10" s="1044" t="s">
        <v>458</v>
      </c>
      <c r="M10" s="1044" t="s">
        <v>459</v>
      </c>
      <c r="N10" s="1041" t="s">
        <v>458</v>
      </c>
      <c r="Q10" s="1040" t="s">
        <v>1162</v>
      </c>
      <c r="R10" s="1040"/>
      <c r="S10" s="1040"/>
    </row>
    <row r="11" spans="1:20" ht="15.75" thickBot="1">
      <c r="A11" s="1046"/>
      <c r="B11" s="553" t="s">
        <v>3</v>
      </c>
      <c r="C11" s="553" t="s">
        <v>24</v>
      </c>
      <c r="D11" s="1047"/>
      <c r="E11" s="1047"/>
      <c r="F11" s="553" t="s">
        <v>3</v>
      </c>
      <c r="G11" s="553" t="s">
        <v>24</v>
      </c>
      <c r="H11" s="1047"/>
      <c r="I11" s="1047"/>
      <c r="J11" s="553" t="s">
        <v>3</v>
      </c>
      <c r="K11" s="553" t="s">
        <v>24</v>
      </c>
      <c r="L11" s="1047"/>
      <c r="M11" s="1047"/>
      <c r="N11" s="1042"/>
      <c r="Q11" s="551">
        <v>7</v>
      </c>
      <c r="R11" s="551">
        <v>8</v>
      </c>
      <c r="S11" s="551">
        <v>9</v>
      </c>
      <c r="T11" s="551" t="s">
        <v>358</v>
      </c>
    </row>
    <row r="12" spans="1:20" ht="32.25" customHeight="1" thickBot="1">
      <c r="A12" s="554" t="s">
        <v>462</v>
      </c>
      <c r="B12" s="555">
        <v>61</v>
      </c>
      <c r="C12" s="555">
        <v>99</v>
      </c>
      <c r="D12" s="556">
        <f>B12+C12</f>
        <v>160</v>
      </c>
      <c r="E12" s="557">
        <v>5</v>
      </c>
      <c r="F12" s="555">
        <v>83</v>
      </c>
      <c r="G12" s="555">
        <v>77</v>
      </c>
      <c r="H12" s="556">
        <f>F12+G12</f>
        <v>160</v>
      </c>
      <c r="I12" s="557">
        <v>5</v>
      </c>
      <c r="J12" s="555">
        <v>65</v>
      </c>
      <c r="K12" s="555">
        <v>85</v>
      </c>
      <c r="L12" s="556">
        <f>J12+K12</f>
        <v>150</v>
      </c>
      <c r="M12" s="557">
        <v>5</v>
      </c>
      <c r="N12" s="558">
        <f>L12+H12+D12</f>
        <v>470</v>
      </c>
      <c r="Q12" s="552">
        <f>D12/32</f>
        <v>5</v>
      </c>
      <c r="R12" s="552">
        <f>H12/32</f>
        <v>5</v>
      </c>
      <c r="S12" s="552">
        <f>L12/32</f>
        <v>4.6875</v>
      </c>
      <c r="T12" s="552">
        <f>N12/32</f>
        <v>14.6875</v>
      </c>
    </row>
    <row r="13" spans="1:20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20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20">
      <c r="A16" s="2"/>
      <c r="B16" s="2"/>
      <c r="C16" s="2"/>
      <c r="D16" s="2"/>
      <c r="E16" s="2"/>
      <c r="F16" s="2"/>
      <c r="G16" s="2"/>
      <c r="H16" s="2"/>
      <c r="I16" s="2"/>
      <c r="J16" s="2" t="s">
        <v>1811</v>
      </c>
      <c r="K16" s="2"/>
      <c r="L16" s="2"/>
      <c r="M16" s="2"/>
      <c r="N16" s="2"/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 t="s">
        <v>382</v>
      </c>
      <c r="K17" s="2"/>
      <c r="L17" s="2"/>
      <c r="M17" s="2"/>
      <c r="N17" s="2"/>
    </row>
    <row r="18" spans="1:1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>
      <c r="A22" s="2"/>
      <c r="B22" s="2"/>
      <c r="C22" s="2"/>
      <c r="D22" s="2"/>
      <c r="E22" s="2"/>
      <c r="F22" s="2"/>
      <c r="G22" s="2"/>
      <c r="H22" s="2"/>
      <c r="I22" s="2"/>
      <c r="J22" s="92" t="s">
        <v>1208</v>
      </c>
      <c r="K22" s="2"/>
      <c r="L22" s="2"/>
      <c r="M22" s="2"/>
      <c r="N22" s="2"/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94" t="s">
        <v>637</v>
      </c>
      <c r="K23" s="2"/>
      <c r="L23" s="2"/>
      <c r="M23" s="2"/>
      <c r="N23" s="2"/>
    </row>
    <row r="24" spans="1:14">
      <c r="A24" s="2"/>
      <c r="B24" s="2"/>
      <c r="C24" s="2"/>
      <c r="D24" s="2"/>
      <c r="E24" s="2"/>
      <c r="F24" s="2"/>
      <c r="G24" s="2"/>
      <c r="H24" s="2"/>
      <c r="I24" s="2"/>
      <c r="J24" s="295" t="s">
        <v>1222</v>
      </c>
      <c r="K24" s="2"/>
      <c r="L24" s="2"/>
      <c r="M24" s="2"/>
      <c r="N24" s="2"/>
    </row>
    <row r="25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</sheetData>
  <mergeCells count="15">
    <mergeCell ref="Q10:S10"/>
    <mergeCell ref="N10:N11"/>
    <mergeCell ref="A1:M1"/>
    <mergeCell ref="A2:M2"/>
    <mergeCell ref="A3:M3"/>
    <mergeCell ref="B10:C10"/>
    <mergeCell ref="F10:G10"/>
    <mergeCell ref="J10:K10"/>
    <mergeCell ref="A10:A11"/>
    <mergeCell ref="D10:D11"/>
    <mergeCell ref="E10:E11"/>
    <mergeCell ref="H10:H11"/>
    <mergeCell ref="I10:I11"/>
    <mergeCell ref="L10:L11"/>
    <mergeCell ref="M10:M1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VII</vt:lpstr>
      <vt:lpstr>VIII</vt:lpstr>
      <vt:lpstr>IX</vt:lpstr>
      <vt:lpstr>rekap</vt:lpstr>
      <vt:lpstr>berkas</vt:lpstr>
      <vt:lpstr>WLKLS</vt:lpstr>
      <vt:lpstr>Laporan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2026-07-10T04:12:34Z</cp:lastPrinted>
  <dcterms:created xsi:type="dcterms:W3CDTF">2021-01-21T01:20:00Z</dcterms:created>
  <dcterms:modified xsi:type="dcterms:W3CDTF">2026-07-20T14:17:12Z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3F4EC3F630314A60BBC0ED1718A40325_12</vt:lpwstr>
  </property>
  <property fmtid="{D5CDD505-2E9C-101B-9397-08002B2CF9AE}" pid="3" name="KSOProductBuildVer">
    <vt:lpwstr>1033-12.2.0.18607</vt:lpwstr>
  </property>
</Properties>
</file>