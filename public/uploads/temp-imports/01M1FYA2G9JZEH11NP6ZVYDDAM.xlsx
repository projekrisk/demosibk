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F26DB88-B933-4E27-A6C6-697E2D04D797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Kelas 7" sheetId="19" r:id="rId1"/>
    <sheet name="Kelas 8" sheetId="18" r:id="rId2"/>
    <sheet name="Kelas 9" sheetId="17" r:id="rId3"/>
    <sheet name="Lulus 2026" sheetId="16" r:id="rId4"/>
    <sheet name="Lulus 2025" sheetId="14" r:id="rId5"/>
    <sheet name="Lulus 2024" sheetId="6" r:id="rId6"/>
    <sheet name="Sheet1" sheetId="4" r:id="rId7"/>
  </sheets>
  <definedNames>
    <definedName name="_xlnm.Print_Area" localSheetId="5">'Lulus 2024'!$A$1:$K$177</definedName>
  </definedNames>
  <calcPr calcId="191029"/>
</workbook>
</file>

<file path=xl/calcChain.xml><?xml version="1.0" encoding="utf-8"?>
<calcChain xmlns="http://schemas.openxmlformats.org/spreadsheetml/2006/main">
  <c r="I201" i="19" l="1"/>
  <c r="I196" i="19"/>
  <c r="J180" i="19"/>
  <c r="C180" i="19"/>
  <c r="J179" i="19"/>
  <c r="C179" i="19"/>
  <c r="J133" i="19"/>
  <c r="C133" i="19"/>
  <c r="J132" i="19"/>
  <c r="C132" i="19"/>
  <c r="J86" i="19"/>
  <c r="C86" i="19"/>
  <c r="J85" i="19"/>
  <c r="C85" i="19"/>
  <c r="J40" i="19"/>
  <c r="C40" i="19"/>
  <c r="J39" i="19"/>
  <c r="C39" i="19"/>
  <c r="J86" i="18"/>
  <c r="J86" i="17"/>
  <c r="J180" i="18"/>
  <c r="C180" i="18"/>
  <c r="J179" i="18"/>
  <c r="C179" i="18"/>
  <c r="J133" i="18"/>
  <c r="C133" i="18"/>
  <c r="J132" i="18"/>
  <c r="C132" i="18"/>
  <c r="C86" i="18"/>
  <c r="J85" i="18"/>
  <c r="C85" i="18"/>
  <c r="J40" i="18"/>
  <c r="C40" i="18"/>
  <c r="J39" i="18"/>
  <c r="C39" i="18"/>
  <c r="J85" i="17"/>
  <c r="C132" i="17"/>
  <c r="C133" i="17"/>
  <c r="J180" i="17"/>
  <c r="C180" i="17"/>
  <c r="J179" i="17"/>
  <c r="C179" i="17"/>
  <c r="J133" i="17"/>
  <c r="J132" i="17"/>
  <c r="C86" i="17"/>
  <c r="C85" i="17"/>
  <c r="J40" i="17"/>
  <c r="C40" i="17"/>
  <c r="J39" i="17"/>
  <c r="C39" i="17"/>
  <c r="C128" i="6"/>
  <c r="J131" i="16"/>
  <c r="J132" i="16"/>
  <c r="J178" i="16"/>
  <c r="C178" i="16"/>
  <c r="J177" i="16"/>
  <c r="C177" i="16"/>
  <c r="C132" i="16"/>
  <c r="C131" i="16"/>
  <c r="J86" i="16"/>
  <c r="C86" i="16"/>
  <c r="J85" i="16"/>
  <c r="C85" i="16"/>
  <c r="J40" i="16"/>
  <c r="C40" i="16"/>
  <c r="J39" i="16"/>
  <c r="C39" i="16"/>
  <c r="C132" i="1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C87" i="19" l="1"/>
  <c r="I203" i="19"/>
  <c r="C134" i="19"/>
  <c r="J41" i="19"/>
  <c r="C181" i="19"/>
  <c r="J134" i="19"/>
  <c r="J87" i="19"/>
  <c r="C194" i="19"/>
  <c r="C41" i="19"/>
  <c r="C193" i="19"/>
  <c r="J181" i="19"/>
  <c r="C87" i="18"/>
  <c r="C134" i="18"/>
  <c r="J134" i="18"/>
  <c r="C181" i="18"/>
  <c r="J41" i="18"/>
  <c r="C41" i="18"/>
  <c r="J87" i="18"/>
  <c r="C193" i="18"/>
  <c r="C194" i="18"/>
  <c r="J181" i="18"/>
  <c r="J181" i="17"/>
  <c r="C181" i="17"/>
  <c r="C87" i="17"/>
  <c r="C41" i="17"/>
  <c r="J87" i="17"/>
  <c r="J41" i="17"/>
  <c r="C134" i="17"/>
  <c r="J134" i="17"/>
  <c r="C194" i="17"/>
  <c r="C193" i="17"/>
  <c r="C87" i="16"/>
  <c r="C179" i="16"/>
  <c r="C133" i="16"/>
  <c r="J179" i="16"/>
  <c r="C41" i="16"/>
  <c r="J41" i="16"/>
  <c r="J133" i="16"/>
  <c r="J87" i="16"/>
  <c r="C192" i="16"/>
  <c r="C191" i="16"/>
  <c r="J178" i="14"/>
  <c r="C178" i="14"/>
  <c r="J177" i="14"/>
  <c r="C177" i="14"/>
  <c r="J132" i="14"/>
  <c r="J131" i="14"/>
  <c r="C131" i="14"/>
  <c r="J86" i="14"/>
  <c r="C86" i="14"/>
  <c r="J85" i="14"/>
  <c r="C85" i="14"/>
  <c r="J40" i="14"/>
  <c r="C40" i="14"/>
  <c r="J39" i="14"/>
  <c r="C39" i="14"/>
  <c r="C190" i="19" l="1"/>
  <c r="C195" i="19"/>
  <c r="C190" i="18"/>
  <c r="C195" i="18"/>
  <c r="C190" i="17"/>
  <c r="C195" i="17"/>
  <c r="C188" i="16"/>
  <c r="C193" i="16"/>
  <c r="J41" i="14"/>
  <c r="J87" i="14"/>
  <c r="J133" i="14"/>
  <c r="C133" i="14"/>
  <c r="C179" i="14"/>
  <c r="J179" i="14"/>
  <c r="C87" i="14"/>
  <c r="C41" i="14"/>
  <c r="C192" i="14"/>
  <c r="C191" i="1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C188" i="14" l="1"/>
  <c r="C193" i="14"/>
  <c r="C173" i="6"/>
  <c r="C172" i="6"/>
  <c r="I129" i="6"/>
  <c r="C129" i="6"/>
  <c r="I128" i="6"/>
  <c r="I84" i="6"/>
  <c r="C84" i="6"/>
  <c r="I83" i="6"/>
  <c r="C83" i="6"/>
  <c r="I39" i="6"/>
  <c r="C39" i="6"/>
  <c r="I38" i="6"/>
  <c r="C38" i="6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" i="4"/>
  <c r="C40" i="6" l="1"/>
  <c r="C85" i="6"/>
  <c r="I85" i="6"/>
  <c r="C130" i="6"/>
  <c r="I130" i="6"/>
  <c r="I40" i="6"/>
  <c r="C184" i="6"/>
  <c r="C185" i="6"/>
  <c r="C174" i="6"/>
  <c r="C187" i="6" l="1"/>
</calcChain>
</file>

<file path=xl/sharedStrings.xml><?xml version="1.0" encoding="utf-8"?>
<sst xmlns="http://schemas.openxmlformats.org/spreadsheetml/2006/main" count="5028" uniqueCount="2794">
  <si>
    <t>L</t>
  </si>
  <si>
    <t>P</t>
  </si>
  <si>
    <t>No</t>
  </si>
  <si>
    <t>No. Induk</t>
  </si>
  <si>
    <t xml:space="preserve">Nama </t>
  </si>
  <si>
    <t>L/P</t>
  </si>
  <si>
    <t>Paraf</t>
  </si>
  <si>
    <t>Nama</t>
  </si>
  <si>
    <t>Keterangan</t>
  </si>
  <si>
    <t>:</t>
  </si>
  <si>
    <t>Laki - laki      =</t>
  </si>
  <si>
    <t>Perempuan    =</t>
  </si>
  <si>
    <t>Wali Kelas</t>
  </si>
  <si>
    <t>_______________________</t>
  </si>
  <si>
    <t xml:space="preserve">   NIP. </t>
  </si>
  <si>
    <t>KELAS 9A</t>
  </si>
  <si>
    <t>KELAS 9B</t>
  </si>
  <si>
    <t>KELAS 9C</t>
  </si>
  <si>
    <t>KELAS 9D</t>
  </si>
  <si>
    <t>KELAS 9F</t>
  </si>
  <si>
    <t>Jumlah        =</t>
  </si>
  <si>
    <t xml:space="preserve">  Keterangan</t>
  </si>
  <si>
    <t>Induk</t>
  </si>
  <si>
    <t>Laki - laki     =</t>
  </si>
  <si>
    <t>KELAS 8A</t>
  </si>
  <si>
    <t>KELAS 8B</t>
  </si>
  <si>
    <t>KELAS 8C</t>
  </si>
  <si>
    <t>KELAS 8D</t>
  </si>
  <si>
    <t>KELAS 8E</t>
  </si>
  <si>
    <t>KELAS 9E</t>
  </si>
  <si>
    <t>Perempuan</t>
  </si>
  <si>
    <t>Laki-laki</t>
  </si>
  <si>
    <t>LAKI-LAKI</t>
  </si>
  <si>
    <t>PEREMPUAN</t>
  </si>
  <si>
    <t>121135190007200151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</si>
  <si>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</si>
  <si>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</si>
  <si>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</si>
  <si>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</si>
  <si>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</si>
  <si>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</si>
  <si>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</si>
  <si>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</si>
  <si>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</si>
  <si>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</si>
  <si>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</si>
  <si>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</si>
  <si>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</si>
  <si>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</si>
  <si>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</si>
  <si>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</si>
  <si>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</si>
  <si>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</si>
  <si>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</si>
  <si>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</si>
  <si>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</si>
  <si>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</si>
  <si>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</si>
  <si>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</si>
  <si>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</si>
  <si>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</si>
  <si>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</si>
  <si>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</si>
  <si>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</si>
  <si>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</si>
  <si>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</si>
  <si>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</si>
  <si>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</si>
  <si>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</si>
  <si>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</si>
  <si>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</si>
  <si>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</si>
  <si>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</si>
  <si>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</si>
  <si>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</si>
  <si>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</si>
  <si>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</si>
  <si>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</si>
  <si>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</si>
  <si>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</si>
  <si>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</si>
  <si>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</si>
  <si>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</si>
  <si>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</si>
  <si>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</si>
  <si>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</si>
  <si>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</si>
  <si>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</si>
  <si>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</si>
  <si>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</si>
  <si>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</si>
  <si>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</si>
  <si>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</si>
  <si>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</si>
  <si>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</si>
  <si>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</si>
  <si>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</si>
  <si>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</si>
  <si>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</si>
  <si>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</si>
  <si>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</si>
  <si>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</si>
  <si>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</si>
  <si>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</si>
  <si>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</si>
  <si>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</si>
  <si>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</si>
  <si>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</si>
  <si>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</si>
  <si>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</si>
  <si>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</si>
  <si>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</si>
  <si>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</si>
  <si>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</si>
  <si>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</si>
  <si>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</si>
  <si>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</si>
  <si>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</si>
  <si>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</si>
  <si>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</si>
  <si>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</si>
  <si>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</si>
  <si>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</si>
  <si>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</si>
  <si>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</si>
  <si>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</si>
  <si>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</si>
  <si>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</si>
  <si>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</si>
  <si>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</si>
  <si>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</si>
  <si>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</si>
  <si>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</si>
  <si>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</si>
  <si>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</si>
  <si>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</si>
  <si>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</si>
  <si>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</si>
  <si>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</si>
  <si>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</si>
  <si>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</si>
  <si>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</si>
  <si>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</si>
  <si>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</si>
  <si>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</si>
  <si>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</si>
  <si>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</si>
  <si>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</si>
  <si>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</si>
  <si>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</si>
  <si>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</si>
  <si>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</si>
  <si>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</si>
  <si>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</si>
  <si>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</si>
  <si>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</si>
  <si>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</si>
  <si>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</si>
  <si>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</si>
  <si>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</si>
  <si>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</si>
  <si>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</si>
  <si>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</si>
  <si>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</si>
  <si>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</si>
  <si>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</si>
  <si>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</si>
  <si>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</si>
  <si>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</si>
  <si>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</si>
  <si>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</si>
  <si>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</si>
  <si>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</si>
  <si>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</si>
  <si>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</si>
  <si>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</si>
  <si>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</si>
  <si>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</si>
  <si>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</si>
  <si>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</si>
  <si>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</si>
  <si>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</si>
  <si>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</si>
  <si>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</si>
  <si>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</si>
  <si>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</si>
  <si>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</si>
  <si>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</si>
  <si>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</si>
  <si>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</si>
  <si>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</si>
  <si>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</si>
  <si>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</si>
  <si>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</si>
  <si>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</si>
  <si>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</si>
  <si>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</si>
  <si>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</si>
  <si>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</si>
  <si>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</si>
  <si>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</si>
  <si>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</si>
  <si>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</si>
  <si>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</si>
  <si>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</si>
  <si>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</si>
  <si>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</si>
  <si>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</si>
  <si>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</si>
  <si>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</si>
  <si>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</si>
  <si>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</si>
  <si>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</si>
  <si>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</si>
  <si>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</si>
  <si>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</si>
  <si>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</si>
  <si>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</si>
  <si>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</si>
  <si>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</si>
  <si>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</si>
  <si>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</si>
  <si>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</si>
  <si>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</si>
  <si>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</si>
  <si>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</si>
  <si>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</si>
  <si>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</si>
  <si>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</si>
  <si>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</si>
  <si>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</si>
  <si>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</si>
  <si>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</si>
  <si>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</si>
  <si>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</si>
  <si>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</si>
  <si>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</si>
  <si>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</si>
  <si>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</si>
  <si>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</si>
  <si>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</si>
  <si>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</si>
  <si>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</si>
  <si>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AVRILLA RASTY</t>
  </si>
  <si>
    <t>FAHRIZA WAHYU WICAKSONO</t>
  </si>
  <si>
    <t>ARKAN DUMAJA MAULANA</t>
  </si>
  <si>
    <t>RENDY SEPTIA RAMADHANI</t>
  </si>
  <si>
    <t>KRISNA ADI MAULANA</t>
  </si>
  <si>
    <t>BAYU WERDIANSYAH</t>
  </si>
  <si>
    <t>ZERLINA SYAEFUDIN</t>
  </si>
  <si>
    <t>BELA ANDINI PUTRI</t>
  </si>
  <si>
    <t>RICKY RAMDANI</t>
  </si>
  <si>
    <t>CHACHA VIOLITA DWI PUTRI</t>
  </si>
  <si>
    <t>NASWA RAHADATUL AISY</t>
  </si>
  <si>
    <t>FATHNUN QISTHI AWALIYAH</t>
  </si>
  <si>
    <t xml:space="preserve">FADHIL IMRAN FAIRUS </t>
  </si>
  <si>
    <t>ANINDYA PURI MAHARANI</t>
  </si>
  <si>
    <t>RAGIL TRI UTOMO</t>
  </si>
  <si>
    <t>ROYAND HAFIDZ ASQOLANI</t>
  </si>
  <si>
    <t>AHMAD RIDHO FIRMANSYAH</t>
  </si>
  <si>
    <t>MARLEY ANDRO WAHYU SAPUTRA</t>
  </si>
  <si>
    <t>KAILA DINI NOVIANTI</t>
  </si>
  <si>
    <t>ANDIKHA NURRUDIN</t>
  </si>
  <si>
    <t>RIO NUR WAHID</t>
  </si>
  <si>
    <t>CAESA KURNIA WIDYA SUSANTI</t>
  </si>
  <si>
    <t>ADELA DYAH PALUPI</t>
  </si>
  <si>
    <t>ERISA ARTIANTI PUTRI</t>
  </si>
  <si>
    <t>ARYA EDI SYAH PUTRA</t>
  </si>
  <si>
    <t>LIKHA NISA'U ZUHRIYAH</t>
  </si>
  <si>
    <t>RIZKI ADITYA</t>
  </si>
  <si>
    <t>ANDIKA DWI SETIAWAN</t>
  </si>
  <si>
    <t>NITA RAMADHANI</t>
  </si>
  <si>
    <t>DEVI LATIVATUL MUSTAGFIROH</t>
  </si>
  <si>
    <t>ALYA CARISSA RAMADHANI</t>
  </si>
  <si>
    <t>HAIKAL FAIS CAHYANA</t>
  </si>
  <si>
    <t>YUSUF ALI FIRMANSYAH</t>
  </si>
  <si>
    <t>KEYLA GRISTA PERMATA</t>
  </si>
  <si>
    <t>CHELLCE NORASYIKIEN ARIANTI</t>
  </si>
  <si>
    <t>BOBY RIDHO PRATAMA</t>
  </si>
  <si>
    <t>RENO AJI SUSILI</t>
  </si>
  <si>
    <t>SATRIA MAHENDRA PUTRA</t>
  </si>
  <si>
    <t>MUHAMMAD CHASTINE REZKY FAHREZY</t>
  </si>
  <si>
    <t>APRILLIA NIKMATUL RAHMAWATI</t>
  </si>
  <si>
    <t>NAYNA DEWI RAYHANUM</t>
  </si>
  <si>
    <t>AILSA TUHFAH HERLIA</t>
  </si>
  <si>
    <t>SYAHRUL ISMAIL</t>
  </si>
  <si>
    <t>SAVINKA AZZAHRA</t>
  </si>
  <si>
    <t>AHMAD KHOIRUN NADZIRIN</t>
  </si>
  <si>
    <t>ZIDDAN SAIFUDDIN</t>
  </si>
  <si>
    <t>ANAS RAHMA</t>
  </si>
  <si>
    <t>FANESA RISKI NUR A.</t>
  </si>
  <si>
    <t>MEYZA ARDIANI PUTRI</t>
  </si>
  <si>
    <t>FADLI KURNIAWAN AL MAHRI</t>
  </si>
  <si>
    <t>AHMAD RIFA'I</t>
  </si>
  <si>
    <t>MUHAMMAD FATHUL LILLAH</t>
  </si>
  <si>
    <t>RIZKY EKO PRASETYO</t>
  </si>
  <si>
    <t>FARDHAN HAIKAL NUOHMAN</t>
  </si>
  <si>
    <t>AL  AZIS DWI NOVIANTO</t>
  </si>
  <si>
    <t>NADILA AYU TIASTUTI</t>
  </si>
  <si>
    <t xml:space="preserve">REZAL IKKO TRIGUSTIAWAN </t>
  </si>
  <si>
    <t>ABINAYA BERYL RASENDRYA</t>
  </si>
  <si>
    <t>FAIZRUL NIZAM</t>
  </si>
  <si>
    <t>MUHAMMAD NASRULLAH</t>
  </si>
  <si>
    <t>SYARIFAH LAYLA R.</t>
  </si>
  <si>
    <t>ANANDA DWI ARDIANSYAH</t>
  </si>
  <si>
    <t>CHANDHA NAGITA PUTRI</t>
  </si>
  <si>
    <t>SIAD ILHAM PRATAMA</t>
  </si>
  <si>
    <t>NELLITA WIDYAWATI</t>
  </si>
  <si>
    <t>MUHAMMAD ZAKI N.</t>
  </si>
  <si>
    <t>LUTFI BANGKIT A.</t>
  </si>
  <si>
    <t>AGUSTINA NAILATUL IZZAH</t>
  </si>
  <si>
    <t>DIVA NURU MAWLAYA</t>
  </si>
  <si>
    <t>FABIAN LANGGENG ADI P.</t>
  </si>
  <si>
    <t>HERVIANA RIZQI AMINATUS SHOLIHAH</t>
  </si>
  <si>
    <t>NASTITI KRESNA DHINAR K.</t>
  </si>
  <si>
    <t>RAVI ALVIANO SAPUTRA</t>
  </si>
  <si>
    <t>RIDHO NUR WACHID</t>
  </si>
  <si>
    <t>HANIF NUR FADILAH</t>
  </si>
  <si>
    <t>IRSYAD MADYA HARSANTO</t>
  </si>
  <si>
    <t>ADINDA SYADINA ANNAFI'U L.</t>
  </si>
  <si>
    <t>RADITYA EKA SAPUTRA</t>
  </si>
  <si>
    <t>DANELLA TUNGGA DEWI S.</t>
  </si>
  <si>
    <t>FADLAN NAUFAL RADITYA</t>
  </si>
  <si>
    <t>RASHIFA ARTASYA PRIMADIVA</t>
  </si>
  <si>
    <t>TIARA MAYA SYAHWA</t>
  </si>
  <si>
    <t>FEBRIANA ROSELIN</t>
  </si>
  <si>
    <t xml:space="preserve">NACHWA AURA GISTIANI </t>
  </si>
  <si>
    <t>ALIF RIZAL ABDILLAH</t>
  </si>
  <si>
    <t>YUKIYEKO PUTERA PERDANA</t>
  </si>
  <si>
    <t>CHRISNA TANTRA AL FIAN  AHMAD</t>
  </si>
  <si>
    <t>RIFQI AFFAN RAFSANJANI</t>
  </si>
  <si>
    <t>ZAHRA ANGGUN THOYIBAH</t>
  </si>
  <si>
    <t>ALDOVA YUDA DWI ARDIKA</t>
  </si>
  <si>
    <t>DIAS AYU LUSFIANA W.</t>
  </si>
  <si>
    <t>ISNAINI SEFTIAN WELAS KASIH</t>
  </si>
  <si>
    <t>DWIANI RIZKYANA PRATIWI</t>
  </si>
  <si>
    <t>LUVITA FAHDILA</t>
  </si>
  <si>
    <t>PUTRI DIAN KARTIKASARI</t>
  </si>
  <si>
    <t>DIARRA NURUL HIDAYAH</t>
  </si>
  <si>
    <t>DICKY ARINDRA WAHYU PRATAMA</t>
  </si>
  <si>
    <t>ALJAUZA METAHAYU MOZASIRIN</t>
  </si>
  <si>
    <t>YOGA EKA SATRIA PERWIRA</t>
  </si>
  <si>
    <t>HANIFAH NUR ROSYIDAH</t>
  </si>
  <si>
    <t>AMELLIA DWI ARIANTI</t>
  </si>
  <si>
    <t>ASADULLAH SAYID</t>
  </si>
  <si>
    <t>VELISA PUTRI ANDINA V.</t>
  </si>
  <si>
    <t>MOH.NASRIL ILHAM PUTRA N.W</t>
  </si>
  <si>
    <t>MUHAMMAD JABAL NOR</t>
  </si>
  <si>
    <t>HAYYU NASRULLAH</t>
  </si>
  <si>
    <t>YOLLA PUTRI NATASYA</t>
  </si>
  <si>
    <t>IHSAN RAMIZA AKBAR</t>
  </si>
  <si>
    <t>AL-MUFRIDUN</t>
  </si>
  <si>
    <t>NAYLA RASYA ROSIDI</t>
  </si>
  <si>
    <t>REHAN ADI PRATAMA</t>
  </si>
  <si>
    <t>RA'IS ARIQ FADHILAH</t>
  </si>
  <si>
    <t>ABHELIA AL THIFA TUNNISA</t>
  </si>
  <si>
    <t>EKA WIDIA SUSANTI</t>
  </si>
  <si>
    <t>NISABEL ANWARRISA TWYANTIARA</t>
  </si>
  <si>
    <t>ELISA FEBRIANA SOFIANI</t>
  </si>
  <si>
    <t>DENIS FEBRIANA SARI</t>
  </si>
  <si>
    <t>OKTAVIA NUR ANGGRAENI</t>
  </si>
  <si>
    <t>PUTRI IKA AFIFAH</t>
  </si>
  <si>
    <t>RIZKI MUBAROK</t>
  </si>
  <si>
    <t>NADILLA FIRLIANTI</t>
  </si>
  <si>
    <t>ARSHAVIN EKO PRASETYO</t>
  </si>
  <si>
    <t>DAFFA ADNAN ARDIANSYAH</t>
  </si>
  <si>
    <t>ADITYA FAJAR RAHMANDANI</t>
  </si>
  <si>
    <t>ANDIKA ZUWANINIL MUSTHOFA</t>
  </si>
  <si>
    <t>CHOIRUL DWI PRASETYO</t>
  </si>
  <si>
    <t>DIEGO CHOIRUL ROZIKIN</t>
  </si>
  <si>
    <t>HANIFAH RAHMA NUR AZIZAH</t>
  </si>
  <si>
    <t>YUSUP RIDHO SAPUTRO</t>
  </si>
  <si>
    <t>REVAN RAHMAD EFENDY</t>
  </si>
  <si>
    <t>ARKA DWI NUGRAHA</t>
  </si>
  <si>
    <t>DANIS RAMANDHANI</t>
  </si>
  <si>
    <t>ROSID AMUNAWAR</t>
  </si>
  <si>
    <t>WAHYU EKA PRASTIYO</t>
  </si>
  <si>
    <t>ARFITA DWI ANNGRAINI</t>
  </si>
  <si>
    <t>AQSHANI NIZAR FADLILAH</t>
  </si>
  <si>
    <t>AULIA QOIRUN NISA</t>
  </si>
  <si>
    <t>LUTFIA AIDIYATI</t>
  </si>
  <si>
    <t>ELSA DEWI RAMADHANI</t>
  </si>
  <si>
    <t>AZAHRA HUURUM MAQSUURAH</t>
  </si>
  <si>
    <t>RANGGA ADITYA SYAHPUTRA</t>
  </si>
  <si>
    <t>NURAYU DINAR SASMITA</t>
  </si>
  <si>
    <t xml:space="preserve">NAURRA ROYYANI FAUZIYAH </t>
  </si>
  <si>
    <t>FARAH NABILA AULYA PUTRI</t>
  </si>
  <si>
    <t>SALVA ALIN NUR HUMAIYAH</t>
  </si>
  <si>
    <t>RANGGA DWI ANDRIAWAN</t>
  </si>
  <si>
    <t>DINAS CLARA PERMATA H.</t>
  </si>
  <si>
    <t>MULYA KHARISMA PUTRI</t>
  </si>
  <si>
    <t>VANESHA AIRISWAYA CASANOVA</t>
  </si>
  <si>
    <t>SHAFIRA AZ-ZAHRA</t>
  </si>
  <si>
    <t>ARJUN KARTIKA</t>
  </si>
  <si>
    <t>AHMAD FAIS SIFAU R.</t>
  </si>
  <si>
    <t>ARTA GEDE</t>
  </si>
  <si>
    <t>AFFAN SANDYA YUDA P.</t>
  </si>
  <si>
    <t>FAJAR YULIANTO</t>
  </si>
  <si>
    <t>REHAN YOGI TRIATMABA</t>
  </si>
  <si>
    <t>SEPTIYA FITRI RAMADHANI</t>
  </si>
  <si>
    <t>SASKIA LULU SUSILOWATI</t>
  </si>
  <si>
    <t>AUDIA RAHMAWATI</t>
  </si>
  <si>
    <t>APRILIA KHARISMA PUTRI</t>
  </si>
  <si>
    <t>RAFIFAH ASILAH FAIRUZRAMADHANI</t>
  </si>
  <si>
    <t>CAHAYA JIHAN FARHANIA</t>
  </si>
  <si>
    <t>WAHYU NUR HIDAYAT</t>
  </si>
  <si>
    <t>BAGAS DWI APRELINO</t>
  </si>
  <si>
    <t>DEA LARASATI</t>
  </si>
  <si>
    <t>BEBY CRISTABEL APRILIA</t>
  </si>
  <si>
    <t>DESI PERMATASARI</t>
  </si>
  <si>
    <t>ZULFA MAULANA RASYID</t>
  </si>
  <si>
    <t>FARROS AFLAH ROBBAANI</t>
  </si>
  <si>
    <t>GILANG RAMADHAN</t>
  </si>
  <si>
    <t>DAFA AKBAR AL WALAK</t>
  </si>
  <si>
    <t>WAKID FATKHUR ROZI ALFIANSYAH</t>
  </si>
  <si>
    <t>NASHWA BILLAH ZAKARIA</t>
  </si>
  <si>
    <t>DONI ADITIYA SAPUTRA</t>
  </si>
  <si>
    <t>FARIEL GUNA FIRMANSYAH</t>
  </si>
  <si>
    <t>DELIMA SUKMA ENDRA R.</t>
  </si>
  <si>
    <t>MELLY ANDINI</t>
  </si>
  <si>
    <t>NATASYA ANGGRAINI EKA PUTRI</t>
  </si>
  <si>
    <t>YOGI SETIANTO</t>
  </si>
  <si>
    <t>DIARAVA RAMADHANI</t>
  </si>
  <si>
    <t>ISLIMA DIAN CAHYANI</t>
  </si>
  <si>
    <t>HABIBI NURALIM</t>
  </si>
  <si>
    <t>RIZKY ADYTYA PRATAMA</t>
  </si>
  <si>
    <t>VANDIKA AGUNG PRATAMA</t>
  </si>
  <si>
    <t>HABIBAH MIFTAHUL JANNAH</t>
  </si>
  <si>
    <t>ILHAM NUR ARVIANTO</t>
  </si>
  <si>
    <t>ZAKY AHMAD FAHREZA</t>
  </si>
  <si>
    <t>NABILA RAMADHANI</t>
  </si>
  <si>
    <t>NANCY CASSIA PARAMITA</t>
  </si>
  <si>
    <t>TIO FERDIAN SYAH</t>
  </si>
  <si>
    <t>ILHAM HABIB RIFQI</t>
  </si>
  <si>
    <t>ARIEL ANANDA SAPUTRA</t>
  </si>
  <si>
    <t>JUNIDA TRI ANJANI</t>
  </si>
  <si>
    <t>MAY NANDARIA SAYEKTI</t>
  </si>
  <si>
    <t>FAIZ DERRY WICAKSONO</t>
  </si>
  <si>
    <t>PUTRI AFIFFATUR ROHMAH</t>
  </si>
  <si>
    <t>RAKA SATRIA RAMADHAN</t>
  </si>
  <si>
    <t>MOHHAMAD ERLANGGA</t>
  </si>
  <si>
    <t>FRISKA ANGGRAINI</t>
  </si>
  <si>
    <t>ATHAYA NADINE AQUEENZA</t>
  </si>
  <si>
    <t>SATRIYO ARDEN ZENOBIA</t>
  </si>
  <si>
    <t>ARIFIN</t>
  </si>
  <si>
    <t>MARVEL SATRIO DARWIYANTO</t>
  </si>
  <si>
    <t>ZACHARYA DIRGANTARA ATMOKO</t>
  </si>
  <si>
    <t>HANUNG TRI PRAMUDIA</t>
  </si>
  <si>
    <t>FALAZAN ALFIANO HANTORO</t>
  </si>
  <si>
    <t>DEVINO PERMANA PUTRA</t>
  </si>
  <si>
    <t>ANISA PUTRI RAMADHANI</t>
  </si>
  <si>
    <t>ANDREA DWI SETYAWAN</t>
  </si>
  <si>
    <t>SHERYL NATASYA PUTRI</t>
  </si>
  <si>
    <t>REGEN HAFIZH PRAYOGO</t>
  </si>
  <si>
    <t>GEFTIAN SURYA EKO SEBASTIAN</t>
  </si>
  <si>
    <t>121135190007210001</t>
  </si>
  <si>
    <t>121135190007210002</t>
  </si>
  <si>
    <t>121135190007210003</t>
  </si>
  <si>
    <t>121135190007210005</t>
  </si>
  <si>
    <t>121135190007210006</t>
  </si>
  <si>
    <t>121135190007210007</t>
  </si>
  <si>
    <t>121135190007210008</t>
  </si>
  <si>
    <t>121135190007210009</t>
  </si>
  <si>
    <t>121135190007210010</t>
  </si>
  <si>
    <t>121135190007210011</t>
  </si>
  <si>
    <t>121135190007210012</t>
  </si>
  <si>
    <t>121135190007210013</t>
  </si>
  <si>
    <t>121135190007210014</t>
  </si>
  <si>
    <t>121135190007210015</t>
  </si>
  <si>
    <t>121135190007210016</t>
  </si>
  <si>
    <t>121135190007210017</t>
  </si>
  <si>
    <t>121135190007210018</t>
  </si>
  <si>
    <t>121135190007210019</t>
  </si>
  <si>
    <t>121135190007210020</t>
  </si>
  <si>
    <t>121135190007210021</t>
  </si>
  <si>
    <t>121135190007210022</t>
  </si>
  <si>
    <t>121135190007210023</t>
  </si>
  <si>
    <t>121135190007210024</t>
  </si>
  <si>
    <t>121135190007210025</t>
  </si>
  <si>
    <t>121135190007210026</t>
  </si>
  <si>
    <t>121135190007210027</t>
  </si>
  <si>
    <t>121135190007210028</t>
  </si>
  <si>
    <t>121135190007210029</t>
  </si>
  <si>
    <t>121135190007210030</t>
  </si>
  <si>
    <t>121135190007210031</t>
  </si>
  <si>
    <t>121135190007210032</t>
  </si>
  <si>
    <t>121135190007210033</t>
  </si>
  <si>
    <t>121135190007210034</t>
  </si>
  <si>
    <t>121135190007210035</t>
  </si>
  <si>
    <t>121135190007210036</t>
  </si>
  <si>
    <t>121135190007210037</t>
  </si>
  <si>
    <t>121135190007210038</t>
  </si>
  <si>
    <t>121135190007210039</t>
  </si>
  <si>
    <t>121135190007210040</t>
  </si>
  <si>
    <t>121135190007210041</t>
  </si>
  <si>
    <t>121135190007210042</t>
  </si>
  <si>
    <t>121135190007210043</t>
  </si>
  <si>
    <t>121135190007210044</t>
  </si>
  <si>
    <t>121135190007210046</t>
  </si>
  <si>
    <t>121135190007210047</t>
  </si>
  <si>
    <t>121135190007210048</t>
  </si>
  <si>
    <t>121135190007210049</t>
  </si>
  <si>
    <t>121135190007210050</t>
  </si>
  <si>
    <t>121135190007210051</t>
  </si>
  <si>
    <t>121135190007210052</t>
  </si>
  <si>
    <t>121135190007210053</t>
  </si>
  <si>
    <t>121135190007210054</t>
  </si>
  <si>
    <t>121135190007210055</t>
  </si>
  <si>
    <t>121135190007210056</t>
  </si>
  <si>
    <t>121135190007210057</t>
  </si>
  <si>
    <t>121135190007210058</t>
  </si>
  <si>
    <t>121135190007210059</t>
  </si>
  <si>
    <t>121135190007210060</t>
  </si>
  <si>
    <t>121135190007210061</t>
  </si>
  <si>
    <t>121135190007210062</t>
  </si>
  <si>
    <t>121135190007210063</t>
  </si>
  <si>
    <t>121135190007210064</t>
  </si>
  <si>
    <t>121135190007210065</t>
  </si>
  <si>
    <t>121135190007210066</t>
  </si>
  <si>
    <t>121135190007210067</t>
  </si>
  <si>
    <t>121135190007210068</t>
  </si>
  <si>
    <t>121135190007210069</t>
  </si>
  <si>
    <t>121135190007210070</t>
  </si>
  <si>
    <t>121135190007210071</t>
  </si>
  <si>
    <t>121135190007210072</t>
  </si>
  <si>
    <t>121135190007210073</t>
  </si>
  <si>
    <t>121135190007210074</t>
  </si>
  <si>
    <t>121135190007210075</t>
  </si>
  <si>
    <t>121135190007210076</t>
  </si>
  <si>
    <t>121135190007210077</t>
  </si>
  <si>
    <t>121135190007210078</t>
  </si>
  <si>
    <t>121135190007210079</t>
  </si>
  <si>
    <t>121135190007210080</t>
  </si>
  <si>
    <t>121135190007210081</t>
  </si>
  <si>
    <t>121135190007210082</t>
  </si>
  <si>
    <t>121135190007210083</t>
  </si>
  <si>
    <t>121135190007210084</t>
  </si>
  <si>
    <t>121135190007210085</t>
  </si>
  <si>
    <t>121135190007210086</t>
  </si>
  <si>
    <t>121135190007210087</t>
  </si>
  <si>
    <t>121135190007210088</t>
  </si>
  <si>
    <t>121135190007210089</t>
  </si>
  <si>
    <t>121135190007210090</t>
  </si>
  <si>
    <t>121135190007210091</t>
  </si>
  <si>
    <t>121135190007210092</t>
  </si>
  <si>
    <t>121135190007210093</t>
  </si>
  <si>
    <t>121135190007210094</t>
  </si>
  <si>
    <t>121135190007210095</t>
  </si>
  <si>
    <t>121135190007210096</t>
  </si>
  <si>
    <t>121135190007210097</t>
  </si>
  <si>
    <t>121135190007210098</t>
  </si>
  <si>
    <t>121135190007210099</t>
  </si>
  <si>
    <t>121135190007210100</t>
  </si>
  <si>
    <t>121135190007210101</t>
  </si>
  <si>
    <t>121135190007210102</t>
  </si>
  <si>
    <t>121135190007210103</t>
  </si>
  <si>
    <t>121135190007210104</t>
  </si>
  <si>
    <t>121135190007210106</t>
  </si>
  <si>
    <t>121135190007210107</t>
  </si>
  <si>
    <t>121135190007210108</t>
  </si>
  <si>
    <t>121135190007210109</t>
  </si>
  <si>
    <t>121135190007210110</t>
  </si>
  <si>
    <t>121135190007210111</t>
  </si>
  <si>
    <t>121135190007210112</t>
  </si>
  <si>
    <t>121135190007210113</t>
  </si>
  <si>
    <t>121135190007210114</t>
  </si>
  <si>
    <t>121135190007210115</t>
  </si>
  <si>
    <t>121135190007210116</t>
  </si>
  <si>
    <t>121135190007210117</t>
  </si>
  <si>
    <t>121135190007210118</t>
  </si>
  <si>
    <t>121135190007210119</t>
  </si>
  <si>
    <t>121135190007210120</t>
  </si>
  <si>
    <t>121135190007210121</t>
  </si>
  <si>
    <t>121135190007210122</t>
  </si>
  <si>
    <t>121135190007210123</t>
  </si>
  <si>
    <t>121135190007210124</t>
  </si>
  <si>
    <t>121135190007210125</t>
  </si>
  <si>
    <t>121135190007210126</t>
  </si>
  <si>
    <t>121135190007210127</t>
  </si>
  <si>
    <t>121135190007210128</t>
  </si>
  <si>
    <t>121135190007210129</t>
  </si>
  <si>
    <t>121135190007210130</t>
  </si>
  <si>
    <t>121135190007210131</t>
  </si>
  <si>
    <t>121135190007210132</t>
  </si>
  <si>
    <t>121135190007210133</t>
  </si>
  <si>
    <t>121135190007210134</t>
  </si>
  <si>
    <t>121135190007210135</t>
  </si>
  <si>
    <t>121135190007210136</t>
  </si>
  <si>
    <t>121135190007210137</t>
  </si>
  <si>
    <t>121135190007210138</t>
  </si>
  <si>
    <t>121135190007210139</t>
  </si>
  <si>
    <t>121135190007210140</t>
  </si>
  <si>
    <t>121135190007210141</t>
  </si>
  <si>
    <t>121135190007210142</t>
  </si>
  <si>
    <t>121135190007210143</t>
  </si>
  <si>
    <t>121135190007210144</t>
  </si>
  <si>
    <t>121135190007210145</t>
  </si>
  <si>
    <t>121135190007210146</t>
  </si>
  <si>
    <t>121135190007210147</t>
  </si>
  <si>
    <t>121135190007210148</t>
  </si>
  <si>
    <t>121135190007210149</t>
  </si>
  <si>
    <t>121135190007210150</t>
  </si>
  <si>
    <t>121135190007210151</t>
  </si>
  <si>
    <t>121135190007210152</t>
  </si>
  <si>
    <t>121135190007210153</t>
  </si>
  <si>
    <t>121135190007210154</t>
  </si>
  <si>
    <t>121135190007210155</t>
  </si>
  <si>
    <t>121135190007210156</t>
  </si>
  <si>
    <t>121135190007210157</t>
  </si>
  <si>
    <t>121135190007210158</t>
  </si>
  <si>
    <t>121135190007210159</t>
  </si>
  <si>
    <t>121135190007210160</t>
  </si>
  <si>
    <t>121135190007210161</t>
  </si>
  <si>
    <t>121135190007210162</t>
  </si>
  <si>
    <t>121135190007210163</t>
  </si>
  <si>
    <t>121135190007210164</t>
  </si>
  <si>
    <t>121135190007210165</t>
  </si>
  <si>
    <t>121135190007210166</t>
  </si>
  <si>
    <t>121135190007210167</t>
  </si>
  <si>
    <t>121135190007210168</t>
  </si>
  <si>
    <t>121135190007210169</t>
  </si>
  <si>
    <t>121135190007210170</t>
  </si>
  <si>
    <t>121135190007210171</t>
  </si>
  <si>
    <t>121135190007210172</t>
  </si>
  <si>
    <t>121135190007210173</t>
  </si>
  <si>
    <t>121135190007210174</t>
  </si>
  <si>
    <t>121135190007210175</t>
  </si>
  <si>
    <t>121135190007210176</t>
  </si>
  <si>
    <t>121135190007210177</t>
  </si>
  <si>
    <t>121135190007210178</t>
  </si>
  <si>
    <t>121135190007210179</t>
  </si>
  <si>
    <t>121135190007210180</t>
  </si>
  <si>
    <t>121135190007210181</t>
  </si>
  <si>
    <t>121135190007210182</t>
  </si>
  <si>
    <t>121135190007210183</t>
  </si>
  <si>
    <t>121135190007210184</t>
  </si>
  <si>
    <t>121135190007210185</t>
  </si>
  <si>
    <t>121135190007210186</t>
  </si>
  <si>
    <t>121135190007210187</t>
  </si>
  <si>
    <t>121135190007210188</t>
  </si>
  <si>
    <t>121135190007210190</t>
  </si>
  <si>
    <t>121135190007210191</t>
  </si>
  <si>
    <t>121135190007210192</t>
  </si>
  <si>
    <t>121135190007210193</t>
  </si>
  <si>
    <t>121135190007210194</t>
  </si>
  <si>
    <t>121135190007210195</t>
  </si>
  <si>
    <t>121135190007210196</t>
  </si>
  <si>
    <t>121135190007210197</t>
  </si>
  <si>
    <t>121135190007210198</t>
  </si>
  <si>
    <t>121135190007210199</t>
  </si>
  <si>
    <t>121135190007210200</t>
  </si>
  <si>
    <t>121135190007210201</t>
  </si>
  <si>
    <t>121135190007210202</t>
  </si>
  <si>
    <t>121135190007210203</t>
  </si>
  <si>
    <t>121135190007210204</t>
  </si>
  <si>
    <t>121135190007210205</t>
  </si>
  <si>
    <t>121135190007210206</t>
  </si>
  <si>
    <t>121135190007210207</t>
  </si>
  <si>
    <t>121135190007210208</t>
  </si>
  <si>
    <t>121135190007210209</t>
  </si>
  <si>
    <t>121135190007210210</t>
  </si>
  <si>
    <t>121135190007210211</t>
  </si>
  <si>
    <t>121135190007210212</t>
  </si>
  <si>
    <t>121135190007210213</t>
  </si>
  <si>
    <t>121135190007210214</t>
  </si>
  <si>
    <t>121135190007210215</t>
  </si>
  <si>
    <t>121135190007210216</t>
  </si>
  <si>
    <t>121135190007210217</t>
  </si>
  <si>
    <t>DAFTAR HADIR SISWA  MTsN 6   MADIUN</t>
  </si>
  <si>
    <t xml:space="preserve">KELAS 9G </t>
  </si>
  <si>
    <t>DAFTAR HADIR SISWA MTsN 6 MADIUN</t>
  </si>
  <si>
    <t>AFINA FASYA FAUZIYYAH</t>
  </si>
  <si>
    <t>ALFINA ARIANTI PUTRI</t>
  </si>
  <si>
    <t>ALYA HALIMATUS DZURIYAH</t>
  </si>
  <si>
    <t>ALYA SAFA AZAHRA</t>
  </si>
  <si>
    <t>ANANDA DWI ASTUTI</t>
  </si>
  <si>
    <t>BAGUS HERI SETIAWAN</t>
  </si>
  <si>
    <t>BIMA ALSHIFANO RAMADHAN</t>
  </si>
  <si>
    <t>CALLISTA AULIA</t>
  </si>
  <si>
    <t>CHRISNA ALFA KHOIRIN</t>
  </si>
  <si>
    <t xml:space="preserve">DEMAS RADHITYA </t>
  </si>
  <si>
    <t>DHEVINA ARTIKA OKTAVIANA</t>
  </si>
  <si>
    <t>FAHRI NUR FAUZI</t>
  </si>
  <si>
    <t>FAKHRI ZAHIDAN MUN'IM</t>
  </si>
  <si>
    <t>FARREL KOESBAROTO NAKE LOBO</t>
  </si>
  <si>
    <t>FIFA MAHENDRA</t>
  </si>
  <si>
    <t>FILLA PUTRI ANJALITA</t>
  </si>
  <si>
    <t>IQBAL KHOLID NUR FAUZAN</t>
  </si>
  <si>
    <t>ISNA NUR AINI</t>
  </si>
  <si>
    <t>MAHESA ERDY PRANANDA</t>
  </si>
  <si>
    <t>MUHAMMAD NUR RIFA'I</t>
  </si>
  <si>
    <t>NOVA VINA MELINDA</t>
  </si>
  <si>
    <t>NUHA TSABITA HANUN</t>
  </si>
  <si>
    <t>NURLITA SEVI ADIANTI</t>
  </si>
  <si>
    <t>REHAN ADHI PRATAMA</t>
  </si>
  <si>
    <t>REVALINA AULIA PUTRI</t>
  </si>
  <si>
    <t>RIDHO PRATAMA MANDALA PUTRA</t>
  </si>
  <si>
    <t>STEVIA SHIFATUS SHOFWA</t>
  </si>
  <si>
    <t>NAUFAL KURNIANTO</t>
  </si>
  <si>
    <t>PUJANGGA FAKHRUL R</t>
  </si>
  <si>
    <t>RAKA GALANG DWI ANDIKA</t>
  </si>
  <si>
    <t>ABIB GEVARO HANANSYAH</t>
  </si>
  <si>
    <t>ADINDA MERTA DEVIANA</t>
  </si>
  <si>
    <t>ALVINA WIJAYANTI</t>
  </si>
  <si>
    <t>BRAMARA NARARYA ARTINO</t>
  </si>
  <si>
    <t>EDMEND RISYAN SATTRIA</t>
  </si>
  <si>
    <t>FAHRI RAFIQI</t>
  </si>
  <si>
    <t>FAJAR MUTAROM</t>
  </si>
  <si>
    <t>GAVIN ARDYNATHA KURNIAWAN</t>
  </si>
  <si>
    <t>HANA KIREY PUTRI</t>
  </si>
  <si>
    <t>HANIFAH SAPUTRI</t>
  </si>
  <si>
    <t>ILHAM DWI PAMUNGKAS</t>
  </si>
  <si>
    <t>LIA AYU PUSPITASARI</t>
  </si>
  <si>
    <t>LILA MUTIARA SARI</t>
  </si>
  <si>
    <t>MAHARDIKA KUSUMA WARDANA</t>
  </si>
  <si>
    <t>MUHAMMAD HUSAIN ASHARI</t>
  </si>
  <si>
    <t>NADIA SITA RISMI</t>
  </si>
  <si>
    <t>NASHWA ERDYNA PUTRI</t>
  </si>
  <si>
    <t>NAZRIL BAGUS PRATAMA</t>
  </si>
  <si>
    <t>POPPY GITA FREYA</t>
  </si>
  <si>
    <t>RANGGA ADI WINATA</t>
  </si>
  <si>
    <t>REFANO MAULANA OCTA</t>
  </si>
  <si>
    <t>RIZKI OCTA ALGHIFHARY</t>
  </si>
  <si>
    <t>SULIS APRIL LIA</t>
  </si>
  <si>
    <t>SYFA SENJA AYU</t>
  </si>
  <si>
    <t>UMUL RIHADATUL AISYAH</t>
  </si>
  <si>
    <t>VIRNA SEPTYAGI RAHMADHANI</t>
  </si>
  <si>
    <t>YUNIAR RISMA AULIA</t>
  </si>
  <si>
    <t>AGRA AUFAR WIDIANSYAH</t>
  </si>
  <si>
    <t>ALKHAIRA ZIVANNA LATHIFZA</t>
  </si>
  <si>
    <t>ALVINO ANDIKA PRATAMA</t>
  </si>
  <si>
    <t>ANDIKA BANGKIT PRATAMA</t>
  </si>
  <si>
    <t>ANDRIAN DWI PRASETIYO</t>
  </si>
  <si>
    <t>AQILA ZHILAL HIDAYAT</t>
  </si>
  <si>
    <t xml:space="preserve">AYUB TEMUNGGUL FAUZAN </t>
  </si>
  <si>
    <t>CLARISSA GWEN STEVANY</t>
  </si>
  <si>
    <t>DELA YUNIANTI</t>
  </si>
  <si>
    <t>DHANNY M. YUSUF IBRAHIM</t>
  </si>
  <si>
    <t>DIAH AYU SYAFIRA</t>
  </si>
  <si>
    <t>DIKO RIFKA SETIAWAN</t>
  </si>
  <si>
    <t>GILANG ANGGA PRATAMA</t>
  </si>
  <si>
    <t>INDAH BELA PUSPITASARI</t>
  </si>
  <si>
    <t>INDAH LESTARI</t>
  </si>
  <si>
    <t>KHUMAIRAH NUR FAUZIYAH</t>
  </si>
  <si>
    <t>KRISNA RIDHO NUGROHO</t>
  </si>
  <si>
    <t>LISTINA AYU JAYAKUSUMA</t>
  </si>
  <si>
    <t>MUHAMMAD RIZKY KURNIAWAN</t>
  </si>
  <si>
    <t>NABILA ZAHRA</t>
  </si>
  <si>
    <t>NADILA EKA AGUSTIN</t>
  </si>
  <si>
    <t>NATASYA ZIFARA QUINZA AZAHRA</t>
  </si>
  <si>
    <t>NIA ROMADHANI</t>
  </si>
  <si>
    <t>NOVITA SARI</t>
  </si>
  <si>
    <t>PUJI DWI HASTUTIK</t>
  </si>
  <si>
    <t>RANGGA OBRIANDARU RHAMADAN</t>
  </si>
  <si>
    <t>RAYHAN DWI ARDIANSYAH</t>
  </si>
  <si>
    <t>RENDI AGUS FEBRIAN</t>
  </si>
  <si>
    <t>ROZAINA ANGGUN INAYA</t>
  </si>
  <si>
    <t>AMANDA ANINDYA PUTRI</t>
  </si>
  <si>
    <t>ANANDITA PUTRI RIANTI</t>
  </si>
  <si>
    <t>ANGGITA ARIS WULANDARY</t>
  </si>
  <si>
    <t>DINASTI USWANEVA</t>
  </si>
  <si>
    <t>EGA NANDA PRATAMA</t>
  </si>
  <si>
    <t>FAREN AURIAN PARAEMAN</t>
  </si>
  <si>
    <t>IRVINA SAUSYAN FIRZANAH</t>
  </si>
  <si>
    <t>KIRANA NUR RISKI</t>
  </si>
  <si>
    <t>KRISNA DWI SAPUTRA</t>
  </si>
  <si>
    <t>LUFI ZAIANI</t>
  </si>
  <si>
    <t>MARVINO DWI PRADHANA</t>
  </si>
  <si>
    <t>MAULANA SYIFA ACHSANI</t>
  </si>
  <si>
    <t>MEGA DWI SANTOSO</t>
  </si>
  <si>
    <t>MUHAMMAD SHOHEH</t>
  </si>
  <si>
    <t>NADIA RAHMAWATI</t>
  </si>
  <si>
    <t>NOVITA AULIA DHINI</t>
  </si>
  <si>
    <t>PANJI ARDI MANSYURI</t>
  </si>
  <si>
    <t>RAFA DEVANTONI</t>
  </si>
  <si>
    <t>REZA ANGGORO</t>
  </si>
  <si>
    <t>RIDHO ARYA BINTANG</t>
  </si>
  <si>
    <t>RIDHO LUKMAN</t>
  </si>
  <si>
    <t>RISANDO NUR CAHYO</t>
  </si>
  <si>
    <t>VALENTINO ANDIKA CANDRA</t>
  </si>
  <si>
    <t>VIERY TRI PRASTYO</t>
  </si>
  <si>
    <t>VIOLETA LINTANG MAHARANI</t>
  </si>
  <si>
    <t>WAHYU BOLANG SETIAWAN</t>
  </si>
  <si>
    <t>WIDYA AYU SAFITRI</t>
  </si>
  <si>
    <t>ARDHY DWI PERMANA</t>
  </si>
  <si>
    <t>BAYU ARDIANTO</t>
  </si>
  <si>
    <t>BAYU PRATAMA</t>
  </si>
  <si>
    <t>BRIYAN RIVANDI</t>
  </si>
  <si>
    <t>CHOIRUN NUR FITRIA NINGSIH</t>
  </si>
  <si>
    <t>DAFIN AULIA AMIRUDIN</t>
  </si>
  <si>
    <t>DYNOVA DETRIANANTA</t>
  </si>
  <si>
    <t>FAIS NURHUDHA</t>
  </si>
  <si>
    <t>FERDY MAULANA</t>
  </si>
  <si>
    <t>FRADIKA ARDIANSYAH PRATAMA</t>
  </si>
  <si>
    <t>IRZAM NOVARYAN WIBOWO</t>
  </si>
  <si>
    <t>LAILA HANIFATUL ZAHRO</t>
  </si>
  <si>
    <t>MOCHAMAD IQBAL YANUAR</t>
  </si>
  <si>
    <t>NOVA DWI HANDOKO</t>
  </si>
  <si>
    <t>NUR AZIZAH RANAWATI</t>
  </si>
  <si>
    <t>PIANA TIARA PUTRI</t>
  </si>
  <si>
    <t>PUTRI DWI LESTARI</t>
  </si>
  <si>
    <t>REVA ANDIKA HIDAYAT</t>
  </si>
  <si>
    <t>REVAN EGY PRATAMA</t>
  </si>
  <si>
    <t>RISDA AMELIA SAMSUL</t>
  </si>
  <si>
    <t>RISKI REFANDI</t>
  </si>
  <si>
    <t>RISMA TRI ANJANI</t>
  </si>
  <si>
    <t>SAFA KHOIRUN NISA</t>
  </si>
  <si>
    <t>TIARA KUMALASARI PUJIANTO</t>
  </si>
  <si>
    <t>TITIZIA DETTA PICYTAPUTRI</t>
  </si>
  <si>
    <t>WAHYU KORIYAH</t>
  </si>
  <si>
    <t>YOGA BARWIJAYA</t>
  </si>
  <si>
    <t>ZAHRINA FAJRI NUZULA</t>
  </si>
  <si>
    <t>ALANZA VIQIA YUSUF</t>
  </si>
  <si>
    <t>ALFIAN DEANDRA IQBAL QOLBI</t>
  </si>
  <si>
    <t>ALIEF PUTRA PRATAMA</t>
  </si>
  <si>
    <t>ANGGUN FITRI CHRISTIANA</t>
  </si>
  <si>
    <t>ANIS AGUSTINA</t>
  </si>
  <si>
    <t>ARYA PUTRA PRATAMA</t>
  </si>
  <si>
    <t>ATIKA AYU SARASWATI</t>
  </si>
  <si>
    <t>BELLA YULIFIA FERNANDA</t>
  </si>
  <si>
    <t>BUNGA ANINDYA SALMA</t>
  </si>
  <si>
    <t>CALLYSTA LUKMAN AFDILLAH</t>
  </si>
  <si>
    <t>FADLAN AKHSANUL QIROM</t>
  </si>
  <si>
    <t>HANIFA FIOKA PUTRI</t>
  </si>
  <si>
    <t>IQBAL ABDUL ROZAK</t>
  </si>
  <si>
    <t>KHAIRUN NISA MAULIDA</t>
  </si>
  <si>
    <t>KHUMAIRAH ADILLA LARASATI</t>
  </si>
  <si>
    <t>LUTHFIYANA AZZAHRA</t>
  </si>
  <si>
    <t>MOZA AMELIA SAFITRI</t>
  </si>
  <si>
    <t>NIZHAR SATRIA PRATAMA</t>
  </si>
  <si>
    <t>NUR AMIN</t>
  </si>
  <si>
    <t>PUTRI FEBRINA BERLIANTI</t>
  </si>
  <si>
    <t>RAUFIE TSABIT ABDILLAH</t>
  </si>
  <si>
    <t>RIDHO KURNIAWAN</t>
  </si>
  <si>
    <t>TITTO RAFAEL</t>
  </si>
  <si>
    <t>YASMIN ALYA SARI</t>
  </si>
  <si>
    <t>YUDA PRATAMA</t>
  </si>
  <si>
    <t>ZAHRATUS SYIFA' FITRIA WIJAYA</t>
  </si>
  <si>
    <t>ZHULVIANA ASYAM SYAH</t>
  </si>
  <si>
    <t>AJI SANTOSO</t>
  </si>
  <si>
    <t>ALBIAN DEAS ALAMSYAH</t>
  </si>
  <si>
    <t>AMIF MEILIN FATIMAH</t>
  </si>
  <si>
    <t>ARVA SATRIA QORISU PUTRA</t>
  </si>
  <si>
    <t>ASTRIA SAFIRA VALENCIA</t>
  </si>
  <si>
    <t>AYULIA RIJANNAH</t>
  </si>
  <si>
    <t>AZZAH SAYYIDATUN MUSYAFFA</t>
  </si>
  <si>
    <t>BATRISYAH BALQIS</t>
  </si>
  <si>
    <t>CARISTA NUR PRAVITADEWI</t>
  </si>
  <si>
    <t>CINTA RAMADHANI</t>
  </si>
  <si>
    <t>CYNTHIA MAWAR PRAMADHANI</t>
  </si>
  <si>
    <t>FARANIA HAFIZAH</t>
  </si>
  <si>
    <t>GHEZA ADZAN RASMA DINATA</t>
  </si>
  <si>
    <t>IKHAM HANIF ASROFULANAM</t>
  </si>
  <si>
    <t>IVARA AYUDHIA</t>
  </si>
  <si>
    <t>KEYZAR FABIAN ZAIN</t>
  </si>
  <si>
    <t>MARVEL PUTRA EKA ARIYANTA</t>
  </si>
  <si>
    <t>MUTIARA NASYWA AGHNIYA ZARIN</t>
  </si>
  <si>
    <t>NAZRIEL LHUTFI RADITYA</t>
  </si>
  <si>
    <t>NISA AWALIA NUR KHOIRIN</t>
  </si>
  <si>
    <t>PANJI VEGA PRATAMA</t>
  </si>
  <si>
    <t>RAFA IBNU SHOLIHIN</t>
  </si>
  <si>
    <t>RAMA ADITYA PRATAMA</t>
  </si>
  <si>
    <t>SETIYAN RAMA ARDIANSYAH</t>
  </si>
  <si>
    <t>ZHAZCIA BERLIAN PUTRI PRIMA</t>
  </si>
  <si>
    <t>ABRISAM HAIDAR YUSRA</t>
  </si>
  <si>
    <t>AJENG TRIANI DEA PRAMESTI</t>
  </si>
  <si>
    <t>AMARA PUTRI BELVA FITRIYAH</t>
  </si>
  <si>
    <t>AYU RIZKI WULANDARI</t>
  </si>
  <si>
    <t>CINDDY AULIA ELLGA SAFIRA</t>
  </si>
  <si>
    <t>EMILDA MAULINA RAHMAH</t>
  </si>
  <si>
    <t>FAHRI RAMADHAN</t>
  </si>
  <si>
    <t>FAHRUDIN ITSNAINI FAJRI</t>
  </si>
  <si>
    <t>FARREL RAYHAN SYAHPUTRA</t>
  </si>
  <si>
    <t>FRANSISKA DWI ARIANI</t>
  </si>
  <si>
    <t>IBRAHIM QOHAR</t>
  </si>
  <si>
    <t>JIHAN MAKAILA FAKHIRAH</t>
  </si>
  <si>
    <t xml:space="preserve">JULIA AYU SINTYA SARI </t>
  </si>
  <si>
    <t>KEYSHA ALTHAFUNNISA</t>
  </si>
  <si>
    <t>KHOYROTUN NISA'A</t>
  </si>
  <si>
    <t>KIRANA VALENTINA LARASATI</t>
  </si>
  <si>
    <t>MAYANG CHATERINE WAHYU FITRI ANINGTYAS</t>
  </si>
  <si>
    <t>MUHAMMAD DAFFA MUZHAFFAR</t>
  </si>
  <si>
    <t>MUHAMMAD RIZKY FATKHURRAHMAN</t>
  </si>
  <si>
    <t>NADILA PUTRI PERMADANI</t>
  </si>
  <si>
    <t>NASWA NURLAILLI</t>
  </si>
  <si>
    <t>NUR ALFIANA MUKAROMAH IKEWATI</t>
  </si>
  <si>
    <t>OVILIA MEIRANDA PUTRI</t>
  </si>
  <si>
    <t>PRAWIRA ABIMANYU SADRI</t>
  </si>
  <si>
    <t>RENDY IRWANSYAH</t>
  </si>
  <si>
    <t>SHABRINA PUTRI ISDAMANTYA</t>
  </si>
  <si>
    <t>SHANG RILLA ZAHRA PARAMITHA</t>
  </si>
  <si>
    <t>SYIFA HILAL FAUZIYAH</t>
  </si>
  <si>
    <t>ZALFA NAILA ATIFA</t>
  </si>
  <si>
    <t>ZEIN DAYYITA ORLIEN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</si>
  <si>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</si>
  <si>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</si>
  <si>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</si>
  <si>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</si>
  <si>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</si>
  <si>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</si>
  <si>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</si>
  <si>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</si>
  <si>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</si>
  <si>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</si>
  <si>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</si>
  <si>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</si>
  <si>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</si>
  <si>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</si>
  <si>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</si>
  <si>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</si>
  <si>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121135190007220001</t>
  </si>
  <si>
    <t>121135190007220002</t>
  </si>
  <si>
    <t>121135190007220003</t>
  </si>
  <si>
    <t>121135190007220004</t>
  </si>
  <si>
    <t>121135190007220005</t>
  </si>
  <si>
    <t>121135190007220006</t>
  </si>
  <si>
    <t>121135190007220007</t>
  </si>
  <si>
    <t>121135190007220008</t>
  </si>
  <si>
    <t>121135190007220009</t>
  </si>
  <si>
    <t>121135190007220010</t>
  </si>
  <si>
    <t>121135190007220011</t>
  </si>
  <si>
    <t>121135190007220012</t>
  </si>
  <si>
    <t>121135190007220013</t>
  </si>
  <si>
    <t>121135190007220014</t>
  </si>
  <si>
    <t>121135190007220015</t>
  </si>
  <si>
    <t>121135190007220016</t>
  </si>
  <si>
    <t>121135190007220017</t>
  </si>
  <si>
    <t>121135190007220018</t>
  </si>
  <si>
    <t>121135190007220019</t>
  </si>
  <si>
    <t>121135190007220020</t>
  </si>
  <si>
    <t>121135190007220021</t>
  </si>
  <si>
    <t>121135190007220022</t>
  </si>
  <si>
    <t>121135190007220023</t>
  </si>
  <si>
    <t>121135190007220024</t>
  </si>
  <si>
    <t>121135190007220025</t>
  </si>
  <si>
    <t>121135190007220026</t>
  </si>
  <si>
    <t>121135190007220027</t>
  </si>
  <si>
    <t>121135190007220028</t>
  </si>
  <si>
    <t>121135190007220029</t>
  </si>
  <si>
    <t>121135190007220030</t>
  </si>
  <si>
    <t>121135190007220031</t>
  </si>
  <si>
    <t>121135190007220032</t>
  </si>
  <si>
    <t>121135190007220033</t>
  </si>
  <si>
    <t>121135190007220035</t>
  </si>
  <si>
    <t>121135190007220036</t>
  </si>
  <si>
    <t>121135190007220037</t>
  </si>
  <si>
    <t>121135190007220038</t>
  </si>
  <si>
    <t>121135190007220039</t>
  </si>
  <si>
    <t>121135190007220040</t>
  </si>
  <si>
    <t>121135190007220041</t>
  </si>
  <si>
    <t>121135190007220042</t>
  </si>
  <si>
    <t>121135190007220043</t>
  </si>
  <si>
    <t>121135190007220044</t>
  </si>
  <si>
    <t>121135190007220045</t>
  </si>
  <si>
    <t>121135190007220047</t>
  </si>
  <si>
    <t>121135190007220048</t>
  </si>
  <si>
    <t>121135190007220049</t>
  </si>
  <si>
    <t>121135190007220050</t>
  </si>
  <si>
    <t>121135190007220051</t>
  </si>
  <si>
    <t>121135190007220052</t>
  </si>
  <si>
    <t>121135190007220053</t>
  </si>
  <si>
    <t>121135190007220055</t>
  </si>
  <si>
    <t>121135190007220056</t>
  </si>
  <si>
    <t>121135190007220057</t>
  </si>
  <si>
    <t>121135190007220058</t>
  </si>
  <si>
    <t>121135190007220059</t>
  </si>
  <si>
    <t>121135190007220060</t>
  </si>
  <si>
    <t>121135190007220061</t>
  </si>
  <si>
    <t>121135190007220062</t>
  </si>
  <si>
    <t>121135190007220063</t>
  </si>
  <si>
    <t>121135190007220064</t>
  </si>
  <si>
    <t>121135190007220065</t>
  </si>
  <si>
    <t>121135190007220066</t>
  </si>
  <si>
    <t>121135190007220067</t>
  </si>
  <si>
    <t>121135190007220068</t>
  </si>
  <si>
    <t>121135190007220069</t>
  </si>
  <si>
    <t>121135190007220070</t>
  </si>
  <si>
    <t>121135190007220071</t>
  </si>
  <si>
    <t>121135190007220072</t>
  </si>
  <si>
    <t>121135190007220073</t>
  </si>
  <si>
    <t>121135190007220074</t>
  </si>
  <si>
    <t>121135190007220075</t>
  </si>
  <si>
    <t>121135190007220076</t>
  </si>
  <si>
    <t>121135190007220077</t>
  </si>
  <si>
    <t>121135190007220078</t>
  </si>
  <si>
    <t>121135190007220079</t>
  </si>
  <si>
    <t>121135190007220080</t>
  </si>
  <si>
    <t>121135190007220081</t>
  </si>
  <si>
    <t>121135190007220083</t>
  </si>
  <si>
    <t>121135190007220084</t>
  </si>
  <si>
    <t>121135190007220085</t>
  </si>
  <si>
    <t>121135190007220086</t>
  </si>
  <si>
    <t>121135190007220087</t>
  </si>
  <si>
    <t>121135190007220088</t>
  </si>
  <si>
    <t>121135190007220089</t>
  </si>
  <si>
    <t>121135190007220091</t>
  </si>
  <si>
    <t>121135190007220092</t>
  </si>
  <si>
    <t>121135190007220093</t>
  </si>
  <si>
    <t>121135190007220094</t>
  </si>
  <si>
    <t>121135190007220095</t>
  </si>
  <si>
    <t>121135190007220096</t>
  </si>
  <si>
    <t>121135190007220097</t>
  </si>
  <si>
    <t>121135190007220098</t>
  </si>
  <si>
    <t>121135190007220099</t>
  </si>
  <si>
    <t>121135190007220101</t>
  </si>
  <si>
    <t>121135190007220102</t>
  </si>
  <si>
    <t>121135190007220103</t>
  </si>
  <si>
    <t>121135190007220104</t>
  </si>
  <si>
    <t>121135190007220105</t>
  </si>
  <si>
    <t>121135190007220106</t>
  </si>
  <si>
    <t>121135190007220107</t>
  </si>
  <si>
    <t>121135190007220108</t>
  </si>
  <si>
    <t>121135190007220109</t>
  </si>
  <si>
    <t>121135190007220110</t>
  </si>
  <si>
    <t>121135190007220111</t>
  </si>
  <si>
    <t>121135190007220112</t>
  </si>
  <si>
    <t>121135190007220113</t>
  </si>
  <si>
    <t>121135190007220114</t>
  </si>
  <si>
    <t>121135190007220115</t>
  </si>
  <si>
    <t>121135190007220116</t>
  </si>
  <si>
    <t>121135190007220117</t>
  </si>
  <si>
    <t>121135190007220090</t>
  </si>
  <si>
    <t>121135190007220118</t>
  </si>
  <si>
    <t>121135190007220119</t>
  </si>
  <si>
    <t>121135190007220120</t>
  </si>
  <si>
    <t>121135190007220121</t>
  </si>
  <si>
    <t>121135190007220122</t>
  </si>
  <si>
    <t>121135190007220123</t>
  </si>
  <si>
    <t>121135190007220124</t>
  </si>
  <si>
    <t>121135190007220125</t>
  </si>
  <si>
    <t>121135190007220126</t>
  </si>
  <si>
    <t>121135190007220127</t>
  </si>
  <si>
    <t>121135190007220128</t>
  </si>
  <si>
    <t>121135190007220129</t>
  </si>
  <si>
    <t>121135190007220130</t>
  </si>
  <si>
    <t>121135190007220131</t>
  </si>
  <si>
    <t>121135190007220132</t>
  </si>
  <si>
    <t>121135190007220133</t>
  </si>
  <si>
    <t>121135190007220134</t>
  </si>
  <si>
    <t>121135190007220135</t>
  </si>
  <si>
    <t>121135190007220136</t>
  </si>
  <si>
    <t>121135190007220137</t>
  </si>
  <si>
    <t>121135190007220139</t>
  </si>
  <si>
    <t>121135190007220140</t>
  </si>
  <si>
    <t>121135190007220141</t>
  </si>
  <si>
    <t>121135190007220142</t>
  </si>
  <si>
    <t>121135190007220143</t>
  </si>
  <si>
    <t>121135190007220144</t>
  </si>
  <si>
    <t>121135190007220145</t>
  </si>
  <si>
    <t>121135190007220146</t>
  </si>
  <si>
    <t>121135190007220147</t>
  </si>
  <si>
    <t>121135190007220148</t>
  </si>
  <si>
    <t>121135190007220149</t>
  </si>
  <si>
    <t>121135190007220150</t>
  </si>
  <si>
    <t>121135190007220151</t>
  </si>
  <si>
    <t>121135190007220152</t>
  </si>
  <si>
    <t>121135190007220153</t>
  </si>
  <si>
    <t>121135190007220154</t>
  </si>
  <si>
    <t>121135190007220155</t>
  </si>
  <si>
    <t>121135190007220156</t>
  </si>
  <si>
    <t>121135190007220157</t>
  </si>
  <si>
    <t>121135190007220158</t>
  </si>
  <si>
    <t>121135190007220159</t>
  </si>
  <si>
    <t>121135190007220160</t>
  </si>
  <si>
    <t>121135190007220161</t>
  </si>
  <si>
    <t>121135190007220162</t>
  </si>
  <si>
    <t>121135190007220163</t>
  </si>
  <si>
    <t>121135190007220164</t>
  </si>
  <si>
    <t>121135190007220165</t>
  </si>
  <si>
    <t>121135190007220166</t>
  </si>
  <si>
    <t>121135190007220167</t>
  </si>
  <si>
    <t>121135190007220168</t>
  </si>
  <si>
    <t>121135190007220170</t>
  </si>
  <si>
    <t>121135190007220171</t>
  </si>
  <si>
    <t>121135190007220172</t>
  </si>
  <si>
    <t>121135190007220173</t>
  </si>
  <si>
    <t>121135190007220174</t>
  </si>
  <si>
    <t>121135190007220176</t>
  </si>
  <si>
    <t>121135190007220177</t>
  </si>
  <si>
    <t>121135190007220178</t>
  </si>
  <si>
    <t>121135190007220180</t>
  </si>
  <si>
    <t>121135190007220181</t>
  </si>
  <si>
    <t>121135190007220182</t>
  </si>
  <si>
    <t>121135190007220183</t>
  </si>
  <si>
    <t>121135190007220184</t>
  </si>
  <si>
    <t>121135190007220185</t>
  </si>
  <si>
    <t>121135190007220186</t>
  </si>
  <si>
    <t>121135190007220187</t>
  </si>
  <si>
    <t>121135190007220188</t>
  </si>
  <si>
    <t>121135190007220189</t>
  </si>
  <si>
    <t>121135190007220190</t>
  </si>
  <si>
    <t>121135190007220191</t>
  </si>
  <si>
    <t>121135190007220192</t>
  </si>
  <si>
    <t>121135190007220193</t>
  </si>
  <si>
    <t>121135190007220194</t>
  </si>
  <si>
    <t>121135190007220195</t>
  </si>
  <si>
    <t>121135190007220196</t>
  </si>
  <si>
    <t>121135190007220197</t>
  </si>
  <si>
    <t>121135190007220198</t>
  </si>
  <si>
    <t>121135190007220199</t>
  </si>
  <si>
    <t>121135190007220200</t>
  </si>
  <si>
    <t>121135190007220201</t>
  </si>
  <si>
    <t>121135190007220202</t>
  </si>
  <si>
    <t>121135190007220203</t>
  </si>
  <si>
    <t>121135190007220204</t>
  </si>
  <si>
    <t>121135190007220205</t>
  </si>
  <si>
    <t>121135190007220206</t>
  </si>
  <si>
    <t>121135190007220207</t>
  </si>
  <si>
    <t>121135190007220208</t>
  </si>
  <si>
    <t>121135190007220209</t>
  </si>
  <si>
    <t>121135190007220210</t>
  </si>
  <si>
    <t>121135190007220211</t>
  </si>
  <si>
    <t>121135190007220212</t>
  </si>
  <si>
    <t>121135190007220213</t>
  </si>
  <si>
    <t>121135190007220214</t>
  </si>
  <si>
    <t>121135190007220215</t>
  </si>
  <si>
    <t>121135190007220216</t>
  </si>
  <si>
    <t>121135190007220217</t>
  </si>
  <si>
    <t>121135190007220218</t>
  </si>
  <si>
    <t>121135190007220219</t>
  </si>
  <si>
    <t>121135190007220220</t>
  </si>
  <si>
    <t>121135190007220221</t>
  </si>
  <si>
    <t>121135190007220222</t>
  </si>
  <si>
    <t>121135190007220223</t>
  </si>
  <si>
    <t>121135190007220224</t>
  </si>
  <si>
    <t>121135190007220225</t>
  </si>
  <si>
    <t>121135190007220226</t>
  </si>
  <si>
    <t>121135190007220227</t>
  </si>
  <si>
    <t>121135190007220228</t>
  </si>
  <si>
    <t>121135190007220229</t>
  </si>
  <si>
    <t>121135190007220230</t>
  </si>
  <si>
    <t>121135190007220231</t>
  </si>
  <si>
    <t>121135190007220232</t>
  </si>
  <si>
    <t>121135190007220233</t>
  </si>
  <si>
    <t>SHAFIRA RESKYARA S</t>
  </si>
  <si>
    <t>'121135190007210218</t>
  </si>
  <si>
    <t>121135190007210219</t>
  </si>
  <si>
    <t>NILNA SABIILA N. R</t>
  </si>
  <si>
    <t>SATRIO SWARA YUDHO S</t>
  </si>
  <si>
    <t>JUMLAH TOTAL KELAS 7</t>
  </si>
  <si>
    <t>Jumlah Total Kelas 9</t>
  </si>
  <si>
    <t>121135190007220237</t>
  </si>
  <si>
    <t>PUTRI NUR IMAMAH</t>
  </si>
  <si>
    <t>121135190007220082</t>
  </si>
  <si>
    <t>TAHUN PELAJARAN 2023 - 2024</t>
  </si>
  <si>
    <t xml:space="preserve">  Madiun,        -     - 2023</t>
  </si>
  <si>
    <t>VALENTINA IQFI NIHAYATUR HUSNA</t>
  </si>
  <si>
    <t>PUTRI APRILIA</t>
  </si>
  <si>
    <t>AKBAR BUKHORI</t>
  </si>
  <si>
    <t>ARYO REZKY</t>
  </si>
  <si>
    <t>TUBAGUS SANANTA PUTRA</t>
  </si>
  <si>
    <t>OKTAVIA ISTIANA NUR ARIFIN</t>
  </si>
  <si>
    <t>DAYVANO AHESTA ZAFARANI RAMADHAN</t>
  </si>
  <si>
    <t>ADILA SABRINAWATI</t>
  </si>
  <si>
    <t>DANENDRA FELYX PUTRA MAHENDRA</t>
  </si>
  <si>
    <t>MUHAMMAD IRZA DIWANGGA BAHRI</t>
  </si>
  <si>
    <t>PUJA BEKTI SAPUTRA</t>
  </si>
  <si>
    <t>AFIFAH SHAFA SAPUTRI</t>
  </si>
  <si>
    <t>NUR RAHMA DWI INTANI</t>
  </si>
  <si>
    <t>ITA YULIA SAFITRI</t>
  </si>
  <si>
    <t>ARVINO.PUTRA.PRATAMA</t>
  </si>
  <si>
    <t>RIKMAN ARDIAN</t>
  </si>
  <si>
    <t>ZULFIKAR RAIHAN MAHARDIKA</t>
  </si>
  <si>
    <t>FATHAN HIDAYAT</t>
  </si>
  <si>
    <t>ZAKY AL HARITS ROZAQ</t>
  </si>
  <si>
    <t>CBRIYAN RAMADAN SAFITRAH</t>
  </si>
  <si>
    <t>ADITYA PUTRA WIJAYANTO</t>
  </si>
  <si>
    <t>FELIZE NESTYA PUTRI</t>
  </si>
  <si>
    <t>NADIRA SHAZFA AZ-</t>
  </si>
  <si>
    <t>FATIH ENGGAR JAGUARI</t>
  </si>
  <si>
    <t>DIMAS RISKI FEBRIANSYAH</t>
  </si>
  <si>
    <t>FATQU ROHMAN NUR SATRIA</t>
  </si>
  <si>
    <t>GHICELLA RACHEL VITRIARA</t>
  </si>
  <si>
    <t>INHAFA FRIZKA ZAHFIRA PUTRY</t>
  </si>
  <si>
    <t>ANDIKANURWAHID</t>
  </si>
  <si>
    <t>ILYAS NAZHRIL FATHONI</t>
  </si>
  <si>
    <t>RIZKY DWI NURRAHMAD</t>
  </si>
  <si>
    <t>YOGA ANDHIKA SAPUTRA</t>
  </si>
  <si>
    <t>ZAVRINZA REVA ANASTASYA</t>
  </si>
  <si>
    <t>RIDHO AKBARI RISQI</t>
  </si>
  <si>
    <t>ASYIFA MAHARANI</t>
  </si>
  <si>
    <t>TAUFIQAH FARIDAH QOIRIYAH</t>
  </si>
  <si>
    <t>DIAN NOVITA SARI</t>
  </si>
  <si>
    <t>AULIYA NURROTUL AFIFAH</t>
  </si>
  <si>
    <t xml:space="preserve"> </t>
  </si>
  <si>
    <t>ARMYDA DAFINZA ISHAM</t>
  </si>
  <si>
    <t>AFIF LUKMANUL HAKIM</t>
  </si>
  <si>
    <t>APRILIA NURUL ZAHRA</t>
  </si>
  <si>
    <t>AQILA DEDHA NEOVA</t>
  </si>
  <si>
    <t>ARSYAD SHAFI'I</t>
  </si>
  <si>
    <t>BACHTIAR RAVIEKO PRATAMA</t>
  </si>
  <si>
    <t>CAHAYA MUTIARA</t>
  </si>
  <si>
    <t>DAFA RAMADANI</t>
  </si>
  <si>
    <t>DINDA ZEVI LETISHA</t>
  </si>
  <si>
    <t>DWI SARI SEPTININGSIH</t>
  </si>
  <si>
    <t>FARHAN ABI SAKTIAWAN</t>
  </si>
  <si>
    <t>FERA AMELIA</t>
  </si>
  <si>
    <t>HAFIDZ GHOZI NUR GUFRON</t>
  </si>
  <si>
    <t>INDRA ZHURDAN</t>
  </si>
  <si>
    <t>JULUNG LINDU ANARCHI</t>
  </si>
  <si>
    <t>M RIFKI H</t>
  </si>
  <si>
    <t>SABRINA ISTIGFARONI</t>
  </si>
  <si>
    <t>SATYA NUR ROHMAN</t>
  </si>
  <si>
    <t>SYAHARANI LEONNA CAHYA ANGGRAINI</t>
  </si>
  <si>
    <t>YOSHIO GUNTUR PUTARA SETIARI</t>
  </si>
  <si>
    <t>ZALFANIA AHWARUMY TRIANE PUTRI</t>
  </si>
  <si>
    <t>ZULIAN ALIF RIFKI ROMADON</t>
  </si>
  <si>
    <t>ADELYA YONITA PUTRI</t>
  </si>
  <si>
    <t>ALFIANA ROSYIDAH</t>
  </si>
  <si>
    <t>ALFINO SYAHPUTRA</t>
  </si>
  <si>
    <t>ANDIKA BAGUS PURWANTO</t>
  </si>
  <si>
    <t>ASYIFA PUTRI KESUMA</t>
  </si>
  <si>
    <t>DJONAS MANDALA PUTRA PRASNA</t>
  </si>
  <si>
    <t>EFRILIA ANGGRAINI</t>
  </si>
  <si>
    <t>FAHRIZAL SAPUTRA</t>
  </si>
  <si>
    <t>KEYSHA MUHAMMAD RIZALUDIN</t>
  </si>
  <si>
    <t>KRISNADANNI TEGUH JUNIARTHA</t>
  </si>
  <si>
    <t>LEO PRAYOGO</t>
  </si>
  <si>
    <t>MAULANAAPRIANTO</t>
  </si>
  <si>
    <t>MUHAMMAD ARASYA REYVANKA I.</t>
  </si>
  <si>
    <t>NADYA ZAHIRA DWI CAHAYA PUTRI</t>
  </si>
  <si>
    <t>NAMIRA AYUDYA VIANTIKA</t>
  </si>
  <si>
    <t>NAYLA CAHYANI</t>
  </si>
  <si>
    <t>SALSABILA PUTRI KUSUMA</t>
  </si>
  <si>
    <t>VISCA LAILATUL RAHMA ARDIYANTI</t>
  </si>
  <si>
    <t>WIRA KUSUMA SANTI YUDHA</t>
  </si>
  <si>
    <t>ZHIVANA EKA JUNIARWATI</t>
  </si>
  <si>
    <t>ALDA JACINDA SANTOSO</t>
  </si>
  <si>
    <t>AWAZIN RISKI HUMAMI</t>
  </si>
  <si>
    <t>DESTI ANGGRAENI</t>
  </si>
  <si>
    <t>DWI APRILYA</t>
  </si>
  <si>
    <t>FANESA KUSUMA WARDANI</t>
  </si>
  <si>
    <t>FATASYA MAULIDA</t>
  </si>
  <si>
    <t>FEBRIANA UDIKTIYA PRATAMA</t>
  </si>
  <si>
    <t>INTAN NUR AINI</t>
  </si>
  <si>
    <t>KAYLA DIAH AYU PUTRI APRILLYA</t>
  </si>
  <si>
    <t>LUTFI FADHLI DARMAWAN</t>
  </si>
  <si>
    <t>MAULANA ILMAN NAFFIAN SETYO BUDI</t>
  </si>
  <si>
    <t>MUHAIMIN NUR HALIM</t>
  </si>
  <si>
    <t>MUHAMMAD JASTIN REVALDO</t>
  </si>
  <si>
    <t>OZY RIZKY EKA PRATAMA</t>
  </si>
  <si>
    <t>RAKA BAKTI OKTAVIAN</t>
  </si>
  <si>
    <t>RENO HARDIANSYAH</t>
  </si>
  <si>
    <t>RINA DWI LESTARI</t>
  </si>
  <si>
    <t>TYO RIZKY EKA PRATAMA</t>
  </si>
  <si>
    <t>ZAHROTU FARHANA</t>
  </si>
  <si>
    <t>AIRA KUSUMA DEWI</t>
  </si>
  <si>
    <t>ANDIEN RAHMADHANI SYAHPUTRI</t>
  </si>
  <si>
    <t>AZZA NUR HIKMAH</t>
  </si>
  <si>
    <t>DHANI FIRMANSYAH</t>
  </si>
  <si>
    <t>DIMAS SATRIO PUTRA ARIYANTO</t>
  </si>
  <si>
    <t>DZAKIYYAH ADZRA RAMADHANI</t>
  </si>
  <si>
    <t>GALANG HABIB MAULANA</t>
  </si>
  <si>
    <t>HARIS PRATAMA PUTRA</t>
  </si>
  <si>
    <t>INEZ RAZITA SUDIBYO</t>
  </si>
  <si>
    <t>KHANSA KHAYLA PRASSETYANI</t>
  </si>
  <si>
    <t>LUKMAN ABDUL GHONI</t>
  </si>
  <si>
    <t>RAHAJENG AURIA CITRA FAROZA</t>
  </si>
  <si>
    <t>RAHMA TRI WIJAYANTI</t>
  </si>
  <si>
    <t>RIFATUL ULI NUHA</t>
  </si>
  <si>
    <t>TREISSYA EKA SYALUNA</t>
  </si>
  <si>
    <t>WAHYUNITA PUSPITA SARI</t>
  </si>
  <si>
    <t>ZIDNY AULA AMIROH</t>
  </si>
  <si>
    <t>AZWA IZATUL FATIMAH</t>
  </si>
  <si>
    <t>BERLIANA ASSYIFA SOFYANANTA</t>
  </si>
  <si>
    <t>CANTIKA TRI LESTARI</t>
  </si>
  <si>
    <t>DEFIN EKA YANUAR</t>
  </si>
  <si>
    <t>HANIFAH ANGGIA PUTRI</t>
  </si>
  <si>
    <t>IZZA NUR ILHAM</t>
  </si>
  <si>
    <t>KHOIRUNISSA NASHWA AZ ZAHRA</t>
  </si>
  <si>
    <t>MIRZHA AMARA SAFITRI</t>
  </si>
  <si>
    <t>MUHAMMAD ZAKKI ASSALAM</t>
  </si>
  <si>
    <t>NAILA KHOIRRUN NISA</t>
  </si>
  <si>
    <t>NOVI LISTIANA ARDYANTI</t>
  </si>
  <si>
    <t>REVANIA ARMADANI</t>
  </si>
  <si>
    <t>SANDIKA PRATAMA PUTRA</t>
  </si>
  <si>
    <t>SEPTIYANI PUJI ASTUTI</t>
  </si>
  <si>
    <t>SHOLEHA FAHRU FEBRIYANTI</t>
  </si>
  <si>
    <t>SILFIANA DWI KUSUMA NINGRUM</t>
  </si>
  <si>
    <t>YUDHA TRI BASKORO</t>
  </si>
  <si>
    <t>AIRA VIOLETTA AZZAHRA</t>
  </si>
  <si>
    <t>DERA AGUNG KURNIAWAN</t>
  </si>
  <si>
    <t>FAJRUL AMALIA</t>
  </si>
  <si>
    <t>FAKHRU HUDAL MUSTAFID</t>
  </si>
  <si>
    <t>FANIA REKA SAPUTRI</t>
  </si>
  <si>
    <t>FAZA EKA ARIYANTO</t>
  </si>
  <si>
    <t>MAVIRA ARINDA KURNIA PUTRI</t>
  </si>
  <si>
    <t>MELLY FELANNY JAMAL</t>
  </si>
  <si>
    <t>NAMIRA TRI AGUSTINA</t>
  </si>
  <si>
    <t>NIZAM JUNA FIRMANSYAH</t>
  </si>
  <si>
    <t>REYZA PUTRI RAHMADHANI</t>
  </si>
  <si>
    <t>REZA AJI SAPUTRA</t>
  </si>
  <si>
    <t>RIDHO SATRIO LEGOWO</t>
  </si>
  <si>
    <t>RIKO EKA MAHARDIKA</t>
  </si>
  <si>
    <t>RIKOCAHYONUGROHO</t>
  </si>
  <si>
    <t>SILA SARI FATUL HASANAH</t>
  </si>
  <si>
    <t>SITI NUR SAROH</t>
  </si>
  <si>
    <t>ZAHRA KHOIRUN NISA</t>
  </si>
  <si>
    <t>ZAIDUL KHOIRI</t>
  </si>
  <si>
    <t>ADETHA MAFTAHUL PERMANA</t>
  </si>
  <si>
    <t xml:space="preserve"> AFIF FAKHRUDDIN GHOZALI</t>
  </si>
  <si>
    <t xml:space="preserve"> AJENG VIVI PUTRI AJI</t>
  </si>
  <si>
    <t xml:space="preserve"> AUFAA NATA ALY SALSABIL</t>
  </si>
  <si>
    <t xml:space="preserve"> BERLIN VIVI ALYDYA</t>
  </si>
  <si>
    <t xml:space="preserve"> BRILIAN SYAIRA JUNDI PRADIPTYA</t>
  </si>
  <si>
    <t xml:space="preserve"> ERIN SHOLIKHAH</t>
  </si>
  <si>
    <t xml:space="preserve"> FERZA RIZAL ILHAM</t>
  </si>
  <si>
    <t xml:space="preserve"> INDANA QURROTUL AINI AZZAHRA</t>
  </si>
  <si>
    <t xml:space="preserve"> LUTHFI PUTRA RAMADHAN</t>
  </si>
  <si>
    <t xml:space="preserve"> MARYSYA BINTANG MAHARANI</t>
  </si>
  <si>
    <t xml:space="preserve"> MEISYA SYAHLITA LATIEF</t>
  </si>
  <si>
    <t xml:space="preserve"> MUHAMMAD DIMAS SHODIQ SAPUTRA</t>
  </si>
  <si>
    <t xml:space="preserve"> MUHAMMAD ILMAN EKRISTAR</t>
  </si>
  <si>
    <t xml:space="preserve"> MUHAMMAD NUR KAFIN OCTAMIANYAH</t>
  </si>
  <si>
    <t xml:space="preserve"> MUTIARA LARASATI</t>
  </si>
  <si>
    <t xml:space="preserve"> NAJWA KHOIRUNNISA</t>
  </si>
  <si>
    <t xml:space="preserve"> NOVA ALRIDWAN</t>
  </si>
  <si>
    <t xml:space="preserve"> QHORIATUL FAUZIAH</t>
  </si>
  <si>
    <t xml:space="preserve"> RAFFA AZKA PUTRA KURNIAWAN</t>
  </si>
  <si>
    <t xml:space="preserve"> REVALINA EVRIL AZIZAH</t>
  </si>
  <si>
    <t>RONALDO RAHMADAN FIRDIYANSAH</t>
  </si>
  <si>
    <t xml:space="preserve"> SHIFA LAYLA SALSABILA</t>
  </si>
  <si>
    <t xml:space="preserve"> UMMU NUR HABIBAH</t>
  </si>
  <si>
    <t>ANDRI HERDIANSYAH</t>
  </si>
  <si>
    <t>NATALI VANESA ANDRI</t>
  </si>
  <si>
    <t>DENIS CESAR YUANDIKA</t>
  </si>
  <si>
    <t>NAUFAL RAFIQ ATTAUFIQ</t>
  </si>
  <si>
    <t>SEPTIAN MULYA ABDULLAH</t>
  </si>
  <si>
    <t>FADI YASIN ALAIN WIDODO</t>
  </si>
  <si>
    <t>RINO ABADI YANUARSYAH</t>
  </si>
  <si>
    <t>ALVIN WIJIYAN ADITYA SUSANTO</t>
  </si>
  <si>
    <t>DINDA RATU SUKMAWATI</t>
  </si>
  <si>
    <t>MUHAMMAD FAHIM RIDHO ISWAHYUDI</t>
  </si>
  <si>
    <t>NAUFAL FACHRUR ROZZI</t>
  </si>
  <si>
    <t>SYAFITRI NURWAHYUNI</t>
  </si>
  <si>
    <t>SHEINA KHOIRUNNISA</t>
  </si>
  <si>
    <t>121135190007230001</t>
  </si>
  <si>
    <t>121135190007230002</t>
  </si>
  <si>
    <t>121135190007230003</t>
  </si>
  <si>
    <t>121135190007230004</t>
  </si>
  <si>
    <t>121135190007230005</t>
  </si>
  <si>
    <t>121135190007230006</t>
  </si>
  <si>
    <t>121135190007230007</t>
  </si>
  <si>
    <t>121135190007230008</t>
  </si>
  <si>
    <t>121135190007230009</t>
  </si>
  <si>
    <t>121135190007230010</t>
  </si>
  <si>
    <t>121135190007230011</t>
  </si>
  <si>
    <t>121135190007230012</t>
  </si>
  <si>
    <t>121135190007230013</t>
  </si>
  <si>
    <t>121135190007230014</t>
  </si>
  <si>
    <t>121135190007230015</t>
  </si>
  <si>
    <t>121135190007230016</t>
  </si>
  <si>
    <t>121135190007230017</t>
  </si>
  <si>
    <t>121135190007230018</t>
  </si>
  <si>
    <t>121135190007230019</t>
  </si>
  <si>
    <t>121135190007230020</t>
  </si>
  <si>
    <t>121135190007230021</t>
  </si>
  <si>
    <t>121135190007230022</t>
  </si>
  <si>
    <t>121135190007230023</t>
  </si>
  <si>
    <t>121135190007230024</t>
  </si>
  <si>
    <t>121135190007230025</t>
  </si>
  <si>
    <t>121135190007230026</t>
  </si>
  <si>
    <t>121135190007230027</t>
  </si>
  <si>
    <t>121135190007230028</t>
  </si>
  <si>
    <t>121135190007230029</t>
  </si>
  <si>
    <t>121135190007230030</t>
  </si>
  <si>
    <t>121135190007230031</t>
  </si>
  <si>
    <t>121135190007230032</t>
  </si>
  <si>
    <t>121135190007230033</t>
  </si>
  <si>
    <t>121135190007230034</t>
  </si>
  <si>
    <t>121135190007230035</t>
  </si>
  <si>
    <t>121135190007230036</t>
  </si>
  <si>
    <t>121135190007230037</t>
  </si>
  <si>
    <t>121135190007230038</t>
  </si>
  <si>
    <t>121135190007230039</t>
  </si>
  <si>
    <t>121135190007230040</t>
  </si>
  <si>
    <t>121135190007230041</t>
  </si>
  <si>
    <t>121135190007230042</t>
  </si>
  <si>
    <t>121135190007230043</t>
  </si>
  <si>
    <t>121135190007230044</t>
  </si>
  <si>
    <t>121135190007230045</t>
  </si>
  <si>
    <t>121135190007230046</t>
  </si>
  <si>
    <t>121135190007230047</t>
  </si>
  <si>
    <t>121135190007230048</t>
  </si>
  <si>
    <t>121135190007230049</t>
  </si>
  <si>
    <t>121135190007230050</t>
  </si>
  <si>
    <t>121135190007230051</t>
  </si>
  <si>
    <t>121135190007230052</t>
  </si>
  <si>
    <t>121135190007230053</t>
  </si>
  <si>
    <t>121135190007230054</t>
  </si>
  <si>
    <t>121135190007230055</t>
  </si>
  <si>
    <t>121135190007230056</t>
  </si>
  <si>
    <t>121135190007230057</t>
  </si>
  <si>
    <t>121135190007230058</t>
  </si>
  <si>
    <t>121135190007230059</t>
  </si>
  <si>
    <t>121135190007230060</t>
  </si>
  <si>
    <t>121135190007230061</t>
  </si>
  <si>
    <t>121135190007230062</t>
  </si>
  <si>
    <t>121135190007230063</t>
  </si>
  <si>
    <t>121135190007230064</t>
  </si>
  <si>
    <t>121135190007230065</t>
  </si>
  <si>
    <t>121135190007230066</t>
  </si>
  <si>
    <t>121135190007230068</t>
  </si>
  <si>
    <t>121135190007230069</t>
  </si>
  <si>
    <t>121135190007230070</t>
  </si>
  <si>
    <t>121135190007230071</t>
  </si>
  <si>
    <t>121135190007230073</t>
  </si>
  <si>
    <t>121135190007230074</t>
  </si>
  <si>
    <t>121135190007230075</t>
  </si>
  <si>
    <t>121135190007230076</t>
  </si>
  <si>
    <t>121135190007230077</t>
  </si>
  <si>
    <t>121135190007230078</t>
  </si>
  <si>
    <t>121135190007230079</t>
  </si>
  <si>
    <t>121135190007230080</t>
  </si>
  <si>
    <t>121135190007230081</t>
  </si>
  <si>
    <t>121135190007230082</t>
  </si>
  <si>
    <t>121135190007230083</t>
  </si>
  <si>
    <t>121135190007230084</t>
  </si>
  <si>
    <t>121135190007230085</t>
  </si>
  <si>
    <t>121135190007230086</t>
  </si>
  <si>
    <t>121135190007230087</t>
  </si>
  <si>
    <t>121135190007230088</t>
  </si>
  <si>
    <t>121135190007230089</t>
  </si>
  <si>
    <t>121135190007230090</t>
  </si>
  <si>
    <t>121135190007230091</t>
  </si>
  <si>
    <t>121135190007230092</t>
  </si>
  <si>
    <t>121135190007230093</t>
  </si>
  <si>
    <t>121135190007230094</t>
  </si>
  <si>
    <t>121135190007230095</t>
  </si>
  <si>
    <t>121135190007230096</t>
  </si>
  <si>
    <t>121135190007230097</t>
  </si>
  <si>
    <t>121135190007230098</t>
  </si>
  <si>
    <t>121135190007230099</t>
  </si>
  <si>
    <t>121135190007230100</t>
  </si>
  <si>
    <t>121135190007230102</t>
  </si>
  <si>
    <t>121135190007230103</t>
  </si>
  <si>
    <t>121135190007230104</t>
  </si>
  <si>
    <t>121135190007230105</t>
  </si>
  <si>
    <t>121135190007230106</t>
  </si>
  <si>
    <t>121135190007230107</t>
  </si>
  <si>
    <t>121135190007230108</t>
  </si>
  <si>
    <t>121135190007230109</t>
  </si>
  <si>
    <t>121135190007230110</t>
  </si>
  <si>
    <t>121135190007230111</t>
  </si>
  <si>
    <t>121135190007230112</t>
  </si>
  <si>
    <t>121135190007230113</t>
  </si>
  <si>
    <t>121135190007230114</t>
  </si>
  <si>
    <t>121135190007230115</t>
  </si>
  <si>
    <t>121135190007230116</t>
  </si>
  <si>
    <t>121135190007230117</t>
  </si>
  <si>
    <t>121135190007230118</t>
  </si>
  <si>
    <t>121135190007230120</t>
  </si>
  <si>
    <t>121135190007230121</t>
  </si>
  <si>
    <t>121135190007230122</t>
  </si>
  <si>
    <t>121135190007230123</t>
  </si>
  <si>
    <t>121135190007230124</t>
  </si>
  <si>
    <t>121135190007230125</t>
  </si>
  <si>
    <t>121135190007230126</t>
  </si>
  <si>
    <t>121135190007230127</t>
  </si>
  <si>
    <t>121135190007230128</t>
  </si>
  <si>
    <t>121135190007230129</t>
  </si>
  <si>
    <t>121135190007230131</t>
  </si>
  <si>
    <t>121135190007230132</t>
  </si>
  <si>
    <t>121135190007230133</t>
  </si>
  <si>
    <t>121135190007230134</t>
  </si>
  <si>
    <t>121135190007230135</t>
  </si>
  <si>
    <t>121135190007230136</t>
  </si>
  <si>
    <t>121135190007230137</t>
  </si>
  <si>
    <t>121135190007230138</t>
  </si>
  <si>
    <t>121135190007230139</t>
  </si>
  <si>
    <t>121135190007230140</t>
  </si>
  <si>
    <t>121135190007230141</t>
  </si>
  <si>
    <t>121135190007230142</t>
  </si>
  <si>
    <t>121135190007230143</t>
  </si>
  <si>
    <t>121135190007230144</t>
  </si>
  <si>
    <t>121135190007230145</t>
  </si>
  <si>
    <t>121135190007230148</t>
  </si>
  <si>
    <t>121135190007230149</t>
  </si>
  <si>
    <t>121135190007230150</t>
  </si>
  <si>
    <t>121135190007230151</t>
  </si>
  <si>
    <t>121135190007230152</t>
  </si>
  <si>
    <t>121135190007230153</t>
  </si>
  <si>
    <t>121135190007230154</t>
  </si>
  <si>
    <t>121135190007230155</t>
  </si>
  <si>
    <t>121135190007230156</t>
  </si>
  <si>
    <t>121135190007230157</t>
  </si>
  <si>
    <t>121135190007230158</t>
  </si>
  <si>
    <t>121135190007230159</t>
  </si>
  <si>
    <t>121135190007230161</t>
  </si>
  <si>
    <t>121135190007230162</t>
  </si>
  <si>
    <t>121135190007230163</t>
  </si>
  <si>
    <t>121135190007230164</t>
  </si>
  <si>
    <t>121135190007230165</t>
  </si>
  <si>
    <t>121135190007230166</t>
  </si>
  <si>
    <t>121135190007230167</t>
  </si>
  <si>
    <t>121135190007230168</t>
  </si>
  <si>
    <t>121135190007230169</t>
  </si>
  <si>
    <t>121135190007230170</t>
  </si>
  <si>
    <t>121135190007230171</t>
  </si>
  <si>
    <t>121135190007230172</t>
  </si>
  <si>
    <t>121135190007230173</t>
  </si>
  <si>
    <t>121135190007230174</t>
  </si>
  <si>
    <t>121135190007230175</t>
  </si>
  <si>
    <t>121135190007230176</t>
  </si>
  <si>
    <t>121135190007230177</t>
  </si>
  <si>
    <t>121135190007230178</t>
  </si>
  <si>
    <t>121135190007230179</t>
  </si>
  <si>
    <t>121135190007230180</t>
  </si>
  <si>
    <t>121135190007230181</t>
  </si>
  <si>
    <t>121135190007230182</t>
  </si>
  <si>
    <t>121135190007230183</t>
  </si>
  <si>
    <t>121135190007230184</t>
  </si>
  <si>
    <t>121135190007230185</t>
  </si>
  <si>
    <t>121135190007230187</t>
  </si>
  <si>
    <t>121135190007230188</t>
  </si>
  <si>
    <t>121135190007230189</t>
  </si>
  <si>
    <t>121135190007230190</t>
  </si>
  <si>
    <t>121135190007230191</t>
  </si>
  <si>
    <t>121135190007230192</t>
  </si>
  <si>
    <t>121135190007230193</t>
  </si>
  <si>
    <t>121135190007230194</t>
  </si>
  <si>
    <t>121135190007230195</t>
  </si>
  <si>
    <t>121135190007230196</t>
  </si>
  <si>
    <t>121135190007230197</t>
  </si>
  <si>
    <t>TEGAR NUR KHOLIK</t>
  </si>
  <si>
    <t>FARREL RIZKI ARDI WIBISONO</t>
  </si>
  <si>
    <t>AFRILYA NINDI RAHMAWATI</t>
  </si>
  <si>
    <t>JUMLAH TOTAL KELAS 8</t>
  </si>
  <si>
    <t>SAMARA NASYIFA RASTY</t>
  </si>
  <si>
    <t>HAFIZH NAUFAL HIDAYAH</t>
  </si>
  <si>
    <t xml:space="preserve"> n  </t>
  </si>
  <si>
    <t>AZZILIA SHAMMY NOVIA</t>
  </si>
  <si>
    <t>IZHA HERA APRILIA</t>
  </si>
  <si>
    <t>MUHAMAD HAFIZ MAULANA</t>
  </si>
  <si>
    <t>VIANKA CAHAYA KURNIA WAHYU</t>
  </si>
  <si>
    <t>121135190007230147</t>
  </si>
  <si>
    <t>121135190007230160</t>
  </si>
  <si>
    <t>FEBRIANA NOVAN NUR RAHAYU</t>
  </si>
  <si>
    <t>121135190007230199</t>
  </si>
  <si>
    <t>121135190007230200</t>
  </si>
  <si>
    <t>121135190007230201</t>
  </si>
  <si>
    <t>121135190007230202</t>
  </si>
  <si>
    <t>IMAM MUFADHIL AL FAQIH</t>
  </si>
  <si>
    <t>121135190007220236</t>
  </si>
  <si>
    <t>baru</t>
  </si>
  <si>
    <t>121135190007220234</t>
  </si>
  <si>
    <t>TAHUN PELAJARAN 2024 - 2025</t>
  </si>
  <si>
    <t xml:space="preserve">  Madiun,        -     - 2024</t>
  </si>
  <si>
    <t>KELAS 9G</t>
  </si>
  <si>
    <t>KELAS 9H</t>
  </si>
  <si>
    <t>MUHAMAD HISAMIDDIN ABDILLAH</t>
  </si>
  <si>
    <t>ALI AMIRUDDIN CAHYO</t>
  </si>
  <si>
    <t>121135190007240003</t>
  </si>
  <si>
    <t>MUHAMAD ILYAS SAPUTRO</t>
  </si>
  <si>
    <t>ANNISA RAHMAH</t>
  </si>
  <si>
    <t>121135190007240002</t>
  </si>
  <si>
    <t>Bayu Utomo</t>
  </si>
  <si>
    <t>Kaisar Rizki Dika Ramadhan</t>
  </si>
  <si>
    <t xml:space="preserve">Julian Dwi Asngari </t>
  </si>
  <si>
    <t>Kevin Aldiansyah</t>
  </si>
  <si>
    <t>Muhammad zydan alfarruq</t>
  </si>
  <si>
    <t>Oddy Januar Faturrahman</t>
  </si>
  <si>
    <t>Rafka Novian Saputra</t>
  </si>
  <si>
    <t>Fabian Marchello Tamaregas</t>
  </si>
  <si>
    <t>Gohan Alviano Pratama</t>
  </si>
  <si>
    <t>Mochammad Auda R.A</t>
  </si>
  <si>
    <t>Muhammad Lutfi Ramadhan Wijaya</t>
  </si>
  <si>
    <t>Ijaz Atta Alharaki</t>
  </si>
  <si>
    <t>Ardila Syntia Sari</t>
  </si>
  <si>
    <t>Assyifa Annastasya</t>
  </si>
  <si>
    <t>Azzahra Putri Deanaz Abdullah</t>
  </si>
  <si>
    <t>Fanisa Yulianti</t>
  </si>
  <si>
    <t>Fitria Sugianto Putri</t>
  </si>
  <si>
    <t>Khafizha Nathania Hazimah</t>
  </si>
  <si>
    <t>Nikmahtul Wasiah</t>
  </si>
  <si>
    <t>Novika Putri Nur Fitriani</t>
  </si>
  <si>
    <t>Rinda Oktaviola</t>
  </si>
  <si>
    <t>Risma Ayu Ramadhani</t>
  </si>
  <si>
    <t>Rohmalia Putri Ramadhani</t>
  </si>
  <si>
    <t>Yolin. Melinda Santoso</t>
  </si>
  <si>
    <t xml:space="preserve">Hayuningdyah Kirana Maharani </t>
  </si>
  <si>
    <t>Mesya Eka Syahputri</t>
  </si>
  <si>
    <t xml:space="preserve">Rista Bella Kurniawan </t>
  </si>
  <si>
    <t>Yuanita Aliya Eka Putri</t>
  </si>
  <si>
    <t>Ridho Ilyas Saputra</t>
  </si>
  <si>
    <t>Caesar Rahmat Alif Prayogi</t>
  </si>
  <si>
    <t>Moh Devan Rafandra</t>
  </si>
  <si>
    <t>Ramadhan Bagus Saputra</t>
  </si>
  <si>
    <t xml:space="preserve">Rava Angga Saputra </t>
  </si>
  <si>
    <t>Reyhan Sandy Biimantara</t>
  </si>
  <si>
    <t>Riza Afif Prasetio</t>
  </si>
  <si>
    <t>Ilyas Abiyaksa Riadi</t>
  </si>
  <si>
    <t>Dimas Habib Al Farizi</t>
  </si>
  <si>
    <t>Fadhil Khoirul Nizam Bukhori</t>
  </si>
  <si>
    <t>Fadli Fahreza</t>
  </si>
  <si>
    <t>Fandi Prasetiyo Wibowo</t>
  </si>
  <si>
    <t>Fareyhan Rafki Prayudya</t>
  </si>
  <si>
    <t>Zakki Azhar Hardia Putra</t>
  </si>
  <si>
    <t>Anggita Rahma Ardita</t>
  </si>
  <si>
    <t>Anir Roturrofi'ah</t>
  </si>
  <si>
    <t>Asifa Nurlaila Rahmadhani</t>
  </si>
  <si>
    <t>Inez Julaikha Velysia</t>
  </si>
  <si>
    <t>Khansa Aulia</t>
  </si>
  <si>
    <t>Latifa Maulina Azizi</t>
  </si>
  <si>
    <t>Latisya Khalifatunnaima Rizky</t>
  </si>
  <si>
    <t>Monica Putri Adelia</t>
  </si>
  <si>
    <t>Ninda Fitri Soffiana</t>
  </si>
  <si>
    <t>Rindu Olivia</t>
  </si>
  <si>
    <t>Risa Amelia</t>
  </si>
  <si>
    <t>Septiara Putri Azalfa</t>
  </si>
  <si>
    <t>Miko Ardiansyah</t>
  </si>
  <si>
    <t>Alwima Hafiz Alfarizqi</t>
  </si>
  <si>
    <t>Andika Khoirul Anwar</t>
  </si>
  <si>
    <t>Aris Yunus Mustopa</t>
  </si>
  <si>
    <t>Cahya Putra Ramadhan</t>
  </si>
  <si>
    <t>Dimas Aditya Risky Firmansyah</t>
  </si>
  <si>
    <t>Fandy Irwansyah</t>
  </si>
  <si>
    <t>Muhammad Rifa'i</t>
  </si>
  <si>
    <t>Bryan Satya Pratama</t>
  </si>
  <si>
    <t>Iqbal Adam Pratama</t>
  </si>
  <si>
    <t>Marcel ari wibowo</t>
  </si>
  <si>
    <t>Muh. Kharis Saputra</t>
  </si>
  <si>
    <t>Raka Adhitya Dermawan</t>
  </si>
  <si>
    <t>Raya Ozy Saputra</t>
  </si>
  <si>
    <t>Rijal Dwi Setyawan</t>
  </si>
  <si>
    <t>Rizqi Wahyu Saputra</t>
  </si>
  <si>
    <t xml:space="preserve">Alifian Febry Saputra </t>
  </si>
  <si>
    <t>Afrida Fara Fadila</t>
  </si>
  <si>
    <t>Elvira Reysha Noveliasari</t>
  </si>
  <si>
    <t>Ika Ristiani</t>
  </si>
  <si>
    <t>Latifah Rahma Khairani</t>
  </si>
  <si>
    <t>Milati Arifah Nur Khasanah</t>
  </si>
  <si>
    <t>Mutiasari Habibah</t>
  </si>
  <si>
    <t>Putri Widyawati</t>
  </si>
  <si>
    <t>Selina Nur Hidayati</t>
  </si>
  <si>
    <t xml:space="preserve">Febi Athirah Harahap </t>
  </si>
  <si>
    <t xml:space="preserve">Meysha Adyshica </t>
  </si>
  <si>
    <t xml:space="preserve">Nurahman Putra Yudistira </t>
  </si>
  <si>
    <t>Angga Bagus Saputra</t>
  </si>
  <si>
    <t>Diky Setiawan</t>
  </si>
  <si>
    <t>Muhammad Annas Kurniawan</t>
  </si>
  <si>
    <t>Qoyyumi Achsan Winasis</t>
  </si>
  <si>
    <t>Raka Rafa Alviano</t>
  </si>
  <si>
    <t>Nizam Ghulam Alkafi</t>
  </si>
  <si>
    <t>Akbar Azis Maulana</t>
  </si>
  <si>
    <t>Arsya Rahesa Frizihandi</t>
  </si>
  <si>
    <t>David Alvino Sebastian</t>
  </si>
  <si>
    <t>Erlangga Putra Pratama</t>
  </si>
  <si>
    <t>Faiz Aldiyanto</t>
  </si>
  <si>
    <t>Iqbal Dwi Cahyo</t>
  </si>
  <si>
    <t>Jayatirtaindratama</t>
  </si>
  <si>
    <t>Khoirul Nur Cahyono</t>
  </si>
  <si>
    <t>M. Hannan Raka Giani</t>
  </si>
  <si>
    <t xml:space="preserve">Muhammad Ali Rokhim </t>
  </si>
  <si>
    <t>Raafi Nuur Rahiim</t>
  </si>
  <si>
    <t>Arwaa Aprilia Arum Az Zahra</t>
  </si>
  <si>
    <t>Clarissa Auriya Feika</t>
  </si>
  <si>
    <t>Jah Hara Febriana Putri</t>
  </si>
  <si>
    <t>Lady'andra Verlita Brillianty</t>
  </si>
  <si>
    <t>Mustika Nur Septiyanti</t>
  </si>
  <si>
    <t>Oryza Ghea Sativa</t>
  </si>
  <si>
    <t>Ricka Arisandi</t>
  </si>
  <si>
    <t>Shofia Hayu Hafizah</t>
  </si>
  <si>
    <t>Violita Putri Pratama Wiga</t>
  </si>
  <si>
    <t>Giska Aurelia Syifani</t>
  </si>
  <si>
    <t xml:space="preserve">Alif Putra Prasetyo </t>
  </si>
  <si>
    <t>Arlika Ramajagandi</t>
  </si>
  <si>
    <t>Azkha Daryl Fahrezy</t>
  </si>
  <si>
    <t>Muhammad Ali Rokhman</t>
  </si>
  <si>
    <t>Muhammad Arka Ramadhan</t>
  </si>
  <si>
    <t>Rendy Nur Viky</t>
  </si>
  <si>
    <t xml:space="preserve">Ridho Feri Ariawan </t>
  </si>
  <si>
    <t>Vicky Bagus Syahputra</t>
  </si>
  <si>
    <t>Ahmad Rivino Nor Maulana</t>
  </si>
  <si>
    <t>Arfian Dwikcy Junianto</t>
  </si>
  <si>
    <t>Dwi Prayoga</t>
  </si>
  <si>
    <t>Hilman Al Qodri Setiawan</t>
  </si>
  <si>
    <t>Muhammad Amir Ibnu Hasan</t>
  </si>
  <si>
    <t>Muhammad Khoiron Nasiri</t>
  </si>
  <si>
    <t>Muhammad Naufal Mujiantoro</t>
  </si>
  <si>
    <t>Nadhif Alfian</t>
  </si>
  <si>
    <t>Rizki Hasan Al Farisi</t>
  </si>
  <si>
    <t>Rizky Putra Muhammad Rifai</t>
  </si>
  <si>
    <t>Rohman Hidayat</t>
  </si>
  <si>
    <t>Asyifa Nur Athiroh</t>
  </si>
  <si>
    <t>Erlin Syarioh</t>
  </si>
  <si>
    <t>Naila Wafiirotil Fadiilah</t>
  </si>
  <si>
    <t>Nathasya Airin Nur Sifa</t>
  </si>
  <si>
    <t>Nawang Wulan Putri Rahmadani</t>
  </si>
  <si>
    <t>Nazhiifah Nabiilah Rahmadhani</t>
  </si>
  <si>
    <t>Nur Lathiifah</t>
  </si>
  <si>
    <t xml:space="preserve">Resky Fenysa Amelliasari </t>
  </si>
  <si>
    <t>Zhadhat Sayyidatina Al Aisyah</t>
  </si>
  <si>
    <t xml:space="preserve">Andriana Widi Astuti </t>
  </si>
  <si>
    <t>Aulia Dewi Wulansari</t>
  </si>
  <si>
    <t>Cahaya Safhira Dwi Ambarwati</t>
  </si>
  <si>
    <t xml:space="preserve">Zhafira Sifa Az Zahra </t>
  </si>
  <si>
    <t>Irzan Dio Firmansyah</t>
  </si>
  <si>
    <t>Rizal Akbar</t>
  </si>
  <si>
    <t>Arnika Hanif Febriansyah</t>
  </si>
  <si>
    <t>Azhar Muhammad Dhofar Rochim</t>
  </si>
  <si>
    <t>Muhammad Nur Fauzan</t>
  </si>
  <si>
    <t xml:space="preserve">Irzan Ido Firmansyah </t>
  </si>
  <si>
    <t>Nasirul Afandi</t>
  </si>
  <si>
    <t>Faizal Ahmad Affandi</t>
  </si>
  <si>
    <t xml:space="preserve">Fino Eka Ardiansyah </t>
  </si>
  <si>
    <t>Naufal Arhdan Dzaky</t>
  </si>
  <si>
    <t>Teges Subekhti</t>
  </si>
  <si>
    <t>Ibra Java Dwi Wibowo</t>
  </si>
  <si>
    <t>Moh. Yusuf Badrus Zaman</t>
  </si>
  <si>
    <t>Vaogan Angelico Andriana Vana</t>
  </si>
  <si>
    <t>Alfian Saiful Baharudin</t>
  </si>
  <si>
    <t>Friska Ayu Fahira</t>
  </si>
  <si>
    <t>Raehanun Ikhrima An Naza</t>
  </si>
  <si>
    <t>Vika Nuranjani</t>
  </si>
  <si>
    <t>Liyana Zahirah Arianti</t>
  </si>
  <si>
    <t>Alian Trianda</t>
  </si>
  <si>
    <t>Lexsanifa Meyshila Azzahra</t>
  </si>
  <si>
    <t>Hani Nur Azizah</t>
  </si>
  <si>
    <t>Ziqni Arfiani Taufiqoh</t>
  </si>
  <si>
    <t>Devina Novebriana</t>
  </si>
  <si>
    <t>Luna Arneta</t>
  </si>
  <si>
    <t>Adinda Kawuryan</t>
  </si>
  <si>
    <t>Oktavia Nur Iswahyuni</t>
  </si>
  <si>
    <t>Fatih Diokta Arhab</t>
  </si>
  <si>
    <t>Harisun Baihaqi</t>
  </si>
  <si>
    <t>Andrian Zhakarya Pratama</t>
  </si>
  <si>
    <t>Ahmad khoirul azam</t>
  </si>
  <si>
    <t>Hanif Fadilah Maulana</t>
  </si>
  <si>
    <t>Fairuz Dwi Priambodho</t>
  </si>
  <si>
    <t>Fariz Aditya Nugraha</t>
  </si>
  <si>
    <t xml:space="preserve">Arfhiean Rhizky Graharya </t>
  </si>
  <si>
    <t>Sinta Nur Kholifah</t>
  </si>
  <si>
    <t>Naifa Aliya Nurazizah</t>
  </si>
  <si>
    <t>Nafisha Laiqa Az-Zahra</t>
  </si>
  <si>
    <t>Alfa Nur Ayudia</t>
  </si>
  <si>
    <t>Agustin Dwi Rahmadani</t>
  </si>
  <si>
    <t>Alya Firnanda Apriliana</t>
  </si>
  <si>
    <t>Alisya Zhehani Putri</t>
  </si>
  <si>
    <t>Chiquita Dara Puspita</t>
  </si>
  <si>
    <t>Aisha Humaira Ramadhani</t>
  </si>
  <si>
    <t>Vitera Aurora zaenikha</t>
  </si>
  <si>
    <t>Allya dini Rahma qoyrunisa</t>
  </si>
  <si>
    <t>Malikatul Khusna Annashitha</t>
  </si>
  <si>
    <t>Aghnia Junda</t>
  </si>
  <si>
    <t xml:space="preserve">Alika Hasna Kholisha </t>
  </si>
  <si>
    <t>Arnu Zabian Tama</t>
  </si>
  <si>
    <t>Hendy Pratama Putra</t>
  </si>
  <si>
    <t>Dicky Wahyu Ramadhan</t>
  </si>
  <si>
    <t>Kyzha Fidyarta</t>
  </si>
  <si>
    <t xml:space="preserve">Aaron Ramadhani Purwanto </t>
  </si>
  <si>
    <t xml:space="preserve">Faiz Langit Febriansyah </t>
  </si>
  <si>
    <t>Ariny Endyanto</t>
  </si>
  <si>
    <t>Ayudea Putri Oktaviasari</t>
  </si>
  <si>
    <t>Citra Syahkila Listiana</t>
  </si>
  <si>
    <t>Devy Priyaningrum</t>
  </si>
  <si>
    <t>Fatimah Al Husna</t>
  </si>
  <si>
    <t>Fianti Nur Andriyas</t>
  </si>
  <si>
    <t>Ilma Nobelia Azzahra</t>
  </si>
  <si>
    <t>Lintang Meilani Putri</t>
  </si>
  <si>
    <t xml:space="preserve">Nadia Cahaya Fitri </t>
  </si>
  <si>
    <t>Nayzhilda Khanzafara Zulfan</t>
  </si>
  <si>
    <t>Nirvana Al Chairun Nissa</t>
  </si>
  <si>
    <t>Quinsha Rajasti Wijaya</t>
  </si>
  <si>
    <t>Salwa Rahmawati</t>
  </si>
  <si>
    <t>Septy Riyadati Susilo</t>
  </si>
  <si>
    <t>Syafira Nabila Prasetya</t>
  </si>
  <si>
    <t xml:space="preserve">Widya Erliana Angguni </t>
  </si>
  <si>
    <t>Yuniar Candra Kirana</t>
  </si>
  <si>
    <t xml:space="preserve">Kanza Apriza Nabila Putri </t>
  </si>
  <si>
    <t>Zaskia Ainurohma Qoriatun Nadjwa</t>
  </si>
  <si>
    <t>Septian Putra Pratama</t>
  </si>
  <si>
    <t xml:space="preserve">Rizki Robbi Izaty </t>
  </si>
  <si>
    <t>Khalisah Anindya Azzahra</t>
  </si>
  <si>
    <t xml:space="preserve">Radit Putra </t>
  </si>
  <si>
    <t>121135190007240005</t>
  </si>
  <si>
    <t>121135190007240006</t>
  </si>
  <si>
    <t>121135190007240007</t>
  </si>
  <si>
    <t>121135190007240008</t>
  </si>
  <si>
    <t>121135190007240009</t>
  </si>
  <si>
    <t>121135190007240010</t>
  </si>
  <si>
    <t>121135190007240011</t>
  </si>
  <si>
    <t>121135190007240012</t>
  </si>
  <si>
    <t>121135190007240013</t>
  </si>
  <si>
    <t>121135190007240014</t>
  </si>
  <si>
    <t>121135190007240015</t>
  </si>
  <si>
    <t>121135190007240016</t>
  </si>
  <si>
    <t>121135190007240017</t>
  </si>
  <si>
    <t>121135190007240018</t>
  </si>
  <si>
    <t>121135190007240019</t>
  </si>
  <si>
    <t>121135190007240020</t>
  </si>
  <si>
    <t>121135190007240021</t>
  </si>
  <si>
    <t>121135190007240022</t>
  </si>
  <si>
    <t>121135190007240023</t>
  </si>
  <si>
    <t>121135190007240024</t>
  </si>
  <si>
    <t>121135190007240025</t>
  </si>
  <si>
    <t>121135190007240026</t>
  </si>
  <si>
    <t>121135190007240027</t>
  </si>
  <si>
    <t>121135190007240028</t>
  </si>
  <si>
    <t>121135190007240029</t>
  </si>
  <si>
    <t>121135190007240030</t>
  </si>
  <si>
    <t>Jauza Kamilia Nur Zafira</t>
  </si>
  <si>
    <t>121135190007240031</t>
  </si>
  <si>
    <t>121135190007240032</t>
  </si>
  <si>
    <t>121135190007240033</t>
  </si>
  <si>
    <t>121135190007240034</t>
  </si>
  <si>
    <t>121135190007240035</t>
  </si>
  <si>
    <t>121135190007240036</t>
  </si>
  <si>
    <t>121135190007240037</t>
  </si>
  <si>
    <t>121135190007240039</t>
  </si>
  <si>
    <t>121135190007240040</t>
  </si>
  <si>
    <t>121135190007240041</t>
  </si>
  <si>
    <t>121135190007240042</t>
  </si>
  <si>
    <t>121135190007240043</t>
  </si>
  <si>
    <t>121135190007240044</t>
  </si>
  <si>
    <t>121135190007240045</t>
  </si>
  <si>
    <t>121135190007240046</t>
  </si>
  <si>
    <t>121135190007240047</t>
  </si>
  <si>
    <t>121135190007240048</t>
  </si>
  <si>
    <t>121135190007240049</t>
  </si>
  <si>
    <t>121135190007240050</t>
  </si>
  <si>
    <t>121135190007240051</t>
  </si>
  <si>
    <t>121135190007240052</t>
  </si>
  <si>
    <t>121135190007240053</t>
  </si>
  <si>
    <t>121135190007240054</t>
  </si>
  <si>
    <t>121135190007240055</t>
  </si>
  <si>
    <t>121135190007240056</t>
  </si>
  <si>
    <t>121135190007240057</t>
  </si>
  <si>
    <t>121135190007240058</t>
  </si>
  <si>
    <t>121135190007240059</t>
  </si>
  <si>
    <t>121135190007240060</t>
  </si>
  <si>
    <t>121135190007240061</t>
  </si>
  <si>
    <t>121135190007240062</t>
  </si>
  <si>
    <t>121135190007240063</t>
  </si>
  <si>
    <t>121135190007240064</t>
  </si>
  <si>
    <t>121135190007240065</t>
  </si>
  <si>
    <t>121135190007240066</t>
  </si>
  <si>
    <t>121135190007240067</t>
  </si>
  <si>
    <t>121135190007240068</t>
  </si>
  <si>
    <t>121135190007240069</t>
  </si>
  <si>
    <t>121135190007240070</t>
  </si>
  <si>
    <t>121135190007240071</t>
  </si>
  <si>
    <t>121135190007240072</t>
  </si>
  <si>
    <t>121135190007240073</t>
  </si>
  <si>
    <t>121135190007240075</t>
  </si>
  <si>
    <t>121135190007240076</t>
  </si>
  <si>
    <t>121135190007240077</t>
  </si>
  <si>
    <t>121135190007240078</t>
  </si>
  <si>
    <t>121135190007240079</t>
  </si>
  <si>
    <t>121135190007240080</t>
  </si>
  <si>
    <t>121135190007240081</t>
  </si>
  <si>
    <t>121135190007240082</t>
  </si>
  <si>
    <t>121135190007240083</t>
  </si>
  <si>
    <t>121135190007240084</t>
  </si>
  <si>
    <t>121135190007240085</t>
  </si>
  <si>
    <t>121135190007240086</t>
  </si>
  <si>
    <t>121135190007240087</t>
  </si>
  <si>
    <t>121135190007240088</t>
  </si>
  <si>
    <t>121135190007240089</t>
  </si>
  <si>
    <t>121135190007240090</t>
  </si>
  <si>
    <t>121135190007240092</t>
  </si>
  <si>
    <t>121135190007240093</t>
  </si>
  <si>
    <t>121135190007240094</t>
  </si>
  <si>
    <t>121135190007240095</t>
  </si>
  <si>
    <t>121135190007240096</t>
  </si>
  <si>
    <t>121135190007240097</t>
  </si>
  <si>
    <t>121135190007240098</t>
  </si>
  <si>
    <t>121135190007240099</t>
  </si>
  <si>
    <t>121135190007240100</t>
  </si>
  <si>
    <t>121135190007240101</t>
  </si>
  <si>
    <t>121135190007240102</t>
  </si>
  <si>
    <t>121135190007240103</t>
  </si>
  <si>
    <t>121135190007240104</t>
  </si>
  <si>
    <t>121135190007240105</t>
  </si>
  <si>
    <t>121135190007240106</t>
  </si>
  <si>
    <t>121135190007240107</t>
  </si>
  <si>
    <t>121135190007240108</t>
  </si>
  <si>
    <t>121135190007240109</t>
  </si>
  <si>
    <t>121135190007240110</t>
  </si>
  <si>
    <t>121135190007240111</t>
  </si>
  <si>
    <t>121135190007240112</t>
  </si>
  <si>
    <t>121135190007240113</t>
  </si>
  <si>
    <t>121135190007240114</t>
  </si>
  <si>
    <t>121135190007240115</t>
  </si>
  <si>
    <t>121135190007240116</t>
  </si>
  <si>
    <t>121135190007240117</t>
  </si>
  <si>
    <t>121135190007240118</t>
  </si>
  <si>
    <t>121135190007240119</t>
  </si>
  <si>
    <t>121135190007240120</t>
  </si>
  <si>
    <t>121135190007240121</t>
  </si>
  <si>
    <t>121135190007240122</t>
  </si>
  <si>
    <t>121135190007240123</t>
  </si>
  <si>
    <t>121135190007240124</t>
  </si>
  <si>
    <t>121135190007240125</t>
  </si>
  <si>
    <t>121135190007240126</t>
  </si>
  <si>
    <t>121135190007240127</t>
  </si>
  <si>
    <t>121135190007240128</t>
  </si>
  <si>
    <t>121135190007240129</t>
  </si>
  <si>
    <t>121135190007240130</t>
  </si>
  <si>
    <t>121135190007240131</t>
  </si>
  <si>
    <t>121135190007240132</t>
  </si>
  <si>
    <t>121135190007240133</t>
  </si>
  <si>
    <t>121135190007240134</t>
  </si>
  <si>
    <t>121135190007240135</t>
  </si>
  <si>
    <t>121135190007240136</t>
  </si>
  <si>
    <t>121135190007240137</t>
  </si>
  <si>
    <t>121135190007240138</t>
  </si>
  <si>
    <t>121135190007240139</t>
  </si>
  <si>
    <t>121135190007240140</t>
  </si>
  <si>
    <t>121135190007240141</t>
  </si>
  <si>
    <t>121135190007240142</t>
  </si>
  <si>
    <t>121135190007240143</t>
  </si>
  <si>
    <t>121135190007240144</t>
  </si>
  <si>
    <t>121135190007240145</t>
  </si>
  <si>
    <t>121135190007240146</t>
  </si>
  <si>
    <t>121135190007240147</t>
  </si>
  <si>
    <t>121135190007240148</t>
  </si>
  <si>
    <t>121135190007240149</t>
  </si>
  <si>
    <t>121135190007240150</t>
  </si>
  <si>
    <t>121135190007240151</t>
  </si>
  <si>
    <t>121135190007240152</t>
  </si>
  <si>
    <t>121135190007240153</t>
  </si>
  <si>
    <t>121135190007240154</t>
  </si>
  <si>
    <t>121135190007240155</t>
  </si>
  <si>
    <t>121135190007240156</t>
  </si>
  <si>
    <t>121135190007240157</t>
  </si>
  <si>
    <t>121135190007240158</t>
  </si>
  <si>
    <t>121135190007240159</t>
  </si>
  <si>
    <t>121135190007240160</t>
  </si>
  <si>
    <t>121135190007240161</t>
  </si>
  <si>
    <t>121135190007240162</t>
  </si>
  <si>
    <t>121135190007240163</t>
  </si>
  <si>
    <t>121135190007240164</t>
  </si>
  <si>
    <t>121135190007240165</t>
  </si>
  <si>
    <t>121135190007240166</t>
  </si>
  <si>
    <t>121135190007240167</t>
  </si>
  <si>
    <t>121135190007240168</t>
  </si>
  <si>
    <t>121135190007240169</t>
  </si>
  <si>
    <t>121135190007240170</t>
  </si>
  <si>
    <t>121135190007240171</t>
  </si>
  <si>
    <t>121135190007240172</t>
  </si>
  <si>
    <t>121135190007240173</t>
  </si>
  <si>
    <t>121135190007240174</t>
  </si>
  <si>
    <t>121135190007240175</t>
  </si>
  <si>
    <t>121135190007240176</t>
  </si>
  <si>
    <t>121135190007240177</t>
  </si>
  <si>
    <t>121135190007240178</t>
  </si>
  <si>
    <t>121135190007240179</t>
  </si>
  <si>
    <t>121135190007240180</t>
  </si>
  <si>
    <t>121135190007240181</t>
  </si>
  <si>
    <t>121135190007240182</t>
  </si>
  <si>
    <t>121135190007240183</t>
  </si>
  <si>
    <t>121135190007240184</t>
  </si>
  <si>
    <t>121135190007240185</t>
  </si>
  <si>
    <t>121135190007240186</t>
  </si>
  <si>
    <t>121135190007240187</t>
  </si>
  <si>
    <t>121135190007240188</t>
  </si>
  <si>
    <t>121135190007240189</t>
  </si>
  <si>
    <t>121135190007240190</t>
  </si>
  <si>
    <t>121135190007240191</t>
  </si>
  <si>
    <t>121135190007240192</t>
  </si>
  <si>
    <t>121135190007240193</t>
  </si>
  <si>
    <t>121135190007240194</t>
  </si>
  <si>
    <t>121135190007240195</t>
  </si>
  <si>
    <t>121135190007240196</t>
  </si>
  <si>
    <t>121135190007240197</t>
  </si>
  <si>
    <t>121135190007240198</t>
  </si>
  <si>
    <t>121135190007240199</t>
  </si>
  <si>
    <t>121135190007240200</t>
  </si>
  <si>
    <t>121135190007240201</t>
  </si>
  <si>
    <t>121135190007240202</t>
  </si>
  <si>
    <t>121135190007240203</t>
  </si>
  <si>
    <t>121135190007240205</t>
  </si>
  <si>
    <t>121135190007240206</t>
  </si>
  <si>
    <t>121135190007240207</t>
  </si>
  <si>
    <t>121135190007240208</t>
  </si>
  <si>
    <t>121135190007240209</t>
  </si>
  <si>
    <t>121135190007240210</t>
  </si>
  <si>
    <t>121135190007240211</t>
  </si>
  <si>
    <t>121135190007240212</t>
  </si>
  <si>
    <t>121135190007240213</t>
  </si>
  <si>
    <t>121135190007240214</t>
  </si>
  <si>
    <t>121135190007240215</t>
  </si>
  <si>
    <t>121135190007240216</t>
  </si>
  <si>
    <t>121135190007240217</t>
  </si>
  <si>
    <t>121135190007240218</t>
  </si>
  <si>
    <t>121135190007240219</t>
  </si>
  <si>
    <t>121135190007240220</t>
  </si>
  <si>
    <t>121135190007240221</t>
  </si>
  <si>
    <t>121135190007240222</t>
  </si>
  <si>
    <t>121135190007240223</t>
  </si>
  <si>
    <t>121135190007240224</t>
  </si>
  <si>
    <t>121135190007240225</t>
  </si>
  <si>
    <t>121135190007240226</t>
  </si>
  <si>
    <t>121135190007240227</t>
  </si>
  <si>
    <t>121135190007240228</t>
  </si>
  <si>
    <t>121135190007240229</t>
  </si>
  <si>
    <t xml:space="preserve">Muhamad Hafidz Baihaqi </t>
  </si>
  <si>
    <t>121135190007240230</t>
  </si>
  <si>
    <t xml:space="preserve">Nabila Lova Dewanti </t>
  </si>
  <si>
    <t>121135190007240231</t>
  </si>
  <si>
    <t>Rafa Hafiyan Syah Putra</t>
  </si>
  <si>
    <t>121135190007240232</t>
  </si>
  <si>
    <t>Hinggar Nur Fadil Pangibar</t>
  </si>
  <si>
    <t>121135190007240233</t>
  </si>
  <si>
    <t>Dina Ainur Rahmah</t>
  </si>
  <si>
    <t>Pindah</t>
  </si>
  <si>
    <t>AF RIZAL MIFTAHUR ROSYID</t>
  </si>
  <si>
    <t>121135190007240234</t>
  </si>
  <si>
    <t>SISWA BARU</t>
  </si>
  <si>
    <t>MUHAMMAD AQHIL MUBAROK</t>
  </si>
  <si>
    <t>121135190007250001</t>
  </si>
  <si>
    <t>AZMI  AZHAR</t>
  </si>
  <si>
    <t>Nevi Fadhilah Ramadani</t>
  </si>
  <si>
    <t>Jephtah Ivander Sofyan</t>
  </si>
  <si>
    <t>TAHUN PELAJARAN 2025 - 2026</t>
  </si>
  <si>
    <t xml:space="preserve">KELAS 8F </t>
  </si>
  <si>
    <t xml:space="preserve">  Madiun,        -     - 2025</t>
  </si>
  <si>
    <t>JUMLAH TOTAL KELAS 9</t>
  </si>
  <si>
    <t>KELAS 9F (TAHFIDZ)</t>
  </si>
  <si>
    <t>AJI CAHYO BAGAS SAPUTRO</t>
  </si>
  <si>
    <t>ALIF PUTRA SULISTYONO</t>
  </si>
  <si>
    <t>ALIFIA PUTRI AYUNISARI</t>
  </si>
  <si>
    <t>ANDREAS ADI TAMA</t>
  </si>
  <si>
    <t>ANISA AYU RAHMA</t>
  </si>
  <si>
    <t>AZZAHRA REGINA PUTRI EFENDI</t>
  </si>
  <si>
    <t>DEVA LUTVIA DAMAYANTI</t>
  </si>
  <si>
    <t>DIAH AYU SRIKANDI SEKARWANGI</t>
  </si>
  <si>
    <t>FACHRI NIZAM AL HAFIED</t>
  </si>
  <si>
    <t>IRFAN PERMANA</t>
  </si>
  <si>
    <t>LATHIFATUL KHAIRUNNISA</t>
  </si>
  <si>
    <t>MOHAMMAD NIZAM AL FIRDAUS</t>
  </si>
  <si>
    <t>MUHAMMAD DIFRI MUZHAFAR</t>
  </si>
  <si>
    <t>NAYZELA AL MIRARAMADHANI</t>
  </si>
  <si>
    <t>RADO WIJAYA</t>
  </si>
  <si>
    <t>REIFA ROSYITA AYUNINGTYAS</t>
  </si>
  <si>
    <t>REYHAN YOGA PRATAMA</t>
  </si>
  <si>
    <t>RIDHO NURALIF</t>
  </si>
  <si>
    <t>SITI MUNNAWAROH ASZAHRA</t>
  </si>
  <si>
    <t>TRI FUJI LESTARI</t>
  </si>
  <si>
    <t>VICKO RIZKIADY</t>
  </si>
  <si>
    <t>VIOLA INDRIANI</t>
  </si>
  <si>
    <t>WAHYU DWI KUNCORO</t>
  </si>
  <si>
    <t>YOSI FIRMANSYAH</t>
  </si>
  <si>
    <t>YUDHA BINTANG SUTRISNA</t>
  </si>
  <si>
    <t>AISYAH AMBARWATI</t>
  </si>
  <si>
    <t>ARLING MEICHINTYA</t>
  </si>
  <si>
    <t>ARYA PRATAMA DARMAWAN</t>
  </si>
  <si>
    <t>AZIZA NUR IMAMAH</t>
  </si>
  <si>
    <t>BAGUS CANDRA PUJI HARIANTO</t>
  </si>
  <si>
    <t>BHISMA BAYUAJI</t>
  </si>
  <si>
    <t>CHERYLIA ZEA MARSYA</t>
  </si>
  <si>
    <t>DZAKY MAULANA ALFAREZA ARDIANTO</t>
  </si>
  <si>
    <t>FARREL EGAN FATIHUL IHSAN</t>
  </si>
  <si>
    <t>FEBRYAN EKA PRATAMA</t>
  </si>
  <si>
    <t>KEYRA GOLDIANINGRUM</t>
  </si>
  <si>
    <t>KIANA AYUNDA FATIKAH</t>
  </si>
  <si>
    <t>LALA INDAH MAYDANISSA</t>
  </si>
  <si>
    <t>MARCELO ANUGRAH PRATAMA</t>
  </si>
  <si>
    <t>MARISSA NUR FADILLAH</t>
  </si>
  <si>
    <t>MOVIT FEBRIAN ARDA NURDIANSYAH</t>
  </si>
  <si>
    <t>MUHAMMAD GILANG</t>
  </si>
  <si>
    <t>MUHAMMAD ZAINUL ARIFIN</t>
  </si>
  <si>
    <t>NAFISAH WINDA MAHARANI</t>
  </si>
  <si>
    <t>NINDITA WIDYA KUSUMANINGTYAS</t>
  </si>
  <si>
    <t>RANGGA NATA SEPTIAN</t>
  </si>
  <si>
    <t>RANGGAARDIANSYAH</t>
  </si>
  <si>
    <t>RESGITA AYU AMELIA</t>
  </si>
  <si>
    <t>RIZAL NUR APRILIO</t>
  </si>
  <si>
    <t>SHAFIRA AZWA AURELLIN</t>
  </si>
  <si>
    <t>WIJAYA NUR ALMUGHNI</t>
  </si>
  <si>
    <t>ZAHDAN SULTHANI MUFLIH</t>
  </si>
  <si>
    <t>AHMAD RIFAI</t>
  </si>
  <si>
    <t>ALI FATHUR ROHMAN</t>
  </si>
  <si>
    <t>AQILAH SALMA IZALIA AMIROH</t>
  </si>
  <si>
    <t>ARIEL ROHMAN PRASETYA</t>
  </si>
  <si>
    <t>CHANTICKA AINAYYA NUR FHARISTA</t>
  </si>
  <si>
    <t>DEVIN ARTAFIANO FERNANDA</t>
  </si>
  <si>
    <t>DIVA ATRISA NUR ASSAJDAH</t>
  </si>
  <si>
    <t>IMA CHILVIANA</t>
  </si>
  <si>
    <t>LATIFAH ZAHRATUN NISA</t>
  </si>
  <si>
    <t>MUHAMAD KHOIRUL RIFA'I</t>
  </si>
  <si>
    <t>MUHAMMAD ALWI BASTIAN</t>
  </si>
  <si>
    <t>MUHAMMAD FATAN RAMADHAN</t>
  </si>
  <si>
    <t>MUHAMMAD IRSYAD AL' IBBAD</t>
  </si>
  <si>
    <t>MUHAMMAD RIDWAN</t>
  </si>
  <si>
    <t>MUHHAMMAD IDRIS HILMY MUJTABA</t>
  </si>
  <si>
    <t>NADHIF ABIYU MIRZA</t>
  </si>
  <si>
    <t>NAJWA APRILIA NURAINI</t>
  </si>
  <si>
    <t>NAUFAL VIGO DANISWARA</t>
  </si>
  <si>
    <t>NURAINI LIDYA PUTRI</t>
  </si>
  <si>
    <t>QUEENA CHONINDYA DIMENTARI</t>
  </si>
  <si>
    <t>RAFA CANDRA APRILIO</t>
  </si>
  <si>
    <t>RISYAN DWI NUGROHO</t>
  </si>
  <si>
    <t>SYAFIRA ANGGUN PUSPARANI</t>
  </si>
  <si>
    <t>SYAILENDRA ILHAM AMIRULLOH</t>
  </si>
  <si>
    <t>SYLVIA WIDYA NATASYA</t>
  </si>
  <si>
    <t>ZAHIRA SASMORO BENING</t>
  </si>
  <si>
    <t>ZAIDAN FAHRIZA PUTRA</t>
  </si>
  <si>
    <t>ZASKYA SYABILA AZZAHRA</t>
  </si>
  <si>
    <t>ABYAN AHNAF A-ISY</t>
  </si>
  <si>
    <t>ADITYA FAIZANIQ</t>
  </si>
  <si>
    <t>ARSYADAH JARASWOYO</t>
  </si>
  <si>
    <t>ARTHANIA AZZAHRA RAMADHANI</t>
  </si>
  <si>
    <t>BAGUS AKBAR SAPUTRA</t>
  </si>
  <si>
    <t>BINTANG NOVAN ERLANGGA</t>
  </si>
  <si>
    <t>DAIVA FIKRI AHMADI</t>
  </si>
  <si>
    <t>DENIS RENDRA PINARTA</t>
  </si>
  <si>
    <t>FADIA LUVENIA YODA</t>
  </si>
  <si>
    <t>ILHAM HANDOYO</t>
  </si>
  <si>
    <t>INTAN ANDITA PUTRI</t>
  </si>
  <si>
    <t>IVANDER EGA RENJIRO</t>
  </si>
  <si>
    <t>KELVIN PRASETYO</t>
  </si>
  <si>
    <t>KEYSHAFARA ZAMIRANAFA</t>
  </si>
  <si>
    <t>LUTFI BIMANTORO</t>
  </si>
  <si>
    <t>MICHELE YONGKAN NOVITA</t>
  </si>
  <si>
    <t>MOHAMMAD RAIS FIRZHANI</t>
  </si>
  <si>
    <t>MUHAMMAD IQBAL SANTOSO</t>
  </si>
  <si>
    <t>NAJWA LAILA MIFTAHUL NAIM</t>
  </si>
  <si>
    <t>NI MADE SALWA KELINA CANDRA DEWI</t>
  </si>
  <si>
    <t>NOVIA PUTRI ASTUTI</t>
  </si>
  <si>
    <t>RICO MAULANA FAIR</t>
  </si>
  <si>
    <t>RIZKI AFFAN FAUZI</t>
  </si>
  <si>
    <t>SALSABILA RIDWANA DESTIANI</t>
  </si>
  <si>
    <t>SOFIAN ADI PRATAMA</t>
  </si>
  <si>
    <t>ZASKYA KRISTIANA PUTRI</t>
  </si>
  <si>
    <t>ZHOLDANY ALONG PERMANA</t>
  </si>
  <si>
    <t>ABID NELSON WIDHIANTO</t>
  </si>
  <si>
    <t>ALYA PUTRI RAMADHANI</t>
  </si>
  <si>
    <t>ANGGA SAPUTRA</t>
  </si>
  <si>
    <t>ARJUNA FARDHAN ERWINSYAH PUTRA</t>
  </si>
  <si>
    <t>ARLAN NUGI PRATAMA</t>
  </si>
  <si>
    <t>ATIQA QIARA AYU NATASYA</t>
  </si>
  <si>
    <t>AURA LUTFAH HANSEVA</t>
  </si>
  <si>
    <t>AZKA PAMUNGKAS</t>
  </si>
  <si>
    <t>ELYSIA PUTRI CANTIKA</t>
  </si>
  <si>
    <t>ERLANGGA AKBAR ABIYASA</t>
  </si>
  <si>
    <t>FADHIL IBNU PRATAMA</t>
  </si>
  <si>
    <t>FAREL ADYASTHA PUTRA</t>
  </si>
  <si>
    <t>FIKO NADI MANGGALA PUTRA</t>
  </si>
  <si>
    <t>HANIF SANDI PRANAJA</t>
  </si>
  <si>
    <t>IBRAHIM SATRIO KUSUMA</t>
  </si>
  <si>
    <t>LATIFFAH HUSNA BATRISYA</t>
  </si>
  <si>
    <t>MOHAMMAD FEBRIO AINUR HASAN</t>
  </si>
  <si>
    <t>MUHAMAD RIZKI ARIYANTO</t>
  </si>
  <si>
    <t>MUHAMMAD FAUZAN AL AZIZ</t>
  </si>
  <si>
    <t>MUHAMMAD HILMI NAFIS</t>
  </si>
  <si>
    <t>MUHAMMAD WISNU DWI WICAKSONO</t>
  </si>
  <si>
    <t>MUTIARA ANNISA</t>
  </si>
  <si>
    <t>NABILA ASYIFA PUTRI</t>
  </si>
  <si>
    <t>RYAN PRATAMA</t>
  </si>
  <si>
    <t>SALMA AZALIA SANTOSO</t>
  </si>
  <si>
    <t>SELLY PUTRI RAMADHANI</t>
  </si>
  <si>
    <t>YAFIQ IAN AZKA ENDARSO</t>
  </si>
  <si>
    <t>ALKHAYLA ASYIFA AULIA RIZMA</t>
  </si>
  <si>
    <t>ANILA PRILIA SALAM AZ ZAHRA</t>
  </si>
  <si>
    <t>ARYA SATYA AQLANNABIL CHOFIQI</t>
  </si>
  <si>
    <t>ATSNA AULIYA MAGFIROH</t>
  </si>
  <si>
    <t>AZZAM BAIHAQI GHUFRON</t>
  </si>
  <si>
    <t>CHARLISTA AGNI SALVA NAURALDA</t>
  </si>
  <si>
    <t>FADILA HUSNA AGUSTIN</t>
  </si>
  <si>
    <t>FATHAN VIRENDRA AZKA</t>
  </si>
  <si>
    <t>HAPPY BERLIAN</t>
  </si>
  <si>
    <t>KHALID RIZKI ALIFIANSYAH</t>
  </si>
  <si>
    <t>MEIDINA ZALIKA DERREN</t>
  </si>
  <si>
    <t>MUHAMMAD KEENAND PRIMIANTO</t>
  </si>
  <si>
    <t>MUHAMMAD NUR FAIZA</t>
  </si>
  <si>
    <t>MUHAMMAD UKASYAH AL FAQIH</t>
  </si>
  <si>
    <t>NABIL ABIYU MIRZA</t>
  </si>
  <si>
    <t>NARENDRA ABIDZAR RAMADHAN</t>
  </si>
  <si>
    <t>NASWA AFIKHA ZAHRA</t>
  </si>
  <si>
    <t>NAYLA AQILA NUR SYAIRA</t>
  </si>
  <si>
    <t>OKTAVIA PUTRI</t>
  </si>
  <si>
    <t>RAFI ABDUL LATIF</t>
  </si>
  <si>
    <t>REISYA NUR AQILLA</t>
  </si>
  <si>
    <t>SANIYA CITRA OKTAVIANI</t>
  </si>
  <si>
    <t>SHIFA MAHARANI</t>
  </si>
  <si>
    <t>YANUAR PRADANA SAPUTRA</t>
  </si>
  <si>
    <t>ADILA KURNIA NISYWAH</t>
  </si>
  <si>
    <t>ALFAN NUR FADILLAH</t>
  </si>
  <si>
    <t>ALFAT RIZQI FIRMANSYAH</t>
  </si>
  <si>
    <t>ALWI ABDULLAH</t>
  </si>
  <si>
    <t>ANNISA DIVYA ATIFAH</t>
  </si>
  <si>
    <t>ARDHI MAULANA IBRAHIM</t>
  </si>
  <si>
    <t>AZKADINA QURROTA AYUN</t>
  </si>
  <si>
    <t>AZZAHRA RINGGAYANI</t>
  </si>
  <si>
    <t>CINTA SUCI ANUGRAH QUMAWATI</t>
  </si>
  <si>
    <t>FABIAN RAMADHAN</t>
  </si>
  <si>
    <t>FARID ALDY PUTRA</t>
  </si>
  <si>
    <t>HAFIZA LIYANA ZAHIRA</t>
  </si>
  <si>
    <t>NURUL LATIFA</t>
  </si>
  <si>
    <t>OKTAVIA RISKI NOR ANGGREINI</t>
  </si>
  <si>
    <t>RAFFA ARDIANNATA HARTONO</t>
  </si>
  <si>
    <t>RIUH KABISAT</t>
  </si>
  <si>
    <t>RIZQULLAH AKHTAR GHAISAN</t>
  </si>
  <si>
    <t>SALSABILA AYU HANIFA</t>
  </si>
  <si>
    <t>SINTA RODYAYU BASTARI</t>
  </si>
  <si>
    <t>VERONNA DEYCKO</t>
  </si>
  <si>
    <t xml:space="preserve">KELAS </t>
  </si>
  <si>
    <t>MUHAMMAD RIZAL FERDIANSYAH</t>
  </si>
  <si>
    <t>SYELVIA NOVITA SARI</t>
  </si>
  <si>
    <t>LAKI</t>
  </si>
  <si>
    <t>PER</t>
  </si>
  <si>
    <t>JMLH</t>
  </si>
  <si>
    <t>FADIL FADALLOH</t>
  </si>
  <si>
    <t>AIDIN AFIF FATKHURROHMAN</t>
  </si>
  <si>
    <t>ARLYN KIENANDHITA TRYASWARI</t>
  </si>
  <si>
    <t>121135190007250005</t>
  </si>
  <si>
    <t>121135190007250006</t>
  </si>
  <si>
    <t>121135190007250007</t>
  </si>
  <si>
    <t>121135190007250008</t>
  </si>
  <si>
    <t>121135190007250009</t>
  </si>
  <si>
    <t>121135190007250010</t>
  </si>
  <si>
    <t>121135190007250011</t>
  </si>
  <si>
    <t>121135190007250012</t>
  </si>
  <si>
    <t>121135190007250013</t>
  </si>
  <si>
    <t>121135190007250014</t>
  </si>
  <si>
    <t>121135190007250015</t>
  </si>
  <si>
    <t>121135190007250016</t>
  </si>
  <si>
    <t>121135190007250017</t>
  </si>
  <si>
    <t>121135190007250018</t>
  </si>
  <si>
    <t>121135190007250019</t>
  </si>
  <si>
    <t>121135190007250020</t>
  </si>
  <si>
    <t>121135190007250021</t>
  </si>
  <si>
    <t>121135190007250022</t>
  </si>
  <si>
    <t>121135190007250023</t>
  </si>
  <si>
    <t>121135190007250024</t>
  </si>
  <si>
    <t>121135190007250025</t>
  </si>
  <si>
    <t>121135190007250026</t>
  </si>
  <si>
    <t>121135190007250027</t>
  </si>
  <si>
    <t>121135190007250028</t>
  </si>
  <si>
    <t>121135190007250029</t>
  </si>
  <si>
    <t>121135190007250030</t>
  </si>
  <si>
    <t>121135190007250031</t>
  </si>
  <si>
    <t>121135190007250032</t>
  </si>
  <si>
    <t>121135190007250033</t>
  </si>
  <si>
    <t>121135190007250034</t>
  </si>
  <si>
    <t>121135190007250035</t>
  </si>
  <si>
    <t>121135190007250036</t>
  </si>
  <si>
    <t>121135190007250037</t>
  </si>
  <si>
    <t>121135190007250038</t>
  </si>
  <si>
    <t>121135190007250039</t>
  </si>
  <si>
    <t>121135190007250040</t>
  </si>
  <si>
    <t>121135190007250041</t>
  </si>
  <si>
    <t>121135190007250042</t>
  </si>
  <si>
    <t>121135190007250043</t>
  </si>
  <si>
    <t>121135190007250044</t>
  </si>
  <si>
    <t>121135190007250045</t>
  </si>
  <si>
    <t>121135190007250046</t>
  </si>
  <si>
    <t>121135190007250047</t>
  </si>
  <si>
    <t>121135190007250048</t>
  </si>
  <si>
    <t>121135190007250049</t>
  </si>
  <si>
    <t>121135190007250050</t>
  </si>
  <si>
    <t>121135190007250051</t>
  </si>
  <si>
    <t>121135190007250052</t>
  </si>
  <si>
    <t>121135190007250053</t>
  </si>
  <si>
    <t>121135190007250054</t>
  </si>
  <si>
    <t>121135190007250055</t>
  </si>
  <si>
    <t>121135190007250056</t>
  </si>
  <si>
    <t>121135190007250057</t>
  </si>
  <si>
    <t>121135190007250058</t>
  </si>
  <si>
    <t>121135190007250059</t>
  </si>
  <si>
    <t>121135190007250060</t>
  </si>
  <si>
    <t>121135190007250061</t>
  </si>
  <si>
    <t>121135190007250062</t>
  </si>
  <si>
    <t>121135190007250063</t>
  </si>
  <si>
    <t>121135190007250064</t>
  </si>
  <si>
    <t>121135190007250065</t>
  </si>
  <si>
    <t>121135190007250066</t>
  </si>
  <si>
    <t>121135190007250067</t>
  </si>
  <si>
    <t>121135190007250068</t>
  </si>
  <si>
    <t>121135190007250069</t>
  </si>
  <si>
    <t>121135190007250070</t>
  </si>
  <si>
    <t>121135190007250071</t>
  </si>
  <si>
    <t>121135190007250072</t>
  </si>
  <si>
    <t>121135190007250073</t>
  </si>
  <si>
    <t>121135190007250074</t>
  </si>
  <si>
    <t>121135190007250075</t>
  </si>
  <si>
    <t>121135190007250076</t>
  </si>
  <si>
    <t>121135190007250077</t>
  </si>
  <si>
    <t>121135190007250078</t>
  </si>
  <si>
    <t>121135190007250079</t>
  </si>
  <si>
    <t>121135190007250080</t>
  </si>
  <si>
    <t>121135190007250081</t>
  </si>
  <si>
    <t>121135190007250082</t>
  </si>
  <si>
    <t>121135190007250083</t>
  </si>
  <si>
    <t>121135190007250085</t>
  </si>
  <si>
    <t>121135190007250086</t>
  </si>
  <si>
    <t>121135190007250087</t>
  </si>
  <si>
    <t>121135190007250088</t>
  </si>
  <si>
    <t>121135190007250089</t>
  </si>
  <si>
    <t>121135190007250090</t>
  </si>
  <si>
    <t>121135190007250091</t>
  </si>
  <si>
    <t>121135190007250092</t>
  </si>
  <si>
    <t>121135190007250093</t>
  </si>
  <si>
    <t>121135190007250094</t>
  </si>
  <si>
    <t>121135190007250095</t>
  </si>
  <si>
    <t>121135190007250096</t>
  </si>
  <si>
    <t>121135190007250097</t>
  </si>
  <si>
    <t>121135190007250098</t>
  </si>
  <si>
    <t>121135190007250099</t>
  </si>
  <si>
    <t>121135190007250100</t>
  </si>
  <si>
    <t>121135190007250101</t>
  </si>
  <si>
    <t>121135190007250102</t>
  </si>
  <si>
    <t>121135190007250103</t>
  </si>
  <si>
    <t>121135190007250104</t>
  </si>
  <si>
    <t>121135190007250105</t>
  </si>
  <si>
    <t>121135190007250106</t>
  </si>
  <si>
    <t>121135190007250107</t>
  </si>
  <si>
    <t>121135190007250108</t>
  </si>
  <si>
    <t>121135190007250109</t>
  </si>
  <si>
    <t>121135190007250110</t>
  </si>
  <si>
    <t>121135190007250111</t>
  </si>
  <si>
    <t>121135190007250112</t>
  </si>
  <si>
    <t>121135190007250113</t>
  </si>
  <si>
    <t>121135190007250114</t>
  </si>
  <si>
    <t>121135190007250115</t>
  </si>
  <si>
    <t>121135190007250116</t>
  </si>
  <si>
    <t>121135190007250117</t>
  </si>
  <si>
    <t>121135190007250118</t>
  </si>
  <si>
    <t>121135190007250119</t>
  </si>
  <si>
    <t>121135190007250120</t>
  </si>
  <si>
    <t>121135190007250121</t>
  </si>
  <si>
    <t>121135190007250122</t>
  </si>
  <si>
    <t>121135190007250123</t>
  </si>
  <si>
    <t>121135190007250124</t>
  </si>
  <si>
    <t>121135190007250125</t>
  </si>
  <si>
    <t>121135190007250127</t>
  </si>
  <si>
    <t>121135190007250128</t>
  </si>
  <si>
    <t>121135190007250129</t>
  </si>
  <si>
    <t>121135190007250130</t>
  </si>
  <si>
    <t>121135190007250131</t>
  </si>
  <si>
    <t>121135190007250132</t>
  </si>
  <si>
    <t>121135190007250133</t>
  </si>
  <si>
    <t>121135190007250134</t>
  </si>
  <si>
    <t>121135190007250135</t>
  </si>
  <si>
    <t>121135190007250136</t>
  </si>
  <si>
    <t>121135190007250137</t>
  </si>
  <si>
    <t>121135190007250138</t>
  </si>
  <si>
    <t>121135190007250139</t>
  </si>
  <si>
    <t>121135190007250140</t>
  </si>
  <si>
    <t>121135190007250141</t>
  </si>
  <si>
    <t>121135190007250142</t>
  </si>
  <si>
    <t>121135190007250143</t>
  </si>
  <si>
    <t>121135190007250144</t>
  </si>
  <si>
    <t>121135190007250145</t>
  </si>
  <si>
    <t>121135190007250146</t>
  </si>
  <si>
    <t>121135190007250147</t>
  </si>
  <si>
    <t>121135190007250148</t>
  </si>
  <si>
    <t>121135190007250149</t>
  </si>
  <si>
    <t>121135190007250150</t>
  </si>
  <si>
    <t>121135190007250151</t>
  </si>
  <si>
    <t>121135190007250152</t>
  </si>
  <si>
    <t>121135190007250153</t>
  </si>
  <si>
    <t>121135190007250154</t>
  </si>
  <si>
    <t>121135190007250155</t>
  </si>
  <si>
    <t>121135190007250156</t>
  </si>
  <si>
    <t>121135190007250157</t>
  </si>
  <si>
    <t>121135190007250158</t>
  </si>
  <si>
    <t>121135190007250159</t>
  </si>
  <si>
    <t>121135190007250160</t>
  </si>
  <si>
    <t>121135190007250161</t>
  </si>
  <si>
    <t>121135190007250162</t>
  </si>
  <si>
    <t>121135190007250163</t>
  </si>
  <si>
    <t>121135190007250164</t>
  </si>
  <si>
    <t>121135190007250165</t>
  </si>
  <si>
    <t>121135190007250166</t>
  </si>
  <si>
    <t>121135190007250167</t>
  </si>
  <si>
    <t>121135190007250168</t>
  </si>
  <si>
    <t>121135190007250169</t>
  </si>
  <si>
    <t>121135190007250170</t>
  </si>
  <si>
    <t>121135190007250171</t>
  </si>
  <si>
    <t>121135190007250172</t>
  </si>
  <si>
    <t>121135190007250173</t>
  </si>
  <si>
    <t>121135190007250174</t>
  </si>
  <si>
    <t>121135190007250175</t>
  </si>
  <si>
    <t>121135190007250176</t>
  </si>
  <si>
    <t>121135190007250177</t>
  </si>
  <si>
    <t>121135190007250178</t>
  </si>
  <si>
    <t>121135190007250179</t>
  </si>
  <si>
    <t>121135190007250180</t>
  </si>
  <si>
    <t>121135190007250181</t>
  </si>
  <si>
    <t>121135190007250182</t>
  </si>
  <si>
    <t>121135190007250183</t>
  </si>
  <si>
    <t>121135190007250184</t>
  </si>
  <si>
    <t>121135190007250185</t>
  </si>
  <si>
    <t>121135190007250186</t>
  </si>
  <si>
    <t>121135190007250187</t>
  </si>
  <si>
    <t>121135190007250188</t>
  </si>
  <si>
    <t>121135190007250189</t>
  </si>
  <si>
    <t>MUHAMMAD FAIQ FAUZAN</t>
  </si>
  <si>
    <t>Shelvia Septa Putri Oktavia</t>
  </si>
  <si>
    <t>121135190007250002</t>
  </si>
  <si>
    <t>121135190007250003</t>
  </si>
  <si>
    <t>121135190007250190</t>
  </si>
  <si>
    <t>121135190007250004</t>
  </si>
  <si>
    <t>121135190007250191</t>
  </si>
  <si>
    <t>ILVYRA QAMIDYA RAMADHANI</t>
  </si>
  <si>
    <t>JULIAN RAHMAD</t>
  </si>
  <si>
    <t>IVON ABID GHAISAN TSAQIIF</t>
  </si>
  <si>
    <t>MUHAMAD HAVI YUDHA PRATAMA</t>
  </si>
  <si>
    <t>121135190007260001</t>
  </si>
  <si>
    <t>VISKHA CAHYA WULAN</t>
  </si>
  <si>
    <t>Farah Hanum Muzdalifa Putri</t>
  </si>
  <si>
    <t>121135190007260006</t>
  </si>
  <si>
    <t>121135190007260005</t>
  </si>
  <si>
    <t>121135190007260002</t>
  </si>
  <si>
    <t>121135190007260003</t>
  </si>
  <si>
    <t>121135190007260004</t>
  </si>
  <si>
    <t>121135190007260007</t>
  </si>
  <si>
    <t>ZIBRAN RAFA MAULANA</t>
  </si>
  <si>
    <t>ALEXA GLADIS SHIFHAUL UMMA</t>
  </si>
  <si>
    <t>121135190007260008</t>
  </si>
  <si>
    <t>MUHAMMAD HABIBI AUFAROHMAN</t>
  </si>
  <si>
    <t>121135190007260009</t>
  </si>
  <si>
    <t>TAHUN PELAJARAN 2026 - 2027</t>
  </si>
  <si>
    <t xml:space="preserve">  Madiun,        -     - 2026</t>
  </si>
  <si>
    <t>Madiun,        -     - 2026</t>
  </si>
  <si>
    <t xml:space="preserve">KELAS 8G </t>
  </si>
  <si>
    <t xml:space="preserve">  _______________________</t>
  </si>
  <si>
    <t xml:space="preserve">KELAS 9F </t>
  </si>
  <si>
    <t>KELAS 9G (TAHFIDZ)</t>
  </si>
  <si>
    <t xml:space="preserve">                              _______________________</t>
  </si>
  <si>
    <t>KELAS 7A</t>
  </si>
  <si>
    <t>KELAS 7B</t>
  </si>
  <si>
    <t>KELAS 7C</t>
  </si>
  <si>
    <t>KELAS 7D</t>
  </si>
  <si>
    <t>KELAS 7E</t>
  </si>
  <si>
    <t xml:space="preserve">KELAS 7F </t>
  </si>
  <si>
    <t xml:space="preserve">KELAS 7G </t>
  </si>
  <si>
    <t>ABIRAH AZZAHRA NUR RASYIDDAH</t>
  </si>
  <si>
    <t>AINA ASH ZAHRA</t>
  </si>
  <si>
    <t>ALBI SEPTIAN MAHENDRA</t>
  </si>
  <si>
    <t>ALIFA AULIA</t>
  </si>
  <si>
    <t>ALMAYRA MARSYAFIN</t>
  </si>
  <si>
    <t xml:space="preserve">ALYA DWI AGUSTINA </t>
  </si>
  <si>
    <t>ANABEL SURYADEKA PUAN MAHARANI</t>
  </si>
  <si>
    <t>ARZILYA NOVRIDHA</t>
  </si>
  <si>
    <t>BINTANG MESYA M</t>
  </si>
  <si>
    <t>DANAS ARISTA CITRAGAMI</t>
  </si>
  <si>
    <t>DARU SYARIF WARIDIN</t>
  </si>
  <si>
    <t>DIPA DWI RAHMANDANI</t>
  </si>
  <si>
    <t>DIYAURRIZKY PRATAMA</t>
  </si>
  <si>
    <t>FANIA LAVENIA</t>
  </si>
  <si>
    <t>FATUR ROHMAN</t>
  </si>
  <si>
    <t>GIBRAN NAUVAL PUTRA ALVARO</t>
  </si>
  <si>
    <t>HANIF ABGARY ARYA DIKEEN</t>
  </si>
  <si>
    <t xml:space="preserve">IRSYAD RIFQI RAMADHANI </t>
  </si>
  <si>
    <t>JUSTIN ALVINO</t>
  </si>
  <si>
    <t>KHAYLA MARSYA NUR HARIFAH</t>
  </si>
  <si>
    <t>MUHAMMAD ABDUL ROFF'I</t>
  </si>
  <si>
    <t>NENG RATU NAURA</t>
  </si>
  <si>
    <t>NIZAM ZAKY UTOMO</t>
  </si>
  <si>
    <t>RAGIL PUTRI SULIS STIYO WATI</t>
  </si>
  <si>
    <t>RENGGA SUJATMIKO</t>
  </si>
  <si>
    <t>SYAFA NURIA PUTRI</t>
  </si>
  <si>
    <t>YOGA PUTRA SADEWA</t>
  </si>
  <si>
    <t>AKHTAR RAUSAN FIKRI NUR SEPTIAN</t>
  </si>
  <si>
    <t xml:space="preserve">ANDIKA PANDA WIJAYA </t>
  </si>
  <si>
    <t>ARDHIANSYAH DAVID SAPUTRA</t>
  </si>
  <si>
    <t>ARREGA SATYA PUTRA MAHESWARA</t>
  </si>
  <si>
    <t>BRYAN ARDIANSYAH</t>
  </si>
  <si>
    <t xml:space="preserve">CITRA DWI JUANITA FITRIANI </t>
  </si>
  <si>
    <t>DEVANDRA FRISQY YORHAN PRADIPTA</t>
  </si>
  <si>
    <t>DHAFIN KHALFIANDRA WAHYUDI</t>
  </si>
  <si>
    <t>FA'IZAH ASHMA'NUR KAMILAH</t>
  </si>
  <si>
    <t xml:space="preserve">GAVIN NAUFAL DARY ABIYYU </t>
  </si>
  <si>
    <t>JOREL JECHOLIAN SOFYAN</t>
  </si>
  <si>
    <t>LUTFIA ZAHRA TALITA</t>
  </si>
  <si>
    <t>MEYUZA NABILA SYAIFULLAH</t>
  </si>
  <si>
    <t>MUHAMAD KRISNA AL MUZAMIL AKBAR</t>
  </si>
  <si>
    <t>MUHAMMAD DAFFA</t>
  </si>
  <si>
    <t>MUHAMMAD IQBAL MUNA</t>
  </si>
  <si>
    <t>MUHAMMAD ZIDAN AL FARIZY</t>
  </si>
  <si>
    <t>NATASYA AULIA YASMIN</t>
  </si>
  <si>
    <t>NATASYA RIZKI AMALIA</t>
  </si>
  <si>
    <t xml:space="preserve">NIZAM ARSYAD IBRAHIM </t>
  </si>
  <si>
    <t>RISKY PUTRA CAHYO</t>
  </si>
  <si>
    <t xml:space="preserve">SALSABILA OKTAVIANA </t>
  </si>
  <si>
    <t>ZAHROTUR RIYADLILBADI'AH</t>
  </si>
  <si>
    <t xml:space="preserve">ALHUDAN YULIANDRA UTOMO </t>
  </si>
  <si>
    <t>ALIIM RIZKY KRISETYAWAN</t>
  </si>
  <si>
    <t>ANDI ELANG SAMODRA</t>
  </si>
  <si>
    <t>AQILLA ANGGRAINI</t>
  </si>
  <si>
    <t>DAVIN NIZAR PRAWIRA</t>
  </si>
  <si>
    <t>DEVINA RAHMA</t>
  </si>
  <si>
    <t>DHEALOVA MEILLA FITRYANITA</t>
  </si>
  <si>
    <t>FARENDRA ARKANA RASENDRYA</t>
  </si>
  <si>
    <t>HAFIZ PUTRA NUR FAIZAL</t>
  </si>
  <si>
    <t>HAZNA AISYAFA ALINDIANI</t>
  </si>
  <si>
    <t>IRAWAN AHMAD M</t>
  </si>
  <si>
    <t>KHALISA SALFANA PUTRI</t>
  </si>
  <si>
    <t>LANA FADHIL TSAQIF</t>
  </si>
  <si>
    <t>MOHAMMAD NUR RISQI</t>
  </si>
  <si>
    <t xml:space="preserve">MUHAMMAD ALDRI SAPUTRA HUSODO </t>
  </si>
  <si>
    <t>MUHAMMAD UMAR AL FATIH</t>
  </si>
  <si>
    <t>NADILA ARINDI PUTRI</t>
  </si>
  <si>
    <t xml:space="preserve">NADINE AURELIA AZZAHRA </t>
  </si>
  <si>
    <t>NAIRA PUTRI MAHENDRA</t>
  </si>
  <si>
    <t>NAUFAL ROFIF ABQORI</t>
  </si>
  <si>
    <t>PURI WIJAYA</t>
  </si>
  <si>
    <t>RIFAI RIZKI SAIFUDIN</t>
  </si>
  <si>
    <t>SEPTIANDI ARGA PRADANA</t>
  </si>
  <si>
    <t>SHINTIYA DWI PUTRI</t>
  </si>
  <si>
    <t>AISYAH AZZAHRAH</t>
  </si>
  <si>
    <t>ALIFAH FELA TRI WAHYUNI</t>
  </si>
  <si>
    <t>ALVIAN DEVAN</t>
  </si>
  <si>
    <t>ANDRA SATYA RADHITYA</t>
  </si>
  <si>
    <t>ANINDIKA MUTIARANI</t>
  </si>
  <si>
    <t>AZKA SATRIA PAMUNGKAS</t>
  </si>
  <si>
    <t>AZZAHRA OCTAVIA PUTRI</t>
  </si>
  <si>
    <t xml:space="preserve">BINTANG PUTRANTO </t>
  </si>
  <si>
    <t>FAISYAL IMAMUL HAKIM SANTOSO</t>
  </si>
  <si>
    <t>FAJAR MAULANA</t>
  </si>
  <si>
    <t>FIFTY BEATY KS</t>
  </si>
  <si>
    <t xml:space="preserve">FUAT ARIYAN FIRMANSYAH </t>
  </si>
  <si>
    <t>HABIB MIFTAKHUL HANAFI</t>
  </si>
  <si>
    <t xml:space="preserve">HABIBI FADHIL ZAIDAN </t>
  </si>
  <si>
    <t>KALILA AZZUHROTI</t>
  </si>
  <si>
    <t>MUHAMAD ILHAM BASHORI</t>
  </si>
  <si>
    <t>PUTRI SALSABILA KHOIRI</t>
  </si>
  <si>
    <t>RAFIF ILYAS PURIWIBIAN</t>
  </si>
  <si>
    <t>REIHAN ADITYA WIJIANTO</t>
  </si>
  <si>
    <t>RESZA SURYA KUSUMA</t>
  </si>
  <si>
    <t xml:space="preserve">RIFAI ADI NUGRAHA </t>
  </si>
  <si>
    <t>SABITAH ZAHROTUL AMMALIYYAH</t>
  </si>
  <si>
    <t>SEPTIA VANESA RABBANI</t>
  </si>
  <si>
    <t>SITI KURIATUL KH</t>
  </si>
  <si>
    <t>VERREL MAYCHEILLO SATRIA NUGROHO</t>
  </si>
  <si>
    <t>WAHYU AJI</t>
  </si>
  <si>
    <t>ASSEGAF NURAUGUST RIZKY AULADDEFTYA</t>
  </si>
  <si>
    <t xml:space="preserve">AYATUSSIVA NURAINI </t>
  </si>
  <si>
    <t>AZANDA BRANDON SATRIO GIBRAN</t>
  </si>
  <si>
    <t>BAGUS PUTRA PAMUNGKAS</t>
  </si>
  <si>
    <t xml:space="preserve">CALLENSYA KINARA EL KARIMA HANDOKO </t>
  </si>
  <si>
    <t>DIVANI PUTRI NUR FADHILAH</t>
  </si>
  <si>
    <t>FARIS MAYZA WIDIANTO</t>
  </si>
  <si>
    <t>IRSYAD BELVA PUTRAWAN</t>
  </si>
  <si>
    <t xml:space="preserve">IZDIHARI ZAHIRA HASNA REVA </t>
  </si>
  <si>
    <t>KAYANA SYAILENDRA SETIAWAN</t>
  </si>
  <si>
    <t>KHENZO MAHARDIKA SEBASTIAN</t>
  </si>
  <si>
    <t>MUHAMMAD FARID MAULANA</t>
  </si>
  <si>
    <t>NABILA RIZQI RIHADATUL'AIS</t>
  </si>
  <si>
    <t>NELITHA DWI AGUSTIN</t>
  </si>
  <si>
    <t>NIRMA AHSANUL WAHIDAH</t>
  </si>
  <si>
    <t>PUTRI AURA ZAHRA</t>
  </si>
  <si>
    <t>SATRIA ALIF RAMADHANI</t>
  </si>
  <si>
    <t>YUDHA SAIFUL ANSHOR</t>
  </si>
  <si>
    <t>AFISYA ZAHWA</t>
  </si>
  <si>
    <t>AGNE CITRA LATIFA</t>
  </si>
  <si>
    <t>AHMAD AZKA ALFAHRESI</t>
  </si>
  <si>
    <t xml:space="preserve">AISYAH PURNAMA HARDIYANTI </t>
  </si>
  <si>
    <t>AISYAH QUROTU A</t>
  </si>
  <si>
    <t>AUFAR ILHAM SAPUTRA</t>
  </si>
  <si>
    <t>AZIZAH TAKIYYA SAKHI</t>
  </si>
  <si>
    <t>GRECYNDA ANATASYA ALGARETA</t>
  </si>
  <si>
    <t>ISCO AUFAR RAMDHANI</t>
  </si>
  <si>
    <t>JUWITA AYU OKTAVIASARI</t>
  </si>
  <si>
    <t>M. UMDADUDIN ABDILAH</t>
  </si>
  <si>
    <t>MAHIYA ZAHROTUSHIFA</t>
  </si>
  <si>
    <t>MUHAMAD ABDUL SYUKUR</t>
  </si>
  <si>
    <t>MUHAMMAD FAIZ FATKHUROHMAN</t>
  </si>
  <si>
    <t>NAILA JENIAR PRIANITA</t>
  </si>
  <si>
    <t>NUR ARIDHA SAHARI</t>
  </si>
  <si>
    <t>RIDHWAN KHOIRUL NIZAM</t>
  </si>
  <si>
    <t>TSANINDYA KRESNAWATI YUSUF</t>
  </si>
  <si>
    <t>ZAHWA FATHIYA</t>
  </si>
  <si>
    <t>ADZANI MAHARDIAN ISNAIN OKTAFIANTO</t>
  </si>
  <si>
    <t>ALFARISA PUTRI SALSABILA</t>
  </si>
  <si>
    <t>ALYA FAUZIA AZIZAH</t>
  </si>
  <si>
    <t>AQILA AZALEA SAFITRI</t>
  </si>
  <si>
    <t>AQILA NINDY HUMAIRA</t>
  </si>
  <si>
    <t>ARZIKY MAHARDIKA PRATAMA</t>
  </si>
  <si>
    <t>AULIA ZAHRA YUDISTI</t>
  </si>
  <si>
    <t>AZKA ZDAKIRWAN PUTRA</t>
  </si>
  <si>
    <t>DEWA PANDU CHANDRA KUSUMA</t>
  </si>
  <si>
    <t xml:space="preserve">HANASTA FELICIA SILAWATI </t>
  </si>
  <si>
    <t>JOVAN PUTRA DAMAR KENCONO</t>
  </si>
  <si>
    <t>KAMILA NUR NAFIAH</t>
  </si>
  <si>
    <t>KANIA DWI RAMADHANI</t>
  </si>
  <si>
    <t>KIRANA AYSHA SAKHI</t>
  </si>
  <si>
    <t>MEYLA JIHAN KIRANA</t>
  </si>
  <si>
    <t>MUHAMMAD NASHWAN ALMAS GHANI</t>
  </si>
  <si>
    <t>NAURA DZAKIYYA RAFIFATU RIFDA</t>
  </si>
  <si>
    <t xml:space="preserve">RIFQI AHMAD FADLURROHMAN </t>
  </si>
  <si>
    <t>SELVIANA SUKMA BEKTI MARSIDI NINGRUM</t>
  </si>
  <si>
    <t>UMUNADIVA SEPTIANA PUTRI</t>
  </si>
  <si>
    <t>VANESA VANIA</t>
  </si>
  <si>
    <t>Pindahan dari 8B</t>
  </si>
  <si>
    <t>Pindahan dari 8A</t>
  </si>
  <si>
    <t>FARRAZILA QUEENZEE NAFISYA</t>
  </si>
  <si>
    <t>TA. 2026-2027</t>
  </si>
  <si>
    <t>RAIHAN FAIIRUS NAUVAL</t>
  </si>
  <si>
    <t>ABRIZAM ADIEL MUSTAJAB RABBANI</t>
  </si>
  <si>
    <t>AHMAD FATHIR AZZAMI</t>
  </si>
  <si>
    <t>AIRA AULYA SHABRINA</t>
  </si>
  <si>
    <t>AJENG PRAMESTI RAMADHANI</t>
  </si>
  <si>
    <t>RESTU TALITA INAS AZZAKIYAH</t>
  </si>
  <si>
    <t>12113519000726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</si>
  <si>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</si>
  <si>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</si>
  <si>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</si>
  <si>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</si>
  <si>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</si>
  <si>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</si>
  <si>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</si>
  <si>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</si>
  <si>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</si>
  <si>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121135190007260010</t>
  </si>
  <si>
    <t>121135190007260011</t>
  </si>
  <si>
    <t>121135190007260012</t>
  </si>
  <si>
    <t>121135190007260013</t>
  </si>
  <si>
    <t>121135190007260014</t>
  </si>
  <si>
    <t>121135190007260015</t>
  </si>
  <si>
    <t>121135190007260016</t>
  </si>
  <si>
    <t>121135190007260017</t>
  </si>
  <si>
    <t>121135190007260018</t>
  </si>
  <si>
    <t>121135190007260019</t>
  </si>
  <si>
    <t>121135190007260020</t>
  </si>
  <si>
    <t>121135190007260021</t>
  </si>
  <si>
    <t>121135190007260022</t>
  </si>
  <si>
    <t>121135190007260023</t>
  </si>
  <si>
    <t>121135190007260024</t>
  </si>
  <si>
    <t>121135190007260025</t>
  </si>
  <si>
    <t>121135190007260026</t>
  </si>
  <si>
    <t>121135190007260027</t>
  </si>
  <si>
    <t>121135190007260028</t>
  </si>
  <si>
    <t>121135190007260029</t>
  </si>
  <si>
    <t>121135190007260030</t>
  </si>
  <si>
    <t>121135190007260031</t>
  </si>
  <si>
    <t>121135190007260032</t>
  </si>
  <si>
    <t>121135190007260033</t>
  </si>
  <si>
    <t>121135190007260034</t>
  </si>
  <si>
    <t>121135190007260035</t>
  </si>
  <si>
    <t>121135190007260036</t>
  </si>
  <si>
    <t>121135190007260037</t>
  </si>
  <si>
    <t>121135190007260038</t>
  </si>
  <si>
    <t>121135190007260039</t>
  </si>
  <si>
    <t>121135190007260040</t>
  </si>
  <si>
    <t>121135190007260041</t>
  </si>
  <si>
    <t>121135190007260042</t>
  </si>
  <si>
    <t>121135190007260043</t>
  </si>
  <si>
    <t>121135190007260044</t>
  </si>
  <si>
    <t>121135190007260045</t>
  </si>
  <si>
    <t>121135190007260046</t>
  </si>
  <si>
    <t>121135190007260047</t>
  </si>
  <si>
    <t>121135190007260048</t>
  </si>
  <si>
    <t>121135190007260049</t>
  </si>
  <si>
    <t>121135190007260050</t>
  </si>
  <si>
    <t>121135190007260051</t>
  </si>
  <si>
    <t>121135190007260052</t>
  </si>
  <si>
    <t>121135190007260053</t>
  </si>
  <si>
    <t>121135190007260054</t>
  </si>
  <si>
    <t>121135190007260055</t>
  </si>
  <si>
    <t>121135190007260056</t>
  </si>
  <si>
    <t>121135190007260057</t>
  </si>
  <si>
    <t>121135190007260058</t>
  </si>
  <si>
    <t>121135190007260059</t>
  </si>
  <si>
    <t>121135190007260060</t>
  </si>
  <si>
    <t>121135190007260061</t>
  </si>
  <si>
    <t>121135190007260062</t>
  </si>
  <si>
    <t>121135190007260063</t>
  </si>
  <si>
    <t>121135190007260064</t>
  </si>
  <si>
    <t>121135190007260065</t>
  </si>
  <si>
    <t>121135190007260066</t>
  </si>
  <si>
    <t>121135190007260067</t>
  </si>
  <si>
    <t>121135190007260068</t>
  </si>
  <si>
    <t>121135190007260069</t>
  </si>
  <si>
    <t>121135190007260070</t>
  </si>
  <si>
    <t>121135190007260071</t>
  </si>
  <si>
    <t>121135190007260072</t>
  </si>
  <si>
    <t>121135190007260073</t>
  </si>
  <si>
    <t>121135190007260074</t>
  </si>
  <si>
    <t>121135190007260075</t>
  </si>
  <si>
    <t>121135190007260076</t>
  </si>
  <si>
    <t>121135190007260077</t>
  </si>
  <si>
    <t>121135190007260078</t>
  </si>
  <si>
    <t>121135190007260079</t>
  </si>
  <si>
    <t>121135190007260080</t>
  </si>
  <si>
    <t>121135190007260081</t>
  </si>
  <si>
    <t>121135190007260082</t>
  </si>
  <si>
    <t>121135190007260083</t>
  </si>
  <si>
    <t>121135190007260084</t>
  </si>
  <si>
    <t>121135190007260085</t>
  </si>
  <si>
    <t>121135190007260086</t>
  </si>
  <si>
    <t>121135190007260087</t>
  </si>
  <si>
    <t>121135190007260088</t>
  </si>
  <si>
    <t>121135190007260089</t>
  </si>
  <si>
    <t>121135190007260090</t>
  </si>
  <si>
    <t>121135190007260091</t>
  </si>
  <si>
    <t>121135190007260092</t>
  </si>
  <si>
    <t>121135190007260093</t>
  </si>
  <si>
    <t>121135190007260094</t>
  </si>
  <si>
    <t>121135190007260095</t>
  </si>
  <si>
    <t>121135190007260096</t>
  </si>
  <si>
    <t>121135190007260097</t>
  </si>
  <si>
    <t>121135190007260098</t>
  </si>
  <si>
    <t>121135190007260099</t>
  </si>
  <si>
    <t>121135190007260100</t>
  </si>
  <si>
    <t>121135190007260101</t>
  </si>
  <si>
    <t>121135190007260102</t>
  </si>
  <si>
    <t>121135190007260103</t>
  </si>
  <si>
    <t>121135190007260104</t>
  </si>
  <si>
    <t>121135190007260105</t>
  </si>
  <si>
    <t>121135190007260106</t>
  </si>
  <si>
    <t>121135190007260107</t>
  </si>
  <si>
    <t>121135190007260108</t>
  </si>
  <si>
    <t>121135190007260109</t>
  </si>
  <si>
    <t>121135190007260110</t>
  </si>
  <si>
    <t>121135190007260111</t>
  </si>
  <si>
    <t>121135190007260112</t>
  </si>
  <si>
    <t>121135190007260113</t>
  </si>
  <si>
    <t>121135190007260114</t>
  </si>
  <si>
    <t>121135190007260115</t>
  </si>
  <si>
    <t>121135190007260116</t>
  </si>
  <si>
    <t>121135190007260117</t>
  </si>
  <si>
    <t>121135190007260118</t>
  </si>
  <si>
    <t>121135190007260119</t>
  </si>
  <si>
    <t>121135190007260120</t>
  </si>
  <si>
    <t>121135190007260121</t>
  </si>
  <si>
    <t>121135190007260122</t>
  </si>
  <si>
    <t>121135190007260123</t>
  </si>
  <si>
    <t>121135190007260124</t>
  </si>
  <si>
    <t>121135190007260125</t>
  </si>
  <si>
    <t>121135190007260126</t>
  </si>
  <si>
    <t>121135190007260127</t>
  </si>
  <si>
    <t>121135190007260128</t>
  </si>
  <si>
    <t>121135190007260129</t>
  </si>
  <si>
    <t>121135190007260130</t>
  </si>
  <si>
    <t>121135190007260131</t>
  </si>
  <si>
    <t>121135190007260132</t>
  </si>
  <si>
    <t>121135190007260133</t>
  </si>
  <si>
    <t>121135190007260134</t>
  </si>
  <si>
    <t>121135190007260135</t>
  </si>
  <si>
    <t>121135190007260136</t>
  </si>
  <si>
    <t>121135190007260137</t>
  </si>
  <si>
    <t>121135190007260138</t>
  </si>
  <si>
    <t>121135190007260139</t>
  </si>
  <si>
    <t>121135190007260140</t>
  </si>
  <si>
    <t>121135190007260141</t>
  </si>
  <si>
    <t>121135190007260142</t>
  </si>
  <si>
    <t>121135190007260143</t>
  </si>
  <si>
    <t>121135190007260144</t>
  </si>
  <si>
    <t>121135190007260145</t>
  </si>
  <si>
    <t>121135190007260146</t>
  </si>
  <si>
    <t>121135190007260147</t>
  </si>
  <si>
    <t>121135190007260148</t>
  </si>
  <si>
    <t>121135190007260149</t>
  </si>
  <si>
    <t>121135190007260150</t>
  </si>
  <si>
    <t>121135190007260151</t>
  </si>
  <si>
    <t>121135190007260152</t>
  </si>
  <si>
    <t>121135190007260153</t>
  </si>
  <si>
    <t>121135190007260154</t>
  </si>
  <si>
    <t>121135190007260155</t>
  </si>
  <si>
    <t>121135190007260156</t>
  </si>
  <si>
    <t>121135190007260157</t>
  </si>
  <si>
    <t>121135190007260158</t>
  </si>
  <si>
    <t>121135190007260159</t>
  </si>
  <si>
    <t>121135190007260160</t>
  </si>
  <si>
    <t>121135190007260161</t>
  </si>
  <si>
    <t>121135190007260162</t>
  </si>
  <si>
    <t>121135190007260163</t>
  </si>
  <si>
    <t>121135190007260164</t>
  </si>
  <si>
    <t>121135190007260165</t>
  </si>
  <si>
    <t>121135190007260166</t>
  </si>
  <si>
    <t>121135190007260167</t>
  </si>
  <si>
    <t>121135190007260168</t>
  </si>
  <si>
    <t>121135190007260169</t>
  </si>
  <si>
    <t>121135190007260170</t>
  </si>
  <si>
    <t>121135190007260171</t>
  </si>
  <si>
    <t>121135190007260172</t>
  </si>
  <si>
    <t>121135190007260173</t>
  </si>
  <si>
    <t>121135190007260174</t>
  </si>
  <si>
    <t>121135190007260175</t>
  </si>
  <si>
    <t>121135190007260176</t>
  </si>
  <si>
    <t>121135190007260177</t>
  </si>
  <si>
    <t>121135190007260178</t>
  </si>
  <si>
    <t>121135190007260179</t>
  </si>
  <si>
    <t>121135190007260180</t>
  </si>
  <si>
    <t>121135190007260181</t>
  </si>
  <si>
    <t>121135190007260182</t>
  </si>
  <si>
    <t>AL MAHYRA FALISHA</t>
  </si>
  <si>
    <t>FERY AGUS HERMANSAH</t>
  </si>
  <si>
    <t>SINTA MAULIDA AISYAH</t>
  </si>
  <si>
    <t>AHMAD DZAFI</t>
  </si>
  <si>
    <t>AISYAH NUR RAHMAWATI</t>
  </si>
  <si>
    <t>BARA KHERIGI RAJENDRA</t>
  </si>
  <si>
    <t>QOTRUNNADA EL-TSANIA</t>
  </si>
  <si>
    <t>121135190007260183</t>
  </si>
  <si>
    <t>AGAM ABDILAH PRATAMA</t>
  </si>
  <si>
    <t>AADILA BILQEES  CHANDNYA</t>
  </si>
  <si>
    <t>MUHAMMAD FARHAN AL FARIZY</t>
  </si>
  <si>
    <t xml:space="preserve">MTsN 13 </t>
  </si>
  <si>
    <t>121135190007260184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</si>
</sst>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_);_(@_)"/>
    <numFmt numFmtId="165" formatCode="_(* #,##0.00_);_(* \(#,##0.00\);_(* &quot;-&quot;??_);_(@_)"/>
    <numFmt numFmtId="166" formatCode="0000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Times New Roman"/>
      <family val="1"/>
    </font>
    <font>
      <sz val="11"/>
      <name val="Times New Roman"/>
      <family val="1"/>
    </font>
    <font>
      <sz val="1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1"/>
      <color rgb="FFFF0000"/>
      <name val="Times New Roman"/>
      <family val="1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sz val="11"/>
      <color theme="3"/>
      <name val="Times New Roman"/>
      <family val="1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rgb="FF00B050"/>
      <name val="Calibri"/>
      <family val="2"/>
      <scheme val="minor"/>
    </font>
    <font>
      <sz val="12"/>
      <color rgb="FF00B050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4" fontId="8" fillId="0" borderId="0" applyFont="0" applyFill="0" applyBorder="0" applyAlignment="0" applyProtection="0"/>
    <xf numFmtId="0" fontId="17" fillId="0" borderId="0"/>
  </cellStyleXfs>
  <cellXfs count="216">
    <xf numFmtId="0" fontId="0" fillId="0" borderId="0" xfId="0"/>
    <xf numFmtId="0" fontId="0" fillId="0" borderId="1" xfId="0" applyBorder="1"/>
    <xf numFmtId="166" fontId="2" fillId="2" borderId="1" xfId="2" applyNumberFormat="1" applyFont="1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166" fontId="2" fillId="0" borderId="1" xfId="2" applyNumberFormat="1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166" fontId="2" fillId="2" borderId="2" xfId="2" applyNumberFormat="1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/>
    <xf numFmtId="0" fontId="0" fillId="0" borderId="4" xfId="0" applyBorder="1"/>
    <xf numFmtId="0" fontId="3" fillId="0" borderId="4" xfId="0" applyFont="1" applyBorder="1"/>
    <xf numFmtId="49" fontId="5" fillId="2" borderId="0" xfId="3" applyNumberFormat="1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Alignment="1">
      <alignment horizontal="left" vertical="center"/>
    </xf>
    <xf numFmtId="166" fontId="2" fillId="2" borderId="0" xfId="2" applyNumberFormat="1" applyFont="1" applyFill="1" applyBorder="1" applyAlignment="1">
      <alignment vertical="center"/>
    </xf>
    <xf numFmtId="0" fontId="0" fillId="0" borderId="0" xfId="0" applyAlignment="1">
      <alignment horizontal="left"/>
    </xf>
    <xf numFmtId="166" fontId="2" fillId="2" borderId="6" xfId="2" applyNumberFormat="1" applyFont="1" applyFill="1" applyBorder="1" applyAlignment="1">
      <alignment vertical="center"/>
    </xf>
    <xf numFmtId="166" fontId="6" fillId="2" borderId="1" xfId="2" applyNumberFormat="1" applyFont="1" applyFill="1" applyBorder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165" fontId="2" fillId="2" borderId="1" xfId="1" applyFont="1" applyFill="1" applyBorder="1" applyAlignment="1">
      <alignment horizontal="left" vertical="top"/>
    </xf>
    <xf numFmtId="165" fontId="2" fillId="2" borderId="1" xfId="1" applyFont="1" applyFill="1" applyBorder="1" applyAlignment="1">
      <alignment horizontal="left" vertical="center"/>
    </xf>
    <xf numFmtId="0" fontId="9" fillId="0" borderId="0" xfId="0" applyFont="1" applyAlignment="1">
      <alignment horizontal="left"/>
    </xf>
    <xf numFmtId="0" fontId="10" fillId="0" borderId="0" xfId="0" applyFont="1"/>
    <xf numFmtId="0" fontId="0" fillId="2" borderId="4" xfId="0" applyFill="1" applyBorder="1" applyAlignment="1">
      <alignment horizontal="center" vertical="center"/>
    </xf>
    <xf numFmtId="0" fontId="0" fillId="0" borderId="4" xfId="0" applyBorder="1" applyAlignment="1">
      <alignment horizontal="right"/>
    </xf>
    <xf numFmtId="165" fontId="2" fillId="0" borderId="1" xfId="1" applyFont="1" applyFill="1" applyBorder="1" applyAlignment="1">
      <alignment horizontal="center" vertical="center"/>
    </xf>
    <xf numFmtId="164" fontId="2" fillId="2" borderId="1" xfId="5" applyFont="1" applyFill="1" applyBorder="1" applyAlignment="1">
      <alignment vertical="center"/>
    </xf>
    <xf numFmtId="164" fontId="0" fillId="0" borderId="1" xfId="5" applyFont="1" applyFill="1" applyBorder="1" applyAlignment="1">
      <alignment vertical="center"/>
    </xf>
    <xf numFmtId="164" fontId="2" fillId="0" borderId="1" xfId="5" applyFont="1" applyFill="1" applyBorder="1" applyAlignment="1">
      <alignment vertical="center"/>
    </xf>
    <xf numFmtId="165" fontId="2" fillId="0" borderId="0" xfId="1" applyFont="1" applyFill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2" xfId="0" applyBorder="1"/>
    <xf numFmtId="164" fontId="2" fillId="0" borderId="8" xfId="5" applyFont="1" applyFill="1" applyBorder="1" applyAlignment="1">
      <alignment vertical="center"/>
    </xf>
    <xf numFmtId="165" fontId="2" fillId="0" borderId="0" xfId="1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164" fontId="2" fillId="0" borderId="0" xfId="5" applyFont="1" applyFill="1" applyBorder="1" applyAlignment="1">
      <alignment vertical="center"/>
    </xf>
    <xf numFmtId="164" fontId="0" fillId="0" borderId="0" xfId="5" applyFont="1" applyFill="1" applyBorder="1" applyAlignment="1">
      <alignment vertical="center"/>
    </xf>
    <xf numFmtId="165" fontId="0" fillId="0" borderId="0" xfId="1" applyFont="1" applyFill="1" applyBorder="1" applyAlignment="1">
      <alignment horizontal="left" vertical="center"/>
    </xf>
    <xf numFmtId="165" fontId="11" fillId="0" borderId="1" xfId="1" applyFont="1" applyFill="1" applyBorder="1" applyAlignment="1">
      <alignment vertical="center"/>
    </xf>
    <xf numFmtId="164" fontId="11" fillId="0" borderId="1" xfId="2" applyFont="1" applyFill="1" applyBorder="1" applyAlignment="1">
      <alignment vertical="center"/>
    </xf>
    <xf numFmtId="164" fontId="12" fillId="0" borderId="1" xfId="2" applyFont="1" applyFill="1" applyBorder="1" applyAlignment="1">
      <alignment vertical="center"/>
    </xf>
    <xf numFmtId="165" fontId="11" fillId="0" borderId="1" xfId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64" fontId="11" fillId="0" borderId="1" xfId="2" applyFont="1" applyFill="1" applyBorder="1" applyAlignment="1">
      <alignment horizontal="center" vertical="center"/>
    </xf>
    <xf numFmtId="164" fontId="11" fillId="0" borderId="1" xfId="2" applyFont="1" applyFill="1" applyBorder="1"/>
    <xf numFmtId="164" fontId="2" fillId="2" borderId="1" xfId="2" applyFont="1" applyFill="1" applyBorder="1" applyAlignment="1">
      <alignment vertical="center"/>
    </xf>
    <xf numFmtId="164" fontId="2" fillId="0" borderId="1" xfId="2" applyFont="1" applyFill="1" applyBorder="1" applyAlignment="1">
      <alignment vertical="center"/>
    </xf>
    <xf numFmtId="164" fontId="12" fillId="0" borderId="1" xfId="2" applyFont="1" applyFill="1" applyBorder="1" applyAlignment="1" applyProtection="1">
      <alignment horizontal="center" vertical="center"/>
      <protection locked="0"/>
    </xf>
    <xf numFmtId="164" fontId="0" fillId="0" borderId="1" xfId="2" applyFont="1" applyFill="1" applyBorder="1"/>
    <xf numFmtId="0" fontId="3" fillId="0" borderId="1" xfId="0" applyFont="1" applyBorder="1" applyAlignment="1">
      <alignment horizontal="center" vertical="center"/>
    </xf>
    <xf numFmtId="1" fontId="0" fillId="0" borderId="1" xfId="0" quotePrefix="1" applyNumberFormat="1" applyBorder="1" applyAlignment="1">
      <alignment horizontal="center" vertical="center"/>
    </xf>
    <xf numFmtId="164" fontId="2" fillId="2" borderId="2" xfId="2" applyFont="1" applyFill="1" applyBorder="1" applyAlignment="1">
      <alignment vertical="center"/>
    </xf>
    <xf numFmtId="164" fontId="2" fillId="2" borderId="2" xfId="2" applyFont="1" applyFill="1" applyBorder="1" applyAlignment="1">
      <alignment horizontal="center" vertical="center"/>
    </xf>
    <xf numFmtId="164" fontId="2" fillId="2" borderId="1" xfId="2" applyFont="1" applyFill="1" applyBorder="1" applyAlignment="1">
      <alignment horizontal="center" vertical="center"/>
    </xf>
    <xf numFmtId="164" fontId="2" fillId="0" borderId="1" xfId="2" applyFont="1" applyFill="1" applyBorder="1" applyAlignment="1">
      <alignment horizontal="center" vertical="center"/>
    </xf>
    <xf numFmtId="164" fontId="2" fillId="2" borderId="6" xfId="2" applyFont="1" applyFill="1" applyBorder="1" applyAlignment="1">
      <alignment horizontal="center" vertical="center"/>
    </xf>
    <xf numFmtId="0" fontId="0" fillId="0" borderId="2" xfId="0" quotePrefix="1" applyBorder="1" applyAlignment="1">
      <alignment horizontal="center" vertical="center"/>
    </xf>
    <xf numFmtId="0" fontId="9" fillId="3" borderId="0" xfId="0" applyFont="1" applyFill="1" applyAlignment="1">
      <alignment wrapText="1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0" fontId="9" fillId="0" borderId="0" xfId="0" applyFont="1"/>
    <xf numFmtId="0" fontId="0" fillId="0" borderId="9" xfId="0" applyBorder="1"/>
    <xf numFmtId="0" fontId="0" fillId="0" borderId="10" xfId="0" applyBorder="1" applyAlignment="1">
      <alignment horizontal="right"/>
    </xf>
    <xf numFmtId="0" fontId="0" fillId="0" borderId="11" xfId="0" applyBorder="1"/>
    <xf numFmtId="0" fontId="0" fillId="0" borderId="12" xfId="0" applyBorder="1" applyAlignment="1">
      <alignment horizontal="right"/>
    </xf>
    <xf numFmtId="0" fontId="0" fillId="3" borderId="13" xfId="0" applyFill="1" applyBorder="1" applyAlignment="1">
      <alignment horizontal="center" vertical="center"/>
    </xf>
    <xf numFmtId="0" fontId="0" fillId="4" borderId="14" xfId="0" applyFill="1" applyBorder="1"/>
    <xf numFmtId="0" fontId="9" fillId="4" borderId="0" xfId="0" applyFont="1" applyFill="1"/>
    <xf numFmtId="0" fontId="4" fillId="4" borderId="0" xfId="0" applyFont="1" applyFill="1"/>
    <xf numFmtId="0" fontId="0" fillId="0" borderId="1" xfId="0" quotePrefix="1" applyBorder="1" applyAlignment="1">
      <alignment horizontal="center"/>
    </xf>
    <xf numFmtId="166" fontId="2" fillId="2" borderId="1" xfId="2" applyNumberFormat="1" applyFont="1" applyFill="1" applyBorder="1" applyAlignment="1">
      <alignment horizontal="center" vertical="center"/>
    </xf>
    <xf numFmtId="0" fontId="0" fillId="0" borderId="1" xfId="0" quotePrefix="1" applyBorder="1"/>
    <xf numFmtId="0" fontId="3" fillId="0" borderId="0" xfId="0" applyFont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4" fontId="0" fillId="0" borderId="8" xfId="5" applyFont="1" applyFill="1" applyBorder="1" applyAlignment="1">
      <alignment vertical="center"/>
    </xf>
    <xf numFmtId="164" fontId="6" fillId="0" borderId="8" xfId="5" applyFont="1" applyFill="1" applyBorder="1" applyAlignment="1">
      <alignment vertical="center"/>
    </xf>
    <xf numFmtId="166" fontId="2" fillId="0" borderId="0" xfId="2" applyNumberFormat="1" applyFont="1" applyFill="1" applyBorder="1" applyAlignment="1">
      <alignment vertical="center"/>
    </xf>
    <xf numFmtId="49" fontId="5" fillId="0" borderId="0" xfId="3" applyNumberFormat="1" applyFont="1" applyFill="1" applyBorder="1" applyAlignment="1">
      <alignment vertical="center"/>
    </xf>
    <xf numFmtId="164" fontId="3" fillId="0" borderId="1" xfId="2" applyFont="1" applyFill="1" applyBorder="1" applyAlignment="1">
      <alignment horizontal="center" vertical="center"/>
    </xf>
    <xf numFmtId="164" fontId="11" fillId="0" borderId="1" xfId="2" applyFont="1" applyFill="1" applyBorder="1" applyAlignment="1">
      <alignment horizontal="center"/>
    </xf>
    <xf numFmtId="164" fontId="0" fillId="0" borderId="1" xfId="2" applyFont="1" applyFill="1" applyBorder="1" applyAlignment="1">
      <alignment vertical="center"/>
    </xf>
    <xf numFmtId="165" fontId="11" fillId="0" borderId="1" xfId="1" applyFont="1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164" fontId="6" fillId="0" borderId="1" xfId="5" applyFont="1" applyFill="1" applyBorder="1" applyAlignment="1">
      <alignment vertical="center"/>
    </xf>
    <xf numFmtId="0" fontId="0" fillId="0" borderId="1" xfId="0" quotePrefix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166" fontId="2" fillId="8" borderId="1" xfId="2" applyNumberFormat="1" applyFont="1" applyFill="1" applyBorder="1" applyAlignment="1">
      <alignment vertical="center"/>
    </xf>
    <xf numFmtId="0" fontId="0" fillId="8" borderId="6" xfId="0" applyFill="1" applyBorder="1" applyAlignment="1">
      <alignment horizontal="center" vertical="center"/>
    </xf>
    <xf numFmtId="0" fontId="0" fillId="8" borderId="1" xfId="0" applyFill="1" applyBorder="1"/>
    <xf numFmtId="165" fontId="2" fillId="0" borderId="1" xfId="1" applyFont="1" applyFill="1" applyBorder="1" applyAlignment="1">
      <alignment horizontal="left" vertical="top"/>
    </xf>
    <xf numFmtId="0" fontId="0" fillId="0" borderId="6" xfId="0" applyBorder="1" applyAlignment="1">
      <alignment horizontal="center" vertical="center"/>
    </xf>
    <xf numFmtId="165" fontId="2" fillId="0" borderId="1" xfId="1" applyFont="1" applyFill="1" applyBorder="1" applyAlignment="1">
      <alignment vertical="center"/>
    </xf>
    <xf numFmtId="0" fontId="0" fillId="2" borderId="6" xfId="0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quotePrefix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quotePrefix="1" applyBorder="1" applyAlignment="1">
      <alignment horizontal="left"/>
    </xf>
    <xf numFmtId="0" fontId="0" fillId="0" borderId="2" xfId="0" applyBorder="1" applyAlignment="1">
      <alignment horizontal="left"/>
    </xf>
    <xf numFmtId="0" fontId="14" fillId="0" borderId="1" xfId="0" applyFont="1" applyBorder="1" applyAlignment="1">
      <alignment wrapText="1"/>
    </xf>
    <xf numFmtId="0" fontId="14" fillId="0" borderId="1" xfId="0" applyFont="1" applyBorder="1" applyAlignment="1">
      <alignment horizontal="center" wrapText="1"/>
    </xf>
    <xf numFmtId="0" fontId="0" fillId="0" borderId="3" xfId="0" applyBorder="1" applyAlignment="1">
      <alignment horizontal="center"/>
    </xf>
    <xf numFmtId="165" fontId="2" fillId="0" borderId="1" xfId="1" applyFont="1" applyBorder="1"/>
    <xf numFmtId="165" fontId="2" fillId="2" borderId="1" xfId="1" applyFont="1" applyFill="1" applyBorder="1" applyAlignment="1">
      <alignment vertical="center"/>
    </xf>
    <xf numFmtId="164" fontId="13" fillId="0" borderId="8" xfId="5" applyFont="1" applyFill="1" applyBorder="1" applyAlignment="1">
      <alignment vertical="center"/>
    </xf>
    <xf numFmtId="166" fontId="2" fillId="2" borderId="16" xfId="2" applyNumberFormat="1" applyFont="1" applyFill="1" applyBorder="1" applyAlignment="1">
      <alignment vertical="center"/>
    </xf>
    <xf numFmtId="0" fontId="0" fillId="0" borderId="16" xfId="0" applyBorder="1"/>
    <xf numFmtId="165" fontId="0" fillId="0" borderId="1" xfId="1" applyFont="1" applyBorder="1" applyAlignment="1">
      <alignment horizontal="left"/>
    </xf>
    <xf numFmtId="0" fontId="0" fillId="9" borderId="2" xfId="0" applyFill="1" applyBorder="1" applyAlignment="1">
      <alignment horizontal="left" vertical="center"/>
    </xf>
    <xf numFmtId="166" fontId="2" fillId="9" borderId="1" xfId="2" applyNumberFormat="1" applyFont="1" applyFill="1" applyBorder="1" applyAlignment="1">
      <alignment vertical="center"/>
    </xf>
    <xf numFmtId="0" fontId="0" fillId="9" borderId="1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9" borderId="2" xfId="0" quotePrefix="1" applyFill="1" applyBorder="1" applyAlignment="1">
      <alignment horizontal="left" vertical="center"/>
    </xf>
    <xf numFmtId="0" fontId="0" fillId="9" borderId="2" xfId="0" applyFill="1" applyBorder="1" applyAlignment="1">
      <alignment horizontal="left"/>
    </xf>
    <xf numFmtId="0" fontId="0" fillId="9" borderId="1" xfId="0" applyFill="1" applyBorder="1"/>
    <xf numFmtId="0" fontId="0" fillId="9" borderId="1" xfId="0" applyFill="1" applyBorder="1" applyAlignment="1">
      <alignment horizontal="center"/>
    </xf>
    <xf numFmtId="166" fontId="2" fillId="9" borderId="16" xfId="2" applyNumberFormat="1" applyFont="1" applyFill="1" applyBorder="1" applyAlignment="1">
      <alignment vertical="center"/>
    </xf>
    <xf numFmtId="0" fontId="0" fillId="9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quotePrefix="1" applyBorder="1" applyAlignment="1">
      <alignment horizontal="left" vertical="center"/>
    </xf>
    <xf numFmtId="166" fontId="2" fillId="0" borderId="1" xfId="2" applyNumberFormat="1" applyFont="1" applyFill="1" applyBorder="1" applyAlignment="1">
      <alignment horizontal="center" vertical="center"/>
    </xf>
    <xf numFmtId="165" fontId="0" fillId="0" borderId="2" xfId="1" applyFont="1" applyBorder="1" applyAlignment="1">
      <alignment horizontal="left"/>
    </xf>
    <xf numFmtId="0" fontId="15" fillId="0" borderId="1" xfId="0" applyFont="1" applyBorder="1"/>
    <xf numFmtId="0" fontId="15" fillId="0" borderId="1" xfId="0" applyFont="1" applyBorder="1" applyAlignment="1">
      <alignment horizontal="center"/>
    </xf>
    <xf numFmtId="165" fontId="0" fillId="0" borderId="2" xfId="1" quotePrefix="1" applyFont="1" applyFill="1" applyBorder="1" applyAlignment="1">
      <alignment horizontal="left"/>
    </xf>
    <xf numFmtId="165" fontId="0" fillId="0" borderId="1" xfId="1" quotePrefix="1" applyFont="1" applyBorder="1" applyAlignment="1">
      <alignment horizontal="left"/>
    </xf>
    <xf numFmtId="164" fontId="2" fillId="2" borderId="2" xfId="2" applyFont="1" applyFill="1" applyBorder="1" applyAlignment="1">
      <alignment horizontal="left" vertical="center"/>
    </xf>
    <xf numFmtId="164" fontId="6" fillId="0" borderId="1" xfId="2" applyFont="1" applyFill="1" applyBorder="1" applyAlignment="1">
      <alignment horizontal="left" vertical="center"/>
    </xf>
    <xf numFmtId="164" fontId="16" fillId="2" borderId="1" xfId="2" applyFont="1" applyFill="1" applyBorder="1" applyAlignment="1">
      <alignment horizontal="center" vertical="center"/>
    </xf>
    <xf numFmtId="1" fontId="0" fillId="3" borderId="1" xfId="0" quotePrefix="1" applyNumberFormat="1" applyFill="1" applyBorder="1" applyAlignment="1">
      <alignment horizontal="center" vertical="center"/>
    </xf>
    <xf numFmtId="164" fontId="11" fillId="3" borderId="1" xfId="2" applyFont="1" applyFill="1" applyBorder="1"/>
    <xf numFmtId="0" fontId="18" fillId="0" borderId="2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166" fontId="6" fillId="0" borderId="1" xfId="2" applyNumberFormat="1" applyFont="1" applyFill="1" applyBorder="1" applyAlignment="1">
      <alignment vertical="center"/>
    </xf>
    <xf numFmtId="165" fontId="0" fillId="0" borderId="2" xfId="1" quotePrefix="1" applyFont="1" applyBorder="1" applyAlignment="1">
      <alignment horizontal="center" vertical="center"/>
    </xf>
    <xf numFmtId="0" fontId="18" fillId="0" borderId="2" xfId="0" quotePrefix="1" applyFont="1" applyBorder="1" applyAlignment="1">
      <alignment horizontal="left" vertical="center"/>
    </xf>
    <xf numFmtId="165" fontId="18" fillId="0" borderId="1" xfId="1" quotePrefix="1" applyFont="1" applyBorder="1" applyAlignment="1">
      <alignment horizontal="left"/>
    </xf>
    <xf numFmtId="164" fontId="6" fillId="2" borderId="1" xfId="2" applyFont="1" applyFill="1" applyBorder="1" applyAlignment="1">
      <alignment vertical="center"/>
    </xf>
    <xf numFmtId="0" fontId="0" fillId="8" borderId="1" xfId="0" applyFill="1" applyBorder="1" applyAlignment="1">
      <alignment horizontal="center" vertical="center"/>
    </xf>
    <xf numFmtId="165" fontId="0" fillId="0" borderId="1" xfId="1" applyFont="1" applyBorder="1"/>
    <xf numFmtId="165" fontId="0" fillId="0" borderId="2" xfId="1" applyFont="1" applyBorder="1"/>
    <xf numFmtId="165" fontId="0" fillId="0" borderId="2" xfId="1" applyFont="1" applyBorder="1" applyAlignment="1">
      <alignment horizontal="left" vertical="center"/>
    </xf>
    <xf numFmtId="165" fontId="0" fillId="0" borderId="2" xfId="1" quotePrefix="1" applyFont="1" applyBorder="1" applyAlignment="1">
      <alignment horizontal="left" vertical="center"/>
    </xf>
    <xf numFmtId="165" fontId="0" fillId="0" borderId="1" xfId="1" quotePrefix="1" applyFont="1" applyBorder="1" applyAlignment="1">
      <alignment horizontal="left" vertical="center"/>
    </xf>
    <xf numFmtId="165" fontId="18" fillId="0" borderId="2" xfId="1" quotePrefix="1" applyFont="1" applyBorder="1" applyAlignment="1">
      <alignment horizontal="left" vertical="center"/>
    </xf>
    <xf numFmtId="165" fontId="11" fillId="2" borderId="2" xfId="1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65" fontId="11" fillId="2" borderId="1" xfId="1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165" fontId="12" fillId="2" borderId="1" xfId="1" applyFont="1" applyFill="1" applyBorder="1" applyAlignment="1">
      <alignment vertical="center"/>
    </xf>
    <xf numFmtId="165" fontId="12" fillId="0" borderId="1" xfId="1" applyFont="1" applyFill="1" applyBorder="1" applyAlignment="1">
      <alignment vertical="center"/>
    </xf>
    <xf numFmtId="165" fontId="3" fillId="0" borderId="1" xfId="1" applyFont="1" applyBorder="1"/>
    <xf numFmtId="0" fontId="19" fillId="0" borderId="1" xfId="0" applyFont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0" fillId="0" borderId="2" xfId="0" quotePrefix="1" applyBorder="1"/>
    <xf numFmtId="0" fontId="0" fillId="8" borderId="1" xfId="0" applyFill="1" applyBorder="1" applyAlignment="1">
      <alignment horizontal="center"/>
    </xf>
    <xf numFmtId="166" fontId="20" fillId="2" borderId="1" xfId="2" applyNumberFormat="1" applyFont="1" applyFill="1" applyBorder="1" applyAlignment="1">
      <alignment vertical="center"/>
    </xf>
    <xf numFmtId="0" fontId="9" fillId="0" borderId="2" xfId="0" quotePrefix="1" applyFont="1" applyBorder="1" applyAlignment="1">
      <alignment horizontal="center" vertical="center"/>
    </xf>
    <xf numFmtId="0" fontId="21" fillId="0" borderId="1" xfId="0" applyFont="1" applyBorder="1" applyAlignment="1">
      <alignment horizontal="center"/>
    </xf>
    <xf numFmtId="166" fontId="2" fillId="4" borderId="1" xfId="2" applyNumberFormat="1" applyFont="1" applyFill="1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165" fontId="0" fillId="0" borderId="1" xfId="1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165" fontId="12" fillId="0" borderId="2" xfId="1" applyFont="1" applyFill="1" applyBorder="1" applyAlignment="1">
      <alignment vertical="center"/>
    </xf>
    <xf numFmtId="0" fontId="19" fillId="2" borderId="2" xfId="0" applyFont="1" applyFill="1" applyBorder="1" applyAlignment="1">
      <alignment horizontal="center" vertical="center"/>
    </xf>
    <xf numFmtId="165" fontId="11" fillId="0" borderId="2" xfId="1" applyFont="1" applyFill="1" applyBorder="1" applyAlignment="1">
      <alignment vertical="center"/>
    </xf>
    <xf numFmtId="0" fontId="22" fillId="2" borderId="1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14" fontId="0" fillId="0" borderId="1" xfId="0" applyNumberFormat="1" applyBorder="1"/>
    <xf numFmtId="0" fontId="19" fillId="2" borderId="3" xfId="0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8" fillId="0" borderId="1" xfId="0" applyFont="1" applyBorder="1"/>
    <xf numFmtId="165" fontId="19" fillId="0" borderId="1" xfId="1" applyFont="1" applyBorder="1"/>
    <xf numFmtId="0" fontId="0" fillId="0" borderId="0" xfId="0" applyAlignment="1">
      <alignment horizontal="right" vertical="center"/>
    </xf>
    <xf numFmtId="165" fontId="3" fillId="0" borderId="2" xfId="1" applyFont="1" applyBorder="1" applyAlignment="1">
      <alignment horizontal="left" vertical="center"/>
    </xf>
    <xf numFmtId="165" fontId="3" fillId="0" borderId="2" xfId="1" quotePrefix="1" applyFont="1" applyFill="1" applyBorder="1"/>
    <xf numFmtId="165" fontId="3" fillId="0" borderId="2" xfId="1" quotePrefix="1" applyFont="1" applyBorder="1" applyAlignment="1">
      <alignment horizontal="left" vertical="center"/>
    </xf>
    <xf numFmtId="165" fontId="19" fillId="0" borderId="2" xfId="1" quotePrefix="1" applyFont="1" applyBorder="1" applyAlignment="1">
      <alignment horizontal="left" vertical="center"/>
    </xf>
    <xf numFmtId="165" fontId="3" fillId="0" borderId="1" xfId="1" applyFont="1" applyBorder="1" applyAlignment="1">
      <alignment horizontal="left" vertical="center"/>
    </xf>
    <xf numFmtId="165" fontId="3" fillId="0" borderId="1" xfId="1" quotePrefix="1" applyFont="1" applyBorder="1" applyAlignment="1">
      <alignment horizontal="left" vertical="center"/>
    </xf>
    <xf numFmtId="165" fontId="19" fillId="0" borderId="1" xfId="1" quotePrefix="1" applyFont="1" applyBorder="1" applyAlignment="1">
      <alignment horizontal="left" vertical="center"/>
    </xf>
    <xf numFmtId="165" fontId="11" fillId="3" borderId="1" xfId="1" applyFont="1" applyFill="1" applyBorder="1" applyAlignment="1">
      <alignment vertical="center"/>
    </xf>
    <xf numFmtId="165" fontId="11" fillId="2" borderId="1" xfId="1" applyFont="1" applyFill="1" applyBorder="1" applyAlignment="1">
      <alignment horizontal="center" vertical="center"/>
    </xf>
    <xf numFmtId="165" fontId="3" fillId="0" borderId="2" xfId="1" applyFont="1" applyFill="1" applyBorder="1" applyAlignment="1">
      <alignment horizontal="left" vertical="center"/>
    </xf>
    <xf numFmtId="165" fontId="3" fillId="0" borderId="1" xfId="1" quotePrefix="1" applyFont="1" applyFill="1" applyBorder="1" applyAlignment="1">
      <alignment horizontal="left" vertical="center"/>
    </xf>
    <xf numFmtId="165" fontId="3" fillId="0" borderId="1" xfId="1" applyFont="1" applyFill="1" applyBorder="1"/>
    <xf numFmtId="165" fontId="3" fillId="0" borderId="1" xfId="1" applyFont="1" applyFill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165" fontId="12" fillId="0" borderId="8" xfId="1" applyFont="1" applyFill="1" applyBorder="1" applyAlignment="1">
      <alignment vertical="center"/>
    </xf>
    <xf numFmtId="165" fontId="3" fillId="3" borderId="2" xfId="1" quotePrefix="1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7">
    <cellStyle name="Comma" xfId="1" builtinId="3"/>
    <cellStyle name="Comma [0]" xfId="2" builtinId="6"/>
    <cellStyle name="Comma [0] 2" xfId="5" xr:uid="{00000000-0005-0000-0000-000002000000}"/>
    <cellStyle name="Comma 2" xfId="3" xr:uid="{00000000-0005-0000-0000-000003000000}"/>
    <cellStyle name="Normal" xfId="0" builtinId="0"/>
    <cellStyle name="Normal 2" xfId="4" xr:uid="{00000000-0005-0000-0000-000005000000}"/>
    <cellStyle name="Normal 3" xfId="6" xr:uid="{5F7C6758-9011-4CD9-A270-599708BAAC4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AA1BA-9FCC-45AF-9290-F94EF1A429E3}">
  <dimension ref="A1:P203"/>
  <sheetViews>
    <sheetView tabSelected="1" zoomScale="95" zoomScaleNormal="95" workbookViewId="0">
      <selection activeCell="C12" sqref="C12"/>
    </sheetView>
  </sheetViews>
  <sheetFormatPr defaultRowHeight="15" x14ac:dyDescent="0.25"/>
  <cols>
    <col min="1" max="1" width="5.140625" customWidth="1"/>
    <col min="2" max="2" width="22.7109375" customWidth="1"/>
    <col min="3" max="3" width="40" customWidth="1"/>
    <col min="4" max="4" width="9" customWidth="1"/>
    <col min="5" max="5" width="16.85546875" customWidth="1"/>
    <col min="6" max="6" width="3.7109375" customWidth="1"/>
    <col min="7" max="7" width="3.7109375" style="15" customWidth="1"/>
    <col min="8" max="8" width="6.42578125" customWidth="1"/>
    <col min="9" max="9" width="22.28515625" customWidth="1"/>
    <col min="10" max="10" width="40" customWidth="1"/>
    <col min="11" max="11" width="9" customWidth="1"/>
    <col min="12" max="12" width="16.85546875" customWidth="1"/>
  </cols>
  <sheetData>
    <row r="1" spans="1:13" ht="15.75" x14ac:dyDescent="0.25">
      <c r="A1" s="210" t="s">
        <v>670</v>
      </c>
      <c r="B1" s="210"/>
      <c r="C1" s="210"/>
      <c r="D1" s="210"/>
      <c r="E1" s="210"/>
      <c r="H1" s="210" t="s">
        <v>670</v>
      </c>
      <c r="I1" s="210"/>
      <c r="J1" s="210"/>
      <c r="K1" s="210"/>
      <c r="L1" s="210"/>
      <c r="M1" s="210"/>
    </row>
    <row r="2" spans="1:13" ht="15.75" x14ac:dyDescent="0.25">
      <c r="A2" s="210" t="s">
        <v>2415</v>
      </c>
      <c r="B2" s="210"/>
      <c r="C2" s="210"/>
      <c r="D2" s="210"/>
      <c r="E2" s="210"/>
      <c r="H2" s="210" t="s">
        <v>2415</v>
      </c>
      <c r="I2" s="210"/>
      <c r="J2" s="210"/>
      <c r="K2" s="210"/>
      <c r="L2" s="210"/>
      <c r="M2" s="210"/>
    </row>
    <row r="3" spans="1:13" ht="15.75" x14ac:dyDescent="0.25">
      <c r="A3" s="210" t="s">
        <v>2423</v>
      </c>
      <c r="B3" s="210"/>
      <c r="C3" s="210"/>
      <c r="D3" s="210"/>
      <c r="E3" s="210"/>
      <c r="H3" s="210" t="s">
        <v>2424</v>
      </c>
      <c r="I3" s="210"/>
      <c r="J3" s="210"/>
      <c r="K3" s="210"/>
      <c r="L3" s="210"/>
      <c r="M3" s="210"/>
    </row>
    <row r="4" spans="1:13" x14ac:dyDescent="0.25">
      <c r="A4" s="6"/>
      <c r="B4" s="6"/>
      <c r="C4" s="6"/>
      <c r="D4" s="6"/>
    </row>
    <row r="5" spans="1:13" s="14" customFormat="1" ht="15.75" x14ac:dyDescent="0.25">
      <c r="A5" s="13" t="s">
        <v>2</v>
      </c>
      <c r="B5" s="13" t="s">
        <v>3</v>
      </c>
      <c r="C5" s="13" t="s">
        <v>4</v>
      </c>
      <c r="D5" s="13" t="s">
        <v>5</v>
      </c>
      <c r="E5" s="13" t="s">
        <v>6</v>
      </c>
      <c r="G5" s="16"/>
      <c r="H5" s="13" t="s">
        <v>2</v>
      </c>
      <c r="I5" s="13" t="s">
        <v>3</v>
      </c>
      <c r="J5" s="13" t="s">
        <v>7</v>
      </c>
      <c r="K5" s="13" t="s">
        <v>5</v>
      </c>
      <c r="L5" s="13" t="s">
        <v>6</v>
      </c>
    </row>
    <row r="6" spans="1:13" ht="15.75" x14ac:dyDescent="0.25">
      <c r="A6" s="10">
        <v>1</v>
      </c>
      <c r="B6" s="191" t="s">
        <v>2608</v>
      </c>
      <c r="C6" s="163" t="s">
        <v>2430</v>
      </c>
      <c r="D6" s="59" t="s">
        <v>1</v>
      </c>
      <c r="E6" s="1"/>
      <c r="H6" s="5">
        <v>1</v>
      </c>
      <c r="I6" s="195" t="s">
        <v>2634</v>
      </c>
      <c r="J6" s="158" t="s">
        <v>2784</v>
      </c>
      <c r="K6" s="159" t="s">
        <v>0</v>
      </c>
      <c r="L6" s="1"/>
    </row>
    <row r="7" spans="1:13" ht="15.75" x14ac:dyDescent="0.25">
      <c r="A7" s="5">
        <v>2</v>
      </c>
      <c r="B7" s="191" t="s">
        <v>2609</v>
      </c>
      <c r="C7" s="48" t="s">
        <v>2431</v>
      </c>
      <c r="D7" s="59" t="s">
        <v>1</v>
      </c>
      <c r="E7" s="1"/>
      <c r="H7" s="5">
        <v>2</v>
      </c>
      <c r="I7" s="191" t="s">
        <v>2635</v>
      </c>
      <c r="J7" s="164" t="s">
        <v>2785</v>
      </c>
      <c r="K7" s="166" t="s">
        <v>1</v>
      </c>
      <c r="L7" s="1"/>
    </row>
    <row r="8" spans="1:13" ht="15.75" x14ac:dyDescent="0.25">
      <c r="A8" s="10">
        <v>3</v>
      </c>
      <c r="B8" s="191" t="s">
        <v>2610</v>
      </c>
      <c r="C8" s="161" t="s">
        <v>2432</v>
      </c>
      <c r="D8" s="160" t="s">
        <v>0</v>
      </c>
      <c r="E8" s="1"/>
      <c r="H8" s="5">
        <v>3</v>
      </c>
      <c r="I8" s="191" t="s">
        <v>2636</v>
      </c>
      <c r="J8" s="48" t="s">
        <v>2457</v>
      </c>
      <c r="K8" s="160" t="s">
        <v>0</v>
      </c>
      <c r="L8" s="1"/>
    </row>
    <row r="9" spans="1:13" ht="15.75" x14ac:dyDescent="0.25">
      <c r="A9" s="5">
        <v>4</v>
      </c>
      <c r="B9" s="191" t="s">
        <v>2611</v>
      </c>
      <c r="C9" s="48" t="s">
        <v>2480</v>
      </c>
      <c r="D9" s="59" t="s">
        <v>0</v>
      </c>
      <c r="E9" s="1"/>
      <c r="H9" s="5">
        <v>4</v>
      </c>
      <c r="I9" s="191" t="s">
        <v>2637</v>
      </c>
      <c r="J9" s="161" t="s">
        <v>2434</v>
      </c>
      <c r="K9" s="162" t="s">
        <v>1</v>
      </c>
      <c r="L9" s="1"/>
    </row>
    <row r="10" spans="1:13" ht="15.75" x14ac:dyDescent="0.25">
      <c r="A10" s="10">
        <v>5</v>
      </c>
      <c r="B10" s="191" t="s">
        <v>2612</v>
      </c>
      <c r="C10" s="161" t="s">
        <v>2433</v>
      </c>
      <c r="D10" s="159" t="s">
        <v>1</v>
      </c>
      <c r="E10" s="1"/>
      <c r="H10" s="5">
        <v>5</v>
      </c>
      <c r="I10" s="191" t="s">
        <v>2638</v>
      </c>
      <c r="J10" s="48" t="s">
        <v>2458</v>
      </c>
      <c r="K10" s="160" t="s">
        <v>0</v>
      </c>
      <c r="L10" s="9"/>
    </row>
    <row r="11" spans="1:13" ht="15.75" x14ac:dyDescent="0.25">
      <c r="A11" s="5">
        <v>6</v>
      </c>
      <c r="B11" s="191" t="s">
        <v>2613</v>
      </c>
      <c r="C11" s="161" t="s">
        <v>2435</v>
      </c>
      <c r="D11" s="160" t="s">
        <v>1</v>
      </c>
      <c r="E11" s="1"/>
      <c r="H11" s="5">
        <v>6</v>
      </c>
      <c r="I11" s="191" t="s">
        <v>2639</v>
      </c>
      <c r="J11" s="48" t="s">
        <v>2459</v>
      </c>
      <c r="K11" s="59" t="s">
        <v>0</v>
      </c>
      <c r="L11" s="5"/>
    </row>
    <row r="12" spans="1:13" ht="15.75" x14ac:dyDescent="0.25">
      <c r="A12" s="10">
        <v>7</v>
      </c>
      <c r="B12" s="191" t="s">
        <v>2614</v>
      </c>
      <c r="C12" s="163" t="s">
        <v>2438</v>
      </c>
      <c r="D12" s="159" t="s">
        <v>1</v>
      </c>
      <c r="E12" s="1"/>
      <c r="H12" s="5">
        <v>7</v>
      </c>
      <c r="I12" s="191" t="s">
        <v>2640</v>
      </c>
      <c r="J12" s="161" t="s">
        <v>2460</v>
      </c>
      <c r="K12" s="162" t="s">
        <v>0</v>
      </c>
      <c r="L12" s="1"/>
    </row>
    <row r="13" spans="1:13" ht="15.75" x14ac:dyDescent="0.25">
      <c r="A13" s="5">
        <v>8</v>
      </c>
      <c r="B13" s="191" t="s">
        <v>2615</v>
      </c>
      <c r="C13" s="161" t="s">
        <v>2461</v>
      </c>
      <c r="D13" s="160" t="s">
        <v>0</v>
      </c>
      <c r="E13" s="1"/>
      <c r="H13" s="5">
        <v>8</v>
      </c>
      <c r="I13" s="191" t="s">
        <v>2641</v>
      </c>
      <c r="J13" s="161" t="s">
        <v>2437</v>
      </c>
      <c r="K13" s="59" t="s">
        <v>1</v>
      </c>
      <c r="L13" s="1"/>
    </row>
    <row r="14" spans="1:13" ht="15.75" x14ac:dyDescent="0.25">
      <c r="A14" s="10">
        <v>9</v>
      </c>
      <c r="B14" s="191" t="s">
        <v>2616</v>
      </c>
      <c r="C14" s="105" t="s">
        <v>2439</v>
      </c>
      <c r="D14" s="10" t="s">
        <v>1</v>
      </c>
      <c r="E14" s="1"/>
      <c r="H14" s="5">
        <v>9</v>
      </c>
      <c r="I14" s="191" t="s">
        <v>2642</v>
      </c>
      <c r="J14" s="161" t="s">
        <v>2786</v>
      </c>
      <c r="K14" s="3" t="s">
        <v>0</v>
      </c>
      <c r="L14" s="1"/>
    </row>
    <row r="15" spans="1:13" ht="15.75" x14ac:dyDescent="0.25">
      <c r="A15" s="5">
        <v>10</v>
      </c>
      <c r="B15" s="191" t="s">
        <v>2617</v>
      </c>
      <c r="C15" s="164" t="s">
        <v>2463</v>
      </c>
      <c r="D15" s="167" t="s">
        <v>0</v>
      </c>
      <c r="E15" s="1"/>
      <c r="H15" s="5">
        <v>10</v>
      </c>
      <c r="I15" s="191" t="s">
        <v>2643</v>
      </c>
      <c r="J15" s="161" t="s">
        <v>2462</v>
      </c>
      <c r="K15" s="59" t="s">
        <v>1</v>
      </c>
      <c r="L15" s="1"/>
    </row>
    <row r="16" spans="1:13" ht="15.75" x14ac:dyDescent="0.25">
      <c r="A16" s="10">
        <v>11</v>
      </c>
      <c r="B16" s="192" t="s">
        <v>2618</v>
      </c>
      <c r="C16" s="161" t="s">
        <v>2441</v>
      </c>
      <c r="D16" s="162" t="s">
        <v>0</v>
      </c>
      <c r="E16" s="1"/>
      <c r="H16" s="5">
        <v>11</v>
      </c>
      <c r="I16" s="191" t="s">
        <v>2644</v>
      </c>
      <c r="J16" s="161" t="s">
        <v>2464</v>
      </c>
      <c r="K16" s="159" t="s">
        <v>0</v>
      </c>
      <c r="L16" s="1"/>
    </row>
    <row r="17" spans="1:12" ht="15.75" x14ac:dyDescent="0.25">
      <c r="A17" s="5">
        <v>12</v>
      </c>
      <c r="B17" s="191" t="s">
        <v>2619</v>
      </c>
      <c r="C17" s="161" t="s">
        <v>2442</v>
      </c>
      <c r="D17" s="162" t="s">
        <v>0</v>
      </c>
      <c r="E17" s="1"/>
      <c r="H17" s="5">
        <v>12</v>
      </c>
      <c r="I17" s="192" t="s">
        <v>2645</v>
      </c>
      <c r="J17" s="161" t="s">
        <v>2465</v>
      </c>
      <c r="K17" s="59" t="s">
        <v>1</v>
      </c>
      <c r="L17" s="1"/>
    </row>
    <row r="18" spans="1:12" ht="15.75" x14ac:dyDescent="0.25">
      <c r="A18" s="10">
        <v>13</v>
      </c>
      <c r="B18" s="191" t="s">
        <v>2620</v>
      </c>
      <c r="C18" s="161" t="s">
        <v>2444</v>
      </c>
      <c r="D18" s="59" t="s">
        <v>0</v>
      </c>
      <c r="E18" s="1"/>
      <c r="H18" s="5">
        <v>13</v>
      </c>
      <c r="I18" s="191" t="s">
        <v>2646</v>
      </c>
      <c r="J18" s="161" t="s">
        <v>2466</v>
      </c>
      <c r="K18" s="162" t="s">
        <v>0</v>
      </c>
      <c r="L18" s="1"/>
    </row>
    <row r="19" spans="1:12" ht="15.75" x14ac:dyDescent="0.25">
      <c r="A19" s="5">
        <v>14</v>
      </c>
      <c r="B19" s="191" t="s">
        <v>2621</v>
      </c>
      <c r="C19" s="48" t="s">
        <v>2445</v>
      </c>
      <c r="D19" s="166" t="s">
        <v>0</v>
      </c>
      <c r="E19" s="1"/>
      <c r="H19" s="5">
        <v>14</v>
      </c>
      <c r="I19" s="191" t="s">
        <v>2647</v>
      </c>
      <c r="J19" s="163" t="s">
        <v>2467</v>
      </c>
      <c r="K19" s="159" t="s">
        <v>0</v>
      </c>
      <c r="L19" s="1"/>
    </row>
    <row r="20" spans="1:12" ht="15.75" x14ac:dyDescent="0.25">
      <c r="A20" s="10">
        <v>15</v>
      </c>
      <c r="B20" s="191" t="s">
        <v>2622</v>
      </c>
      <c r="C20" s="163" t="s">
        <v>2446</v>
      </c>
      <c r="D20" s="183" t="s">
        <v>0</v>
      </c>
      <c r="E20" s="1"/>
      <c r="H20" s="5">
        <v>15</v>
      </c>
      <c r="I20" s="191" t="s">
        <v>2648</v>
      </c>
      <c r="J20" s="161" t="s">
        <v>2469</v>
      </c>
      <c r="K20" s="162" t="s">
        <v>1</v>
      </c>
      <c r="L20" s="1"/>
    </row>
    <row r="21" spans="1:12" ht="15.75" x14ac:dyDescent="0.25">
      <c r="A21" s="5">
        <v>16</v>
      </c>
      <c r="B21" s="192" t="s">
        <v>2623</v>
      </c>
      <c r="C21" s="161" t="s">
        <v>2447</v>
      </c>
      <c r="D21" s="59" t="s">
        <v>0</v>
      </c>
      <c r="E21" s="1"/>
      <c r="H21" s="5">
        <v>16</v>
      </c>
      <c r="I21" s="191" t="s">
        <v>2649</v>
      </c>
      <c r="J21" s="161" t="s">
        <v>2470</v>
      </c>
      <c r="K21" s="162" t="s">
        <v>0</v>
      </c>
      <c r="L21" s="1"/>
    </row>
    <row r="22" spans="1:12" ht="15.75" x14ac:dyDescent="0.25">
      <c r="A22" s="10">
        <v>17</v>
      </c>
      <c r="B22" s="193" t="s">
        <v>2624</v>
      </c>
      <c r="C22" s="161" t="s">
        <v>2448</v>
      </c>
      <c r="D22" s="162" t="s">
        <v>0</v>
      </c>
      <c r="E22" s="1"/>
      <c r="H22" s="5">
        <v>17</v>
      </c>
      <c r="I22" s="192" t="s">
        <v>2650</v>
      </c>
      <c r="J22" s="161" t="s">
        <v>2471</v>
      </c>
      <c r="K22" s="59" t="s">
        <v>0</v>
      </c>
      <c r="L22" s="1"/>
    </row>
    <row r="23" spans="1:12" ht="15.75" x14ac:dyDescent="0.25">
      <c r="A23" s="5">
        <v>18</v>
      </c>
      <c r="B23" s="191" t="s">
        <v>2625</v>
      </c>
      <c r="C23" s="161" t="s">
        <v>2449</v>
      </c>
      <c r="D23" s="162" t="s">
        <v>1</v>
      </c>
      <c r="E23" s="1"/>
      <c r="H23" s="5">
        <v>18</v>
      </c>
      <c r="I23" s="193" t="s">
        <v>2651</v>
      </c>
      <c r="J23" s="161" t="s">
        <v>2472</v>
      </c>
      <c r="K23" s="59" t="s">
        <v>0</v>
      </c>
      <c r="L23" s="1"/>
    </row>
    <row r="24" spans="1:12" ht="15.75" x14ac:dyDescent="0.25">
      <c r="A24" s="10">
        <v>19</v>
      </c>
      <c r="B24" s="191" t="s">
        <v>2626</v>
      </c>
      <c r="C24" s="163" t="s">
        <v>2450</v>
      </c>
      <c r="D24" s="167" t="s">
        <v>0</v>
      </c>
      <c r="E24" s="1"/>
      <c r="H24" s="5">
        <v>19</v>
      </c>
      <c r="I24" s="191" t="s">
        <v>2652</v>
      </c>
      <c r="J24" s="164" t="s">
        <v>2473</v>
      </c>
      <c r="K24" s="59" t="s">
        <v>0</v>
      </c>
      <c r="L24" s="1"/>
    </row>
    <row r="25" spans="1:12" ht="15.75" x14ac:dyDescent="0.25">
      <c r="A25" s="5">
        <v>20</v>
      </c>
      <c r="B25" s="193" t="s">
        <v>2627</v>
      </c>
      <c r="C25" s="161" t="s">
        <v>2451</v>
      </c>
      <c r="D25" s="199" t="s">
        <v>1</v>
      </c>
      <c r="E25" s="1"/>
      <c r="H25" s="5">
        <v>20</v>
      </c>
      <c r="I25" s="191" t="s">
        <v>2653</v>
      </c>
      <c r="J25" s="161" t="s">
        <v>2474</v>
      </c>
      <c r="K25" s="162" t="s">
        <v>1</v>
      </c>
      <c r="L25" s="1"/>
    </row>
    <row r="26" spans="1:12" ht="15.75" x14ac:dyDescent="0.25">
      <c r="A26" s="10">
        <v>21</v>
      </c>
      <c r="B26" s="191" t="s">
        <v>2628</v>
      </c>
      <c r="C26" s="161" t="s">
        <v>2476</v>
      </c>
      <c r="D26" s="59" t="s">
        <v>0</v>
      </c>
      <c r="E26" s="1"/>
      <c r="H26" s="5">
        <v>21</v>
      </c>
      <c r="I26" s="193" t="s">
        <v>2654</v>
      </c>
      <c r="J26" s="161" t="s">
        <v>2475</v>
      </c>
      <c r="K26" s="162" t="s">
        <v>1</v>
      </c>
      <c r="L26" s="1"/>
    </row>
    <row r="27" spans="1:12" ht="15.75" x14ac:dyDescent="0.25">
      <c r="A27" s="5">
        <v>22</v>
      </c>
      <c r="B27" s="191" t="s">
        <v>2629</v>
      </c>
      <c r="C27" s="161" t="s">
        <v>2452</v>
      </c>
      <c r="D27" s="59" t="s">
        <v>0</v>
      </c>
      <c r="E27" s="9"/>
      <c r="H27" s="5">
        <v>22</v>
      </c>
      <c r="I27" s="191" t="s">
        <v>2655</v>
      </c>
      <c r="J27" s="161" t="s">
        <v>2592</v>
      </c>
      <c r="K27" s="59" t="s">
        <v>0</v>
      </c>
      <c r="L27" s="1"/>
    </row>
    <row r="28" spans="1:12" ht="15.75" x14ac:dyDescent="0.25">
      <c r="A28" s="10">
        <v>23</v>
      </c>
      <c r="B28" s="191" t="s">
        <v>2630</v>
      </c>
      <c r="C28" s="164" t="s">
        <v>2453</v>
      </c>
      <c r="D28" s="167" t="s">
        <v>1</v>
      </c>
      <c r="E28" s="1"/>
      <c r="H28" s="5">
        <v>23</v>
      </c>
      <c r="I28" s="191" t="s">
        <v>2656</v>
      </c>
      <c r="J28" s="161" t="s">
        <v>2477</v>
      </c>
      <c r="K28" s="162" t="s">
        <v>0</v>
      </c>
      <c r="L28" s="1"/>
    </row>
    <row r="29" spans="1:12" ht="15.75" x14ac:dyDescent="0.25">
      <c r="A29" s="5">
        <v>24</v>
      </c>
      <c r="B29" s="191" t="s">
        <v>2631</v>
      </c>
      <c r="C29" s="161" t="s">
        <v>2454</v>
      </c>
      <c r="D29" s="162" t="s">
        <v>0</v>
      </c>
      <c r="E29" s="1"/>
      <c r="H29" s="5">
        <v>24</v>
      </c>
      <c r="I29" s="191" t="s">
        <v>2657</v>
      </c>
      <c r="J29" s="161" t="s">
        <v>2478</v>
      </c>
      <c r="K29" s="59" t="s">
        <v>1</v>
      </c>
      <c r="L29" s="1"/>
    </row>
    <row r="30" spans="1:12" ht="15.75" x14ac:dyDescent="0.25">
      <c r="A30" s="10">
        <v>25</v>
      </c>
      <c r="B30" s="191" t="s">
        <v>2632</v>
      </c>
      <c r="C30" s="161" t="s">
        <v>2455</v>
      </c>
      <c r="D30" s="162" t="s">
        <v>1</v>
      </c>
      <c r="E30" s="1"/>
      <c r="H30" s="5">
        <v>25</v>
      </c>
      <c r="I30" s="191" t="s">
        <v>2658</v>
      </c>
      <c r="J30" s="164" t="s">
        <v>2479</v>
      </c>
      <c r="K30" s="59" t="s">
        <v>1</v>
      </c>
      <c r="L30" s="1"/>
    </row>
    <row r="31" spans="1:12" ht="15.75" x14ac:dyDescent="0.25">
      <c r="A31" s="5">
        <v>26</v>
      </c>
      <c r="B31" s="194" t="s">
        <v>2633</v>
      </c>
      <c r="C31" s="161" t="s">
        <v>2456</v>
      </c>
      <c r="D31" s="59" t="s">
        <v>0</v>
      </c>
      <c r="E31" s="1"/>
      <c r="H31" s="5"/>
      <c r="J31" s="1"/>
      <c r="K31" s="1"/>
      <c r="L31" s="1"/>
    </row>
    <row r="32" spans="1:12" x14ac:dyDescent="0.25">
      <c r="A32" s="10"/>
      <c r="B32" s="1"/>
      <c r="C32" s="1"/>
      <c r="E32" s="1"/>
      <c r="H32" s="5"/>
      <c r="I32" s="1"/>
      <c r="J32" s="1"/>
      <c r="K32" s="1"/>
      <c r="L32" s="1"/>
    </row>
    <row r="33" spans="1:13" ht="15.75" x14ac:dyDescent="0.25">
      <c r="A33" s="5"/>
      <c r="B33" s="1"/>
      <c r="C33" s="1"/>
      <c r="D33" s="1"/>
      <c r="E33" s="1"/>
      <c r="H33" s="5"/>
      <c r="I33" s="195"/>
      <c r="J33" s="1"/>
      <c r="K33" s="1"/>
      <c r="L33" s="1"/>
    </row>
    <row r="34" spans="1:13" ht="15.75" x14ac:dyDescent="0.25">
      <c r="A34" s="10"/>
      <c r="B34" s="195"/>
      <c r="C34" s="1"/>
      <c r="D34" s="1"/>
      <c r="E34" s="1"/>
      <c r="H34" s="5"/>
      <c r="I34" s="195"/>
      <c r="J34" s="161"/>
      <c r="K34" s="166"/>
      <c r="L34" s="1"/>
    </row>
    <row r="35" spans="1:13" ht="15.75" x14ac:dyDescent="0.25">
      <c r="A35" s="5"/>
      <c r="B35" s="196"/>
      <c r="C35" s="161"/>
      <c r="D35" s="166"/>
      <c r="E35" s="1"/>
      <c r="H35" s="5"/>
      <c r="I35" s="196"/>
      <c r="J35" s="164"/>
      <c r="K35" s="186"/>
      <c r="L35" s="1"/>
    </row>
    <row r="36" spans="1:13" hidden="1" x14ac:dyDescent="0.25">
      <c r="A36" s="10"/>
      <c r="B36" s="10"/>
      <c r="C36" s="7"/>
      <c r="D36" s="8"/>
      <c r="E36" s="1"/>
      <c r="H36" s="5"/>
      <c r="I36" s="40"/>
      <c r="J36" s="153"/>
      <c r="K36" s="10"/>
      <c r="L36" s="1"/>
    </row>
    <row r="37" spans="1:13" x14ac:dyDescent="0.25">
      <c r="H37" s="18"/>
    </row>
    <row r="38" spans="1:13" x14ac:dyDescent="0.25">
      <c r="A38" s="209" t="s">
        <v>8</v>
      </c>
      <c r="B38" s="209"/>
      <c r="C38" s="22" t="s">
        <v>9</v>
      </c>
      <c r="H38" s="6" t="s">
        <v>21</v>
      </c>
      <c r="I38" s="6"/>
      <c r="J38" s="22" t="s">
        <v>9</v>
      </c>
    </row>
    <row r="39" spans="1:13" x14ac:dyDescent="0.25">
      <c r="B39" s="17" t="s">
        <v>10</v>
      </c>
      <c r="C39" s="21">
        <f>COUNTIF(D6:D36,"L")</f>
        <v>16</v>
      </c>
      <c r="D39" s="208" t="s">
        <v>2417</v>
      </c>
      <c r="E39" s="208"/>
      <c r="F39" s="20"/>
      <c r="G39" s="32"/>
      <c r="I39" s="17" t="s">
        <v>10</v>
      </c>
      <c r="J39" s="23">
        <f>COUNTIF(K6:K36,"L")</f>
        <v>15</v>
      </c>
      <c r="K39" s="212" t="s">
        <v>2417</v>
      </c>
      <c r="L39" s="212"/>
    </row>
    <row r="40" spans="1:13" x14ac:dyDescent="0.25">
      <c r="B40" s="17" t="s">
        <v>11</v>
      </c>
      <c r="C40" s="23">
        <f>COUNTIF(D6:D36,"P")</f>
        <v>10</v>
      </c>
      <c r="D40" s="208" t="s">
        <v>12</v>
      </c>
      <c r="E40" s="208"/>
      <c r="F40" s="20"/>
      <c r="I40" s="17" t="s">
        <v>11</v>
      </c>
      <c r="J40" s="23">
        <f>COUNTIF(K6:K36,"P")</f>
        <v>10</v>
      </c>
      <c r="K40" s="18" t="s">
        <v>12</v>
      </c>
      <c r="L40" s="18"/>
      <c r="M40" s="19"/>
    </row>
    <row r="41" spans="1:13" x14ac:dyDescent="0.25">
      <c r="B41" s="30" t="s">
        <v>20</v>
      </c>
      <c r="C41" s="29">
        <f>C39+C40</f>
        <v>26</v>
      </c>
      <c r="D41" s="18"/>
      <c r="E41" s="18"/>
      <c r="F41" s="18"/>
      <c r="I41" s="30" t="s">
        <v>20</v>
      </c>
      <c r="J41" s="29">
        <f>J39+J40</f>
        <v>25</v>
      </c>
      <c r="K41" s="18"/>
      <c r="L41" s="18"/>
      <c r="M41" s="19"/>
    </row>
    <row r="42" spans="1:13" x14ac:dyDescent="0.25">
      <c r="M42" s="18"/>
    </row>
    <row r="43" spans="1:13" x14ac:dyDescent="0.25">
      <c r="K43" s="19" t="s">
        <v>13</v>
      </c>
      <c r="L43" s="19"/>
    </row>
    <row r="44" spans="1:13" x14ac:dyDescent="0.25">
      <c r="D44" s="208" t="s">
        <v>13</v>
      </c>
      <c r="E44" s="208"/>
      <c r="F44" s="20"/>
      <c r="K44" t="s">
        <v>14</v>
      </c>
    </row>
    <row r="45" spans="1:13" x14ac:dyDescent="0.25">
      <c r="D45" t="s">
        <v>14</v>
      </c>
      <c r="M45" s="19"/>
    </row>
    <row r="47" spans="1:13" ht="15.75" x14ac:dyDescent="0.25">
      <c r="A47" s="210" t="s">
        <v>670</v>
      </c>
      <c r="B47" s="210"/>
      <c r="C47" s="210"/>
      <c r="D47" s="210"/>
      <c r="E47" s="210"/>
      <c r="G47" s="211" t="s">
        <v>670</v>
      </c>
      <c r="H47" s="210"/>
      <c r="I47" s="210"/>
      <c r="J47" s="210"/>
      <c r="K47" s="210"/>
      <c r="L47" s="210"/>
    </row>
    <row r="48" spans="1:13" ht="15.75" x14ac:dyDescent="0.25">
      <c r="A48" s="210" t="s">
        <v>2415</v>
      </c>
      <c r="B48" s="210"/>
      <c r="C48" s="210"/>
      <c r="D48" s="210"/>
      <c r="E48" s="210"/>
      <c r="G48" s="211" t="s">
        <v>2415</v>
      </c>
      <c r="H48" s="210"/>
      <c r="I48" s="210"/>
      <c r="J48" s="210"/>
      <c r="K48" s="210"/>
      <c r="L48" s="210"/>
    </row>
    <row r="49" spans="1:12" ht="15.75" x14ac:dyDescent="0.25">
      <c r="A49" s="210" t="s">
        <v>2425</v>
      </c>
      <c r="B49" s="210"/>
      <c r="C49" s="210"/>
      <c r="D49" s="210"/>
      <c r="E49" s="210"/>
      <c r="H49" s="210" t="s">
        <v>2426</v>
      </c>
      <c r="I49" s="210"/>
      <c r="J49" s="210"/>
      <c r="K49" s="210"/>
      <c r="L49" s="210"/>
    </row>
    <row r="50" spans="1:12" x14ac:dyDescent="0.25">
      <c r="A50" s="6"/>
      <c r="B50" s="6"/>
      <c r="C50" s="6"/>
      <c r="D50" s="6"/>
      <c r="H50" s="6"/>
      <c r="I50" s="6"/>
      <c r="J50" s="6"/>
      <c r="K50" s="6"/>
    </row>
    <row r="51" spans="1:12" ht="15.95" customHeight="1" x14ac:dyDescent="0.25">
      <c r="A51" s="13" t="s">
        <v>2</v>
      </c>
      <c r="B51" s="13" t="s">
        <v>3</v>
      </c>
      <c r="C51" s="13" t="s">
        <v>7</v>
      </c>
      <c r="D51" s="13" t="s">
        <v>5</v>
      </c>
      <c r="E51" s="13" t="s">
        <v>6</v>
      </c>
      <c r="H51" s="13" t="s">
        <v>2</v>
      </c>
      <c r="I51" s="13" t="s">
        <v>3</v>
      </c>
      <c r="J51" s="13" t="s">
        <v>7</v>
      </c>
      <c r="K51" s="13" t="s">
        <v>5</v>
      </c>
      <c r="L51" s="13" t="s">
        <v>6</v>
      </c>
    </row>
    <row r="52" spans="1:12" ht="15.95" customHeight="1" x14ac:dyDescent="0.25">
      <c r="A52" s="9">
        <v>1</v>
      </c>
      <c r="B52" s="191" t="s">
        <v>2659</v>
      </c>
      <c r="C52" s="48" t="s">
        <v>2481</v>
      </c>
      <c r="D52" s="160" t="s">
        <v>0</v>
      </c>
      <c r="E52" s="1"/>
      <c r="H52" s="9">
        <v>1</v>
      </c>
      <c r="I52" s="196" t="s">
        <v>2686</v>
      </c>
      <c r="J52" s="48" t="s">
        <v>2789</v>
      </c>
      <c r="K52" s="160" t="s">
        <v>0</v>
      </c>
      <c r="L52" s="1"/>
    </row>
    <row r="53" spans="1:12" ht="15.95" customHeight="1" x14ac:dyDescent="0.25">
      <c r="A53" s="9">
        <v>2</v>
      </c>
      <c r="B53" s="194" t="s">
        <v>2660</v>
      </c>
      <c r="C53" s="161" t="s">
        <v>2482</v>
      </c>
      <c r="D53" s="59" t="s">
        <v>0</v>
      </c>
      <c r="E53" s="1"/>
      <c r="H53" s="9">
        <v>2</v>
      </c>
      <c r="I53" s="196" t="s">
        <v>2687</v>
      </c>
      <c r="J53" s="48" t="s">
        <v>2504</v>
      </c>
      <c r="K53" s="166" t="s">
        <v>1</v>
      </c>
      <c r="L53" s="1"/>
    </row>
    <row r="54" spans="1:12" ht="15.95" customHeight="1" x14ac:dyDescent="0.25">
      <c r="A54" s="9">
        <v>3</v>
      </c>
      <c r="B54" s="195" t="s">
        <v>2661</v>
      </c>
      <c r="C54" s="161" t="s">
        <v>2483</v>
      </c>
      <c r="D54" s="159" t="s">
        <v>1</v>
      </c>
      <c r="E54" s="1"/>
      <c r="H54" s="9">
        <v>3</v>
      </c>
      <c r="I54" s="196" t="s">
        <v>2688</v>
      </c>
      <c r="J54" s="48" t="s">
        <v>2505</v>
      </c>
      <c r="K54" s="10" t="s">
        <v>1</v>
      </c>
      <c r="L54" s="1"/>
    </row>
    <row r="55" spans="1:12" ht="15.95" customHeight="1" x14ac:dyDescent="0.25">
      <c r="A55" s="9">
        <v>4</v>
      </c>
      <c r="B55" s="196" t="s">
        <v>2662</v>
      </c>
      <c r="C55" s="48" t="s">
        <v>2440</v>
      </c>
      <c r="D55" s="9" t="s">
        <v>0</v>
      </c>
      <c r="E55" s="1"/>
      <c r="H55" s="9">
        <v>4</v>
      </c>
      <c r="I55" s="196" t="s">
        <v>2689</v>
      </c>
      <c r="J55" s="48" t="s">
        <v>2506</v>
      </c>
      <c r="K55" s="59" t="s">
        <v>0</v>
      </c>
      <c r="L55" s="1"/>
    </row>
    <row r="56" spans="1:12" ht="15.95" customHeight="1" x14ac:dyDescent="0.25">
      <c r="A56" s="9">
        <v>5</v>
      </c>
      <c r="B56" s="196" t="s">
        <v>2663</v>
      </c>
      <c r="C56" s="161" t="s">
        <v>2484</v>
      </c>
      <c r="D56" s="159" t="s">
        <v>0</v>
      </c>
      <c r="E56" s="1"/>
      <c r="H56" s="9">
        <v>5</v>
      </c>
      <c r="I56" s="196" t="s">
        <v>2690</v>
      </c>
      <c r="J56" s="48" t="s">
        <v>2507</v>
      </c>
      <c r="K56" s="160" t="s">
        <v>0</v>
      </c>
      <c r="L56" s="1"/>
    </row>
    <row r="57" spans="1:12" ht="15.95" customHeight="1" x14ac:dyDescent="0.25">
      <c r="A57" s="9">
        <v>6</v>
      </c>
      <c r="B57" s="196" t="s">
        <v>2664</v>
      </c>
      <c r="C57" s="161" t="s">
        <v>2485</v>
      </c>
      <c r="D57" s="59" t="s">
        <v>1</v>
      </c>
      <c r="E57" s="1"/>
      <c r="H57" s="9">
        <v>6</v>
      </c>
      <c r="I57" s="196" t="s">
        <v>2691</v>
      </c>
      <c r="J57" s="48" t="s">
        <v>2508</v>
      </c>
      <c r="K57" s="59" t="s">
        <v>1</v>
      </c>
      <c r="L57" s="1"/>
    </row>
    <row r="58" spans="1:12" ht="15.95" customHeight="1" x14ac:dyDescent="0.25">
      <c r="A58" s="9">
        <v>7</v>
      </c>
      <c r="B58" s="196" t="s">
        <v>2665</v>
      </c>
      <c r="C58" s="161" t="s">
        <v>2486</v>
      </c>
      <c r="D58" s="160" t="s">
        <v>1</v>
      </c>
      <c r="E58" s="1"/>
      <c r="H58" s="9">
        <v>7</v>
      </c>
      <c r="I58" s="196" t="s">
        <v>2692</v>
      </c>
      <c r="J58" s="48" t="s">
        <v>2509</v>
      </c>
      <c r="K58" s="160" t="s">
        <v>0</v>
      </c>
      <c r="L58" s="1"/>
    </row>
    <row r="59" spans="1:12" ht="15.95" customHeight="1" x14ac:dyDescent="0.25">
      <c r="A59" s="9">
        <v>8</v>
      </c>
      <c r="B59" s="196" t="s">
        <v>2666</v>
      </c>
      <c r="C59" s="161" t="s">
        <v>2487</v>
      </c>
      <c r="D59" s="162" t="s">
        <v>0</v>
      </c>
      <c r="E59" s="1"/>
      <c r="H59" s="9">
        <v>8</v>
      </c>
      <c r="I59" s="196" t="s">
        <v>2693</v>
      </c>
      <c r="J59" s="48" t="s">
        <v>2510</v>
      </c>
      <c r="K59" s="59" t="s">
        <v>1</v>
      </c>
      <c r="L59" s="1"/>
    </row>
    <row r="60" spans="1:12" ht="15.95" customHeight="1" x14ac:dyDescent="0.25">
      <c r="A60" s="9">
        <v>9</v>
      </c>
      <c r="B60" s="196" t="s">
        <v>2667</v>
      </c>
      <c r="C60" s="161" t="s">
        <v>2782</v>
      </c>
      <c r="D60" s="160" t="s">
        <v>0</v>
      </c>
      <c r="E60" s="1"/>
      <c r="H60" s="9">
        <v>9</v>
      </c>
      <c r="I60" s="196" t="s">
        <v>2694</v>
      </c>
      <c r="J60" s="48" t="s">
        <v>2511</v>
      </c>
      <c r="K60" s="160" t="s">
        <v>0</v>
      </c>
      <c r="L60" s="1"/>
    </row>
    <row r="61" spans="1:12" ht="15.95" customHeight="1" x14ac:dyDescent="0.25">
      <c r="A61" s="9">
        <v>10</v>
      </c>
      <c r="B61" s="196" t="s">
        <v>2668</v>
      </c>
      <c r="C61" s="163" t="s">
        <v>2488</v>
      </c>
      <c r="D61" s="162" t="s">
        <v>0</v>
      </c>
      <c r="E61" s="1"/>
      <c r="H61" s="9">
        <v>10</v>
      </c>
      <c r="I61" s="196" t="s">
        <v>2695</v>
      </c>
      <c r="J61" s="48" t="s">
        <v>2512</v>
      </c>
      <c r="K61" s="160" t="s">
        <v>0</v>
      </c>
      <c r="L61" s="1"/>
    </row>
    <row r="62" spans="1:12" ht="15.95" customHeight="1" x14ac:dyDescent="0.25">
      <c r="A62" s="9">
        <v>11</v>
      </c>
      <c r="B62" s="196" t="s">
        <v>2669</v>
      </c>
      <c r="C62" s="161" t="s">
        <v>2489</v>
      </c>
      <c r="D62" s="159" t="s">
        <v>1</v>
      </c>
      <c r="E62" s="1"/>
      <c r="H62" s="9">
        <v>11</v>
      </c>
      <c r="I62" s="196" t="s">
        <v>2696</v>
      </c>
      <c r="J62" s="48" t="s">
        <v>2513</v>
      </c>
      <c r="K62" s="59" t="s">
        <v>0</v>
      </c>
      <c r="L62" s="1"/>
    </row>
    <row r="63" spans="1:12" ht="15.95" customHeight="1" x14ac:dyDescent="0.25">
      <c r="A63" s="9">
        <v>12</v>
      </c>
      <c r="B63" s="196" t="s">
        <v>2670</v>
      </c>
      <c r="C63" s="161" t="s">
        <v>2490</v>
      </c>
      <c r="D63" s="162" t="s">
        <v>0</v>
      </c>
      <c r="E63" s="1"/>
      <c r="H63" s="9">
        <v>12</v>
      </c>
      <c r="I63" s="196" t="s">
        <v>2697</v>
      </c>
      <c r="J63" s="48" t="s">
        <v>2514</v>
      </c>
      <c r="K63" s="59" t="s">
        <v>1</v>
      </c>
      <c r="L63" s="1"/>
    </row>
    <row r="64" spans="1:12" ht="15.95" customHeight="1" x14ac:dyDescent="0.25">
      <c r="A64" s="9">
        <v>13</v>
      </c>
      <c r="B64" s="196" t="s">
        <v>2671</v>
      </c>
      <c r="C64" s="161" t="s">
        <v>2491</v>
      </c>
      <c r="D64" s="162" t="s">
        <v>1</v>
      </c>
      <c r="E64" s="1"/>
      <c r="H64" s="9">
        <v>13</v>
      </c>
      <c r="I64" s="196" t="s">
        <v>2698</v>
      </c>
      <c r="J64" s="48" t="s">
        <v>2515</v>
      </c>
      <c r="K64" s="59" t="s">
        <v>0</v>
      </c>
      <c r="L64" s="1"/>
    </row>
    <row r="65" spans="1:12" ht="15.95" customHeight="1" x14ac:dyDescent="0.25">
      <c r="A65" s="9">
        <v>14</v>
      </c>
      <c r="B65" s="196" t="s">
        <v>2672</v>
      </c>
      <c r="C65" s="161" t="s">
        <v>2492</v>
      </c>
      <c r="D65" s="59" t="s">
        <v>0</v>
      </c>
      <c r="E65" s="1"/>
      <c r="H65" s="9">
        <v>14</v>
      </c>
      <c r="I65" s="196" t="s">
        <v>2699</v>
      </c>
      <c r="J65" s="48" t="s">
        <v>2516</v>
      </c>
      <c r="K65" s="9" t="s">
        <v>0</v>
      </c>
      <c r="L65" s="1"/>
    </row>
    <row r="66" spans="1:12" ht="15.95" customHeight="1" x14ac:dyDescent="0.25">
      <c r="A66" s="9">
        <v>15</v>
      </c>
      <c r="B66" s="196" t="s">
        <v>2673</v>
      </c>
      <c r="C66" s="161" t="s">
        <v>2493</v>
      </c>
      <c r="D66" s="59" t="s">
        <v>0</v>
      </c>
      <c r="E66" s="1"/>
      <c r="H66" s="9">
        <v>15</v>
      </c>
      <c r="I66" s="196" t="s">
        <v>2700</v>
      </c>
      <c r="J66" s="48" t="s">
        <v>2517</v>
      </c>
      <c r="K66" s="59" t="s">
        <v>0</v>
      </c>
      <c r="L66" s="1"/>
    </row>
    <row r="67" spans="1:12" ht="15.95" customHeight="1" x14ac:dyDescent="0.25">
      <c r="A67" s="9">
        <v>16</v>
      </c>
      <c r="B67" s="196" t="s">
        <v>2674</v>
      </c>
      <c r="C67" s="161" t="s">
        <v>2494</v>
      </c>
      <c r="D67" s="162" t="s">
        <v>0</v>
      </c>
      <c r="E67" s="1"/>
      <c r="H67" s="9">
        <v>16</v>
      </c>
      <c r="I67" s="196" t="s">
        <v>2701</v>
      </c>
      <c r="J67" s="48" t="s">
        <v>2518</v>
      </c>
      <c r="K67" s="59" t="s">
        <v>1</v>
      </c>
      <c r="L67" s="1"/>
    </row>
    <row r="68" spans="1:12" ht="15.95" customHeight="1" x14ac:dyDescent="0.25">
      <c r="A68" s="9">
        <v>17</v>
      </c>
      <c r="B68" s="196" t="s">
        <v>2675</v>
      </c>
      <c r="C68" s="161" t="s">
        <v>2495</v>
      </c>
      <c r="D68" s="162" t="s">
        <v>1</v>
      </c>
      <c r="E68" s="1"/>
      <c r="H68" s="9">
        <v>17</v>
      </c>
      <c r="I68" s="196" t="s">
        <v>2702</v>
      </c>
      <c r="J68" s="48" t="s">
        <v>2519</v>
      </c>
      <c r="K68" s="59" t="s">
        <v>0</v>
      </c>
      <c r="L68" s="1"/>
    </row>
    <row r="69" spans="1:12" ht="15.95" customHeight="1" x14ac:dyDescent="0.25">
      <c r="A69" s="9">
        <v>18</v>
      </c>
      <c r="B69" s="196" t="s">
        <v>2676</v>
      </c>
      <c r="C69" s="161" t="s">
        <v>2496</v>
      </c>
      <c r="D69" s="162" t="s">
        <v>1</v>
      </c>
      <c r="E69" s="1"/>
      <c r="H69" s="9">
        <v>18</v>
      </c>
      <c r="I69" s="196" t="s">
        <v>2703</v>
      </c>
      <c r="J69" s="48" t="s">
        <v>2542</v>
      </c>
      <c r="K69" s="59" t="s">
        <v>1</v>
      </c>
      <c r="L69" s="1"/>
    </row>
    <row r="70" spans="1:12" ht="15.95" customHeight="1" x14ac:dyDescent="0.25">
      <c r="A70" s="9">
        <v>19</v>
      </c>
      <c r="B70" s="196" t="s">
        <v>2677</v>
      </c>
      <c r="C70" s="161" t="s">
        <v>2497</v>
      </c>
      <c r="D70" s="59" t="s">
        <v>1</v>
      </c>
      <c r="E70" s="1"/>
      <c r="H70" s="9">
        <v>19</v>
      </c>
      <c r="I70" s="196" t="s">
        <v>2704</v>
      </c>
      <c r="J70" s="48" t="s">
        <v>2520</v>
      </c>
      <c r="K70" s="59" t="s">
        <v>1</v>
      </c>
      <c r="L70" s="1"/>
    </row>
    <row r="71" spans="1:12" ht="15.95" customHeight="1" x14ac:dyDescent="0.25">
      <c r="A71" s="9">
        <v>20</v>
      </c>
      <c r="B71" s="196" t="s">
        <v>2678</v>
      </c>
      <c r="C71" s="161" t="s">
        <v>2498</v>
      </c>
      <c r="D71" s="59" t="s">
        <v>1</v>
      </c>
      <c r="E71" s="1"/>
      <c r="H71" s="9">
        <v>20</v>
      </c>
      <c r="I71" s="196" t="s">
        <v>2705</v>
      </c>
      <c r="J71" s="48" t="s">
        <v>2521</v>
      </c>
      <c r="K71" s="59" t="s">
        <v>0</v>
      </c>
      <c r="L71" s="9"/>
    </row>
    <row r="72" spans="1:12" ht="15.95" customHeight="1" x14ac:dyDescent="0.25">
      <c r="A72" s="9">
        <v>21</v>
      </c>
      <c r="B72" s="196" t="s">
        <v>2679</v>
      </c>
      <c r="C72" s="161" t="s">
        <v>2499</v>
      </c>
      <c r="D72" s="162" t="s">
        <v>0</v>
      </c>
      <c r="E72" s="1"/>
      <c r="H72" s="9">
        <v>21</v>
      </c>
      <c r="I72" s="196" t="s">
        <v>2706</v>
      </c>
      <c r="J72" s="164" t="s">
        <v>2522</v>
      </c>
      <c r="K72" s="59" t="s">
        <v>0</v>
      </c>
      <c r="L72" s="1"/>
    </row>
    <row r="73" spans="1:12" ht="15.95" customHeight="1" x14ac:dyDescent="0.25">
      <c r="A73" s="9">
        <v>22</v>
      </c>
      <c r="B73" s="196" t="s">
        <v>2680</v>
      </c>
      <c r="C73" s="163" t="s">
        <v>2500</v>
      </c>
      <c r="D73" s="167" t="s">
        <v>1</v>
      </c>
      <c r="E73" s="1"/>
      <c r="H73" s="9">
        <v>22</v>
      </c>
      <c r="I73" s="196" t="s">
        <v>2707</v>
      </c>
      <c r="J73" s="105" t="s">
        <v>2523</v>
      </c>
      <c r="K73" s="5" t="s">
        <v>0</v>
      </c>
      <c r="L73" s="1"/>
    </row>
    <row r="74" spans="1:12" ht="15.95" customHeight="1" x14ac:dyDescent="0.25">
      <c r="A74" s="9">
        <v>23</v>
      </c>
      <c r="B74" s="196" t="s">
        <v>2681</v>
      </c>
      <c r="C74" s="161" t="s">
        <v>2787</v>
      </c>
      <c r="D74" s="59" t="s">
        <v>1</v>
      </c>
      <c r="E74" s="135"/>
      <c r="H74" s="9">
        <v>23</v>
      </c>
      <c r="I74" s="196" t="s">
        <v>2708</v>
      </c>
      <c r="J74" s="48" t="s">
        <v>2525</v>
      </c>
      <c r="K74" s="59" t="s">
        <v>1</v>
      </c>
      <c r="L74" s="1"/>
    </row>
    <row r="75" spans="1:12" ht="15.95" customHeight="1" x14ac:dyDescent="0.25">
      <c r="A75" s="9">
        <v>24</v>
      </c>
      <c r="B75" s="196" t="s">
        <v>2682</v>
      </c>
      <c r="C75" s="161" t="s">
        <v>2501</v>
      </c>
      <c r="D75" s="59" t="s">
        <v>0</v>
      </c>
      <c r="E75" s="1"/>
      <c r="H75" s="9">
        <v>24</v>
      </c>
      <c r="I75" s="196" t="s">
        <v>2709</v>
      </c>
      <c r="J75" s="48" t="s">
        <v>2526</v>
      </c>
      <c r="K75" s="59" t="s">
        <v>1</v>
      </c>
      <c r="L75" s="1"/>
    </row>
    <row r="76" spans="1:12" ht="15.95" customHeight="1" x14ac:dyDescent="0.25">
      <c r="A76" s="9">
        <v>25</v>
      </c>
      <c r="B76" s="196" t="s">
        <v>2683</v>
      </c>
      <c r="C76" s="164" t="s">
        <v>2502</v>
      </c>
      <c r="D76" s="59" t="s">
        <v>0</v>
      </c>
      <c r="E76" s="1"/>
      <c r="H76" s="9">
        <v>25</v>
      </c>
      <c r="I76" s="196" t="s">
        <v>2710</v>
      </c>
      <c r="J76" s="48" t="s">
        <v>2527</v>
      </c>
      <c r="K76" s="59" t="s">
        <v>1</v>
      </c>
      <c r="L76" s="1"/>
    </row>
    <row r="77" spans="1:12" ht="15.95" customHeight="1" x14ac:dyDescent="0.25">
      <c r="A77" s="9">
        <v>26</v>
      </c>
      <c r="B77" s="197" t="s">
        <v>2684</v>
      </c>
      <c r="C77" s="165" t="s">
        <v>2503</v>
      </c>
      <c r="D77" s="204" t="s">
        <v>1</v>
      </c>
      <c r="E77" s="1"/>
      <c r="H77" s="9">
        <v>26</v>
      </c>
      <c r="I77" s="196" t="s">
        <v>2711</v>
      </c>
      <c r="J77" s="179" t="s">
        <v>2528</v>
      </c>
      <c r="K77" s="160" t="s">
        <v>0</v>
      </c>
      <c r="L77" s="1"/>
    </row>
    <row r="78" spans="1:12" ht="15.95" customHeight="1" x14ac:dyDescent="0.25">
      <c r="A78" s="9">
        <v>27</v>
      </c>
      <c r="B78" s="196" t="s">
        <v>2685</v>
      </c>
      <c r="C78" s="161" t="s">
        <v>2783</v>
      </c>
      <c r="D78" s="166" t="s">
        <v>1</v>
      </c>
      <c r="E78" s="1"/>
      <c r="H78" s="9">
        <v>27</v>
      </c>
      <c r="I78" s="196" t="s">
        <v>2712</v>
      </c>
      <c r="J78" s="164" t="s">
        <v>2529</v>
      </c>
      <c r="K78" s="59" t="s">
        <v>0</v>
      </c>
      <c r="L78" s="1"/>
    </row>
    <row r="79" spans="1:12" ht="15.95" customHeight="1" x14ac:dyDescent="0.25">
      <c r="A79" s="9"/>
      <c r="B79" s="1"/>
      <c r="E79" s="1"/>
      <c r="H79" s="9"/>
      <c r="J79" s="1"/>
      <c r="K79" s="1"/>
      <c r="L79" s="1"/>
    </row>
    <row r="80" spans="1:12" ht="15.95" customHeight="1" x14ac:dyDescent="0.25">
      <c r="A80" s="9"/>
      <c r="B80" s="1"/>
      <c r="C80" s="206"/>
      <c r="D80" s="167"/>
      <c r="E80" s="1"/>
      <c r="H80" s="9"/>
      <c r="I80" s="1"/>
      <c r="J80" s="48"/>
      <c r="K80" s="59"/>
      <c r="L80" s="1"/>
    </row>
    <row r="81" spans="1:12" ht="15.75" x14ac:dyDescent="0.25">
      <c r="A81" s="9"/>
      <c r="B81" s="196"/>
      <c r="C81" s="164"/>
      <c r="D81" s="9"/>
      <c r="E81" s="1"/>
      <c r="H81" s="9"/>
      <c r="I81" s="196"/>
      <c r="J81" s="164"/>
      <c r="K81" s="59"/>
      <c r="L81" s="1"/>
    </row>
    <row r="82" spans="1:12" ht="15.75" x14ac:dyDescent="0.25">
      <c r="A82" s="9"/>
      <c r="B82" s="10"/>
      <c r="C82" s="27"/>
      <c r="D82" s="5"/>
      <c r="E82" s="1"/>
      <c r="H82" s="9"/>
      <c r="I82" s="196"/>
      <c r="J82" s="48"/>
      <c r="K82" s="166"/>
      <c r="L82" s="1"/>
    </row>
    <row r="83" spans="1:12" hidden="1" x14ac:dyDescent="0.25">
      <c r="A83" s="9"/>
      <c r="B83" s="1"/>
      <c r="C83" s="1"/>
      <c r="D83" s="1"/>
      <c r="E83" s="1"/>
    </row>
    <row r="84" spans="1:12" x14ac:dyDescent="0.25">
      <c r="A84" s="209" t="s">
        <v>8</v>
      </c>
      <c r="B84" s="209"/>
      <c r="C84" s="22" t="s">
        <v>9</v>
      </c>
      <c r="H84" s="6" t="s">
        <v>8</v>
      </c>
      <c r="I84" s="6"/>
      <c r="J84" s="22" t="s">
        <v>9</v>
      </c>
    </row>
    <row r="85" spans="1:12" x14ac:dyDescent="0.25">
      <c r="B85" s="17" t="s">
        <v>10</v>
      </c>
      <c r="C85" s="23">
        <f>COUNTIF(D52:D82,"L")</f>
        <v>14</v>
      </c>
      <c r="D85" s="208" t="s">
        <v>2416</v>
      </c>
      <c r="E85" s="208"/>
      <c r="I85" s="17" t="s">
        <v>10</v>
      </c>
      <c r="J85" s="23">
        <f>COUNTIF(K52:K82,"L")</f>
        <v>16</v>
      </c>
      <c r="K85" s="208" t="s">
        <v>2416</v>
      </c>
      <c r="L85" s="208"/>
    </row>
    <row r="86" spans="1:12" x14ac:dyDescent="0.25">
      <c r="B86" s="17" t="s">
        <v>11</v>
      </c>
      <c r="C86" s="23">
        <f>COUNTIF(D52:D82,"P")</f>
        <v>13</v>
      </c>
      <c r="D86" s="208" t="s">
        <v>12</v>
      </c>
      <c r="E86" s="208"/>
      <c r="I86" s="17" t="s">
        <v>11</v>
      </c>
      <c r="J86" s="23">
        <f>COUNTIF(K52:K82,"P")</f>
        <v>11</v>
      </c>
      <c r="K86" s="208" t="s">
        <v>12</v>
      </c>
      <c r="L86" s="208"/>
    </row>
    <row r="87" spans="1:12" x14ac:dyDescent="0.25">
      <c r="B87" s="30" t="s">
        <v>20</v>
      </c>
      <c r="C87" s="29">
        <f>C85+C86</f>
        <v>27</v>
      </c>
      <c r="D87" s="18"/>
      <c r="E87" s="18"/>
      <c r="I87" s="30" t="s">
        <v>20</v>
      </c>
      <c r="J87" s="29">
        <f>J85+J86</f>
        <v>27</v>
      </c>
      <c r="K87" s="18"/>
      <c r="L87" s="18"/>
    </row>
    <row r="90" spans="1:12" x14ac:dyDescent="0.25">
      <c r="D90" s="208" t="s">
        <v>13</v>
      </c>
      <c r="E90" s="208"/>
      <c r="K90" s="18" t="s">
        <v>13</v>
      </c>
      <c r="L90" s="18"/>
    </row>
    <row r="91" spans="1:12" x14ac:dyDescent="0.25">
      <c r="D91" t="s">
        <v>14</v>
      </c>
      <c r="K91" t="s">
        <v>14</v>
      </c>
    </row>
    <row r="92" spans="1:12" hidden="1" x14ac:dyDescent="0.25">
      <c r="G92" s="15" t="s">
        <v>1184</v>
      </c>
    </row>
    <row r="93" spans="1:12" hidden="1" x14ac:dyDescent="0.25"/>
    <row r="94" spans="1:12" ht="15.75" x14ac:dyDescent="0.25">
      <c r="A94" s="210" t="s">
        <v>670</v>
      </c>
      <c r="B94" s="210"/>
      <c r="C94" s="210"/>
      <c r="D94" s="210"/>
      <c r="E94" s="210"/>
      <c r="G94" s="211" t="s">
        <v>670</v>
      </c>
      <c r="H94" s="210"/>
      <c r="I94" s="210"/>
      <c r="J94" s="210"/>
      <c r="K94" s="210"/>
      <c r="L94" s="210"/>
    </row>
    <row r="95" spans="1:12" ht="15.75" x14ac:dyDescent="0.25">
      <c r="A95" s="210" t="s">
        <v>2415</v>
      </c>
      <c r="B95" s="210"/>
      <c r="C95" s="210"/>
      <c r="D95" s="210"/>
      <c r="E95" s="210"/>
      <c r="G95" s="211" t="s">
        <v>2415</v>
      </c>
      <c r="H95" s="210"/>
      <c r="I95" s="210"/>
      <c r="J95" s="210"/>
      <c r="K95" s="210"/>
      <c r="L95" s="210"/>
    </row>
    <row r="96" spans="1:12" ht="15.75" x14ac:dyDescent="0.25">
      <c r="A96" s="210" t="s">
        <v>2427</v>
      </c>
      <c r="B96" s="210"/>
      <c r="C96" s="210"/>
      <c r="D96" s="210"/>
      <c r="E96" s="210"/>
      <c r="H96" s="210" t="s">
        <v>2428</v>
      </c>
      <c r="I96" s="210"/>
      <c r="J96" s="210"/>
      <c r="K96" s="210"/>
      <c r="L96" s="210"/>
    </row>
    <row r="97" spans="1:12" ht="7.5" customHeight="1" x14ac:dyDescent="0.25">
      <c r="A97" s="6"/>
      <c r="B97" s="6"/>
      <c r="C97" s="6"/>
      <c r="D97" s="6"/>
      <c r="H97" s="6"/>
      <c r="I97" s="6"/>
      <c r="J97" s="6"/>
      <c r="K97" s="6"/>
    </row>
    <row r="98" spans="1:12" ht="15.95" customHeight="1" x14ac:dyDescent="0.25">
      <c r="A98" s="13" t="s">
        <v>2</v>
      </c>
      <c r="B98" s="13" t="s">
        <v>3</v>
      </c>
      <c r="C98" s="13" t="s">
        <v>7</v>
      </c>
      <c r="D98" s="13" t="s">
        <v>5</v>
      </c>
      <c r="E98" s="13" t="s">
        <v>6</v>
      </c>
      <c r="H98" s="13" t="s">
        <v>2</v>
      </c>
      <c r="I98" s="13" t="s">
        <v>3</v>
      </c>
      <c r="J98" s="13" t="s">
        <v>7</v>
      </c>
      <c r="K98" s="13" t="s">
        <v>5</v>
      </c>
      <c r="L98" s="13" t="s">
        <v>6</v>
      </c>
    </row>
    <row r="99" spans="1:12" ht="15.95" customHeight="1" x14ac:dyDescent="0.25">
      <c r="A99" s="5">
        <v>1</v>
      </c>
      <c r="B99" s="196" t="s">
        <v>2713</v>
      </c>
      <c r="C99" s="179" t="s">
        <v>2593</v>
      </c>
      <c r="D99" s="160" t="s">
        <v>0</v>
      </c>
      <c r="E99" s="1"/>
      <c r="H99" s="114">
        <v>1</v>
      </c>
      <c r="I99" s="201" t="s">
        <v>2736</v>
      </c>
      <c r="J99" s="179" t="s">
        <v>2790</v>
      </c>
      <c r="K99" s="160" t="s">
        <v>1</v>
      </c>
      <c r="L99" s="1"/>
    </row>
    <row r="100" spans="1:12" ht="15.95" customHeight="1" x14ac:dyDescent="0.25">
      <c r="A100" s="5">
        <v>2</v>
      </c>
      <c r="B100" s="196" t="s">
        <v>2714</v>
      </c>
      <c r="C100" s="48" t="s">
        <v>2594</v>
      </c>
      <c r="D100" s="59" t="s">
        <v>0</v>
      </c>
      <c r="E100" s="1"/>
      <c r="H100" s="114">
        <v>2</v>
      </c>
      <c r="I100" s="201" t="s">
        <v>2737</v>
      </c>
      <c r="J100" s="161" t="s">
        <v>2548</v>
      </c>
      <c r="K100" s="162" t="s">
        <v>1</v>
      </c>
      <c r="L100" s="1"/>
    </row>
    <row r="101" spans="1:12" ht="15.95" customHeight="1" x14ac:dyDescent="0.25">
      <c r="A101" s="5">
        <v>3</v>
      </c>
      <c r="B101" s="196" t="s">
        <v>2715</v>
      </c>
      <c r="C101" s="48" t="s">
        <v>2595</v>
      </c>
      <c r="D101" s="59" t="s">
        <v>1</v>
      </c>
      <c r="E101" s="1"/>
      <c r="H101" s="114">
        <v>3</v>
      </c>
      <c r="I101" s="201" t="s">
        <v>2738</v>
      </c>
      <c r="J101" s="48" t="s">
        <v>2549</v>
      </c>
      <c r="K101" s="160" t="s">
        <v>1</v>
      </c>
      <c r="L101" s="1"/>
    </row>
    <row r="102" spans="1:12" ht="15.95" customHeight="1" x14ac:dyDescent="0.25">
      <c r="A102" s="5">
        <v>4</v>
      </c>
      <c r="B102" s="196" t="s">
        <v>2716</v>
      </c>
      <c r="C102" s="48" t="s">
        <v>2596</v>
      </c>
      <c r="D102" s="160" t="s">
        <v>1</v>
      </c>
      <c r="E102" s="1"/>
      <c r="H102" s="114">
        <v>4</v>
      </c>
      <c r="I102" s="201" t="s">
        <v>2739</v>
      </c>
      <c r="J102" s="48" t="s">
        <v>2550</v>
      </c>
      <c r="K102" s="59" t="s">
        <v>0</v>
      </c>
      <c r="L102" s="1"/>
    </row>
    <row r="103" spans="1:12" ht="15.95" customHeight="1" x14ac:dyDescent="0.25">
      <c r="A103" s="5">
        <v>5</v>
      </c>
      <c r="B103" s="201" t="s">
        <v>2717</v>
      </c>
      <c r="C103" s="48" t="s">
        <v>2530</v>
      </c>
      <c r="D103" s="59" t="s">
        <v>0</v>
      </c>
      <c r="E103" s="1"/>
      <c r="H103" s="114">
        <v>5</v>
      </c>
      <c r="I103" s="196" t="s">
        <v>2740</v>
      </c>
      <c r="J103" s="161" t="s">
        <v>2551</v>
      </c>
      <c r="K103" s="160" t="s">
        <v>1</v>
      </c>
      <c r="L103" s="1"/>
    </row>
    <row r="104" spans="1:12" ht="15.95" customHeight="1" x14ac:dyDescent="0.25">
      <c r="A104" s="5">
        <v>6</v>
      </c>
      <c r="B104" s="201" t="s">
        <v>2718</v>
      </c>
      <c r="C104" s="48" t="s">
        <v>2531</v>
      </c>
      <c r="D104" s="160" t="s">
        <v>1</v>
      </c>
      <c r="E104" s="1"/>
      <c r="H104" s="114">
        <v>6</v>
      </c>
      <c r="I104" s="196" t="s">
        <v>2741</v>
      </c>
      <c r="J104" s="161" t="s">
        <v>2552</v>
      </c>
      <c r="K104" s="162" t="s">
        <v>1</v>
      </c>
      <c r="L104" s="1"/>
    </row>
    <row r="105" spans="1:12" ht="15.95" customHeight="1" x14ac:dyDescent="0.25">
      <c r="A105" s="5">
        <v>7</v>
      </c>
      <c r="B105" s="201" t="s">
        <v>2719</v>
      </c>
      <c r="C105" s="48" t="s">
        <v>2532</v>
      </c>
      <c r="D105" s="59" t="s">
        <v>0</v>
      </c>
      <c r="E105" s="1"/>
      <c r="H105" s="114">
        <v>7</v>
      </c>
      <c r="I105" s="196" t="s">
        <v>2742</v>
      </c>
      <c r="J105" s="56" t="s">
        <v>2781</v>
      </c>
      <c r="K105" s="160" t="s">
        <v>1</v>
      </c>
      <c r="L105" s="1"/>
    </row>
    <row r="106" spans="1:12" ht="15.95" customHeight="1" x14ac:dyDescent="0.25">
      <c r="A106" s="5">
        <v>8</v>
      </c>
      <c r="B106" s="201" t="s">
        <v>2720</v>
      </c>
      <c r="C106" s="48" t="s">
        <v>2533</v>
      </c>
      <c r="D106" s="160" t="s">
        <v>0</v>
      </c>
      <c r="E106" s="1"/>
      <c r="H106" s="114">
        <v>8</v>
      </c>
      <c r="I106" s="196" t="s">
        <v>2743</v>
      </c>
      <c r="J106" s="161" t="s">
        <v>2436</v>
      </c>
      <c r="K106" s="162" t="s">
        <v>1</v>
      </c>
      <c r="L106" s="1"/>
    </row>
    <row r="107" spans="1:12" ht="15.95" customHeight="1" x14ac:dyDescent="0.25">
      <c r="A107" s="5">
        <v>9</v>
      </c>
      <c r="B107" s="201" t="s">
        <v>2721</v>
      </c>
      <c r="C107" s="48" t="s">
        <v>2534</v>
      </c>
      <c r="D107" s="166" t="s">
        <v>1</v>
      </c>
      <c r="E107" s="4"/>
      <c r="H107" s="114">
        <v>9</v>
      </c>
      <c r="I107" s="196" t="s">
        <v>2744</v>
      </c>
      <c r="J107" s="161" t="s">
        <v>2553</v>
      </c>
      <c r="K107" s="159" t="s">
        <v>0</v>
      </c>
      <c r="L107" s="1"/>
    </row>
    <row r="108" spans="1:12" ht="15.95" customHeight="1" x14ac:dyDescent="0.25">
      <c r="A108" s="5">
        <v>10</v>
      </c>
      <c r="B108" s="201" t="s">
        <v>2722</v>
      </c>
      <c r="C108" s="48" t="s">
        <v>2535</v>
      </c>
      <c r="D108" s="160" t="s">
        <v>1</v>
      </c>
      <c r="E108" s="1"/>
      <c r="H108" s="114">
        <v>10</v>
      </c>
      <c r="I108" s="196" t="s">
        <v>2745</v>
      </c>
      <c r="J108" s="161" t="s">
        <v>2554</v>
      </c>
      <c r="K108" s="59" t="s">
        <v>1</v>
      </c>
      <c r="L108" s="1"/>
    </row>
    <row r="109" spans="1:12" ht="15.95" customHeight="1" x14ac:dyDescent="0.25">
      <c r="A109" s="5">
        <v>11</v>
      </c>
      <c r="B109" s="201" t="s">
        <v>2723</v>
      </c>
      <c r="C109" s="164" t="s">
        <v>2536</v>
      </c>
      <c r="D109" s="59" t="s">
        <v>0</v>
      </c>
      <c r="E109" s="1"/>
      <c r="H109" s="114">
        <v>11</v>
      </c>
      <c r="I109" s="196" t="s">
        <v>2746</v>
      </c>
      <c r="J109" s="161" t="s">
        <v>2443</v>
      </c>
      <c r="K109" s="159" t="s">
        <v>1</v>
      </c>
      <c r="L109" s="1"/>
    </row>
    <row r="110" spans="1:12" ht="15.95" customHeight="1" x14ac:dyDescent="0.25">
      <c r="A110" s="5">
        <v>12</v>
      </c>
      <c r="B110" s="201" t="s">
        <v>2724</v>
      </c>
      <c r="C110" s="48" t="s">
        <v>2537</v>
      </c>
      <c r="D110" s="160" t="s">
        <v>0</v>
      </c>
      <c r="E110" s="1"/>
      <c r="H110" s="114">
        <v>12</v>
      </c>
      <c r="I110" s="196" t="s">
        <v>2747</v>
      </c>
      <c r="J110" s="161" t="s">
        <v>2590</v>
      </c>
      <c r="K110" s="59" t="s">
        <v>1</v>
      </c>
      <c r="L110" s="1"/>
    </row>
    <row r="111" spans="1:12" ht="15.95" customHeight="1" x14ac:dyDescent="0.25">
      <c r="A111" s="5">
        <v>13</v>
      </c>
      <c r="B111" s="201" t="s">
        <v>2725</v>
      </c>
      <c r="C111" s="48" t="s">
        <v>2538</v>
      </c>
      <c r="D111" s="59" t="s">
        <v>1</v>
      </c>
      <c r="E111" s="1"/>
      <c r="H111" s="114">
        <v>13</v>
      </c>
      <c r="I111" s="196" t="s">
        <v>2748</v>
      </c>
      <c r="J111" s="161" t="s">
        <v>2555</v>
      </c>
      <c r="K111" s="159" t="s">
        <v>1</v>
      </c>
      <c r="L111" s="1"/>
    </row>
    <row r="112" spans="1:12" ht="15.95" customHeight="1" x14ac:dyDescent="0.25">
      <c r="A112" s="5">
        <v>14</v>
      </c>
      <c r="B112" s="201" t="s">
        <v>2726</v>
      </c>
      <c r="C112" s="48" t="s">
        <v>2539</v>
      </c>
      <c r="D112" s="59" t="s">
        <v>0</v>
      </c>
      <c r="E112" s="1"/>
      <c r="H112" s="114">
        <v>14</v>
      </c>
      <c r="I112" s="196" t="s">
        <v>2749</v>
      </c>
      <c r="J112" s="161" t="s">
        <v>2556</v>
      </c>
      <c r="K112" s="59" t="s">
        <v>0</v>
      </c>
      <c r="L112" s="1"/>
    </row>
    <row r="113" spans="1:16" ht="15.95" customHeight="1" x14ac:dyDescent="0.25">
      <c r="A113" s="5">
        <v>15</v>
      </c>
      <c r="B113" s="201" t="s">
        <v>2727</v>
      </c>
      <c r="C113" s="48" t="s">
        <v>2540</v>
      </c>
      <c r="D113" s="59" t="s">
        <v>0</v>
      </c>
      <c r="E113" s="1"/>
      <c r="H113" s="114">
        <v>15</v>
      </c>
      <c r="I113" s="196" t="s">
        <v>2750</v>
      </c>
      <c r="J113" s="163" t="s">
        <v>2557</v>
      </c>
      <c r="K113" s="162" t="s">
        <v>1</v>
      </c>
      <c r="L113" s="1"/>
    </row>
    <row r="114" spans="1:16" ht="15.95" customHeight="1" x14ac:dyDescent="0.25">
      <c r="A114" s="5">
        <v>16</v>
      </c>
      <c r="B114" s="201" t="s">
        <v>2728</v>
      </c>
      <c r="C114" s="48" t="s">
        <v>2541</v>
      </c>
      <c r="D114" s="59" t="s">
        <v>0</v>
      </c>
      <c r="E114" s="1"/>
      <c r="H114" s="114">
        <v>16</v>
      </c>
      <c r="I114" s="196" t="s">
        <v>2751</v>
      </c>
      <c r="J114" s="161" t="s">
        <v>2468</v>
      </c>
      <c r="K114" s="162" t="s">
        <v>1</v>
      </c>
      <c r="L114" s="1"/>
    </row>
    <row r="115" spans="1:16" ht="15.95" customHeight="1" x14ac:dyDescent="0.25">
      <c r="A115" s="5">
        <v>17</v>
      </c>
      <c r="B115" s="201" t="s">
        <v>2729</v>
      </c>
      <c r="C115" s="48" t="s">
        <v>2543</v>
      </c>
      <c r="D115" s="59" t="s">
        <v>1</v>
      </c>
      <c r="E115" s="1"/>
      <c r="H115" s="114">
        <v>17</v>
      </c>
      <c r="I115" s="196" t="s">
        <v>2752</v>
      </c>
      <c r="J115" s="48" t="s">
        <v>2558</v>
      </c>
      <c r="K115" s="59" t="s">
        <v>0</v>
      </c>
      <c r="L115" s="1"/>
    </row>
    <row r="116" spans="1:16" ht="15.95" customHeight="1" x14ac:dyDescent="0.25">
      <c r="A116" s="5">
        <v>18</v>
      </c>
      <c r="B116" s="201" t="s">
        <v>2730</v>
      </c>
      <c r="C116" s="48" t="s">
        <v>2544</v>
      </c>
      <c r="D116" s="59" t="s">
        <v>1</v>
      </c>
      <c r="E116" s="1"/>
      <c r="H116" s="114">
        <v>18</v>
      </c>
      <c r="I116" s="196" t="s">
        <v>2753</v>
      </c>
      <c r="J116" s="161" t="s">
        <v>2559</v>
      </c>
      <c r="K116" s="162" t="s">
        <v>1</v>
      </c>
      <c r="L116" s="1"/>
    </row>
    <row r="117" spans="1:16" ht="15.95" customHeight="1" x14ac:dyDescent="0.25">
      <c r="A117" s="5">
        <v>19</v>
      </c>
      <c r="B117" s="201" t="s">
        <v>2731</v>
      </c>
      <c r="C117" s="48" t="s">
        <v>2545</v>
      </c>
      <c r="D117" s="59" t="s">
        <v>1</v>
      </c>
      <c r="E117" s="1"/>
      <c r="H117" s="114">
        <v>19</v>
      </c>
      <c r="I117" s="196" t="s">
        <v>2754</v>
      </c>
      <c r="J117" s="161" t="s">
        <v>2560</v>
      </c>
      <c r="K117" s="162" t="s">
        <v>0</v>
      </c>
      <c r="L117" s="1"/>
    </row>
    <row r="118" spans="1:16" ht="15.95" customHeight="1" x14ac:dyDescent="0.25">
      <c r="A118" s="5">
        <v>20</v>
      </c>
      <c r="B118" s="201" t="s">
        <v>2732</v>
      </c>
      <c r="C118" s="48" t="s">
        <v>2597</v>
      </c>
      <c r="D118" s="59" t="s">
        <v>1</v>
      </c>
      <c r="E118" s="1"/>
      <c r="H118" s="114">
        <v>20</v>
      </c>
      <c r="I118" s="196" t="s">
        <v>2755</v>
      </c>
      <c r="J118" s="161" t="s">
        <v>2561</v>
      </c>
      <c r="K118" s="162" t="s">
        <v>0</v>
      </c>
      <c r="L118" s="1"/>
    </row>
    <row r="119" spans="1:16" ht="15.95" customHeight="1" x14ac:dyDescent="0.25">
      <c r="A119" s="5">
        <v>21</v>
      </c>
      <c r="B119" s="201" t="s">
        <v>2733</v>
      </c>
      <c r="C119" s="48" t="s">
        <v>2524</v>
      </c>
      <c r="D119" s="59" t="s">
        <v>0</v>
      </c>
      <c r="E119" s="1"/>
      <c r="H119" s="114">
        <v>21</v>
      </c>
      <c r="I119" s="196" t="s">
        <v>2756</v>
      </c>
      <c r="J119" s="161" t="s">
        <v>2562</v>
      </c>
      <c r="K119" s="59" t="s">
        <v>1</v>
      </c>
      <c r="L119" s="1"/>
    </row>
    <row r="120" spans="1:16" ht="15.95" customHeight="1" x14ac:dyDescent="0.25">
      <c r="A120" s="5">
        <v>22</v>
      </c>
      <c r="B120" s="201" t="s">
        <v>2734</v>
      </c>
      <c r="C120" s="48" t="s">
        <v>2546</v>
      </c>
      <c r="D120" s="59" t="s">
        <v>0</v>
      </c>
      <c r="E120" s="1"/>
      <c r="H120" s="114">
        <v>22</v>
      </c>
      <c r="I120" s="196" t="s">
        <v>2757</v>
      </c>
      <c r="J120" s="161" t="s">
        <v>2563</v>
      </c>
      <c r="K120" s="59" t="s">
        <v>1</v>
      </c>
      <c r="L120" s="1"/>
    </row>
    <row r="121" spans="1:16" ht="15.95" customHeight="1" x14ac:dyDescent="0.25">
      <c r="A121" s="5">
        <v>23</v>
      </c>
      <c r="B121" s="201" t="s">
        <v>2735</v>
      </c>
      <c r="C121" s="48" t="s">
        <v>2547</v>
      </c>
      <c r="D121" s="59" t="s">
        <v>0</v>
      </c>
      <c r="E121" s="1"/>
      <c r="H121" s="114">
        <v>23</v>
      </c>
      <c r="I121" s="196" t="s">
        <v>2758</v>
      </c>
      <c r="J121" s="55" t="s">
        <v>2564</v>
      </c>
      <c r="K121" s="63" t="s">
        <v>0</v>
      </c>
      <c r="L121" s="1"/>
      <c r="P121" t="s">
        <v>1</v>
      </c>
    </row>
    <row r="122" spans="1:16" ht="15.95" customHeight="1" x14ac:dyDescent="0.25">
      <c r="A122" s="5"/>
      <c r="C122" s="48"/>
      <c r="D122" s="59"/>
      <c r="E122" s="1"/>
      <c r="H122" s="114">
        <v>24</v>
      </c>
      <c r="I122" s="196" t="s">
        <v>2759</v>
      </c>
      <c r="J122" s="158" t="s">
        <v>2565</v>
      </c>
      <c r="K122" s="159" t="s">
        <v>1</v>
      </c>
      <c r="L122" s="1"/>
    </row>
    <row r="123" spans="1:16" ht="15.95" customHeight="1" x14ac:dyDescent="0.25">
      <c r="A123" s="5"/>
      <c r="B123" s="201"/>
      <c r="C123" s="164"/>
      <c r="D123" s="59"/>
      <c r="E123" s="1"/>
      <c r="H123" s="114">
        <v>25</v>
      </c>
      <c r="I123" s="196" t="s">
        <v>2760</v>
      </c>
      <c r="J123" s="161" t="s">
        <v>2566</v>
      </c>
      <c r="K123" s="162" t="s">
        <v>1</v>
      </c>
      <c r="L123" s="1"/>
    </row>
    <row r="124" spans="1:16" ht="15.95" customHeight="1" x14ac:dyDescent="0.25">
      <c r="A124" s="5"/>
      <c r="B124" s="201"/>
      <c r="C124" s="202"/>
      <c r="D124" s="59"/>
      <c r="E124" s="1"/>
      <c r="H124" s="114"/>
      <c r="I124" s="196"/>
      <c r="J124" s="55"/>
      <c r="K124" s="162"/>
      <c r="L124" s="1"/>
    </row>
    <row r="125" spans="1:16" ht="15.95" customHeight="1" x14ac:dyDescent="0.25">
      <c r="A125" s="5"/>
      <c r="B125" s="201"/>
      <c r="C125" s="48"/>
      <c r="D125" s="166"/>
      <c r="E125" s="1"/>
      <c r="H125" s="114"/>
      <c r="I125" s="109"/>
      <c r="J125" s="164"/>
      <c r="K125" s="59"/>
      <c r="L125" s="1"/>
    </row>
    <row r="126" spans="1:16" ht="15.95" customHeight="1" x14ac:dyDescent="0.25">
      <c r="A126" s="5"/>
      <c r="B126" s="200"/>
      <c r="C126" s="48"/>
      <c r="D126" s="9"/>
      <c r="E126" s="119"/>
      <c r="H126" s="114"/>
      <c r="I126" s="107"/>
      <c r="J126" s="165"/>
      <c r="K126" s="166"/>
      <c r="L126" s="1"/>
    </row>
    <row r="127" spans="1:16" ht="15.75" x14ac:dyDescent="0.25">
      <c r="A127" s="5"/>
      <c r="B127" s="200"/>
      <c r="C127" s="48"/>
      <c r="D127" s="59"/>
      <c r="E127" s="1"/>
      <c r="H127" s="114"/>
      <c r="I127" s="109"/>
      <c r="J127" s="161"/>
      <c r="K127" s="63"/>
      <c r="L127" s="1"/>
    </row>
    <row r="128" spans="1:16" ht="15.75" x14ac:dyDescent="0.25">
      <c r="A128" s="5"/>
      <c r="B128" s="137"/>
      <c r="C128" s="179"/>
      <c r="D128" s="160"/>
      <c r="E128" s="1"/>
      <c r="H128" s="114"/>
      <c r="I128" s="132"/>
      <c r="J128" s="161"/>
      <c r="K128" s="63"/>
      <c r="L128" s="1"/>
    </row>
    <row r="129" spans="1:12" ht="15.75" x14ac:dyDescent="0.25">
      <c r="A129" s="5"/>
      <c r="C129" s="48"/>
      <c r="D129" s="59"/>
      <c r="E129" s="1"/>
      <c r="H129" s="9"/>
      <c r="I129" s="10"/>
      <c r="J129" s="2"/>
      <c r="K129" s="3"/>
      <c r="L129" s="1"/>
    </row>
    <row r="130" spans="1:12" x14ac:dyDescent="0.25">
      <c r="A130" s="9"/>
      <c r="B130" s="1"/>
      <c r="C130" s="1"/>
      <c r="D130" s="1"/>
      <c r="E130" s="1"/>
    </row>
    <row r="131" spans="1:12" x14ac:dyDescent="0.25">
      <c r="A131" s="209" t="s">
        <v>8</v>
      </c>
      <c r="B131" s="209"/>
      <c r="C131" s="22" t="s">
        <v>9</v>
      </c>
      <c r="H131" s="6" t="s">
        <v>8</v>
      </c>
      <c r="I131" s="6"/>
      <c r="J131" s="22" t="s">
        <v>1184</v>
      </c>
    </row>
    <row r="132" spans="1:12" x14ac:dyDescent="0.25">
      <c r="B132" s="17" t="s">
        <v>10</v>
      </c>
      <c r="C132" s="23">
        <f>COUNTIF(D99:D129,"L")</f>
        <v>13</v>
      </c>
      <c r="D132" s="208" t="s">
        <v>2416</v>
      </c>
      <c r="E132" s="208"/>
      <c r="I132" s="17" t="s">
        <v>10</v>
      </c>
      <c r="J132" s="23">
        <f>COUNTIF(K99:K129,"L")</f>
        <v>7</v>
      </c>
      <c r="K132" s="208" t="s">
        <v>2417</v>
      </c>
      <c r="L132" s="208"/>
    </row>
    <row r="133" spans="1:12" x14ac:dyDescent="0.25">
      <c r="B133" s="17" t="s">
        <v>11</v>
      </c>
      <c r="C133" s="23">
        <f>COUNTIF(D99:D129,"P")</f>
        <v>10</v>
      </c>
      <c r="D133" s="208" t="s">
        <v>12</v>
      </c>
      <c r="E133" s="208"/>
      <c r="I133" s="17" t="s">
        <v>11</v>
      </c>
      <c r="J133" s="23">
        <f>COUNTIF(K99:K129,"P")</f>
        <v>18</v>
      </c>
      <c r="K133" s="208" t="s">
        <v>12</v>
      </c>
      <c r="L133" s="208"/>
    </row>
    <row r="134" spans="1:12" x14ac:dyDescent="0.25">
      <c r="B134" s="30" t="s">
        <v>20</v>
      </c>
      <c r="C134" s="29">
        <f>C132+C133</f>
        <v>23</v>
      </c>
      <c r="D134" s="18"/>
      <c r="E134" s="18"/>
      <c r="I134" s="30" t="s">
        <v>20</v>
      </c>
      <c r="J134" s="29">
        <f>J132+J133</f>
        <v>25</v>
      </c>
      <c r="K134" s="18"/>
      <c r="L134" s="18"/>
    </row>
    <row r="135" spans="1:12" hidden="1" x14ac:dyDescent="0.25"/>
    <row r="138" spans="1:12" x14ac:dyDescent="0.25">
      <c r="D138" s="208" t="s">
        <v>13</v>
      </c>
      <c r="E138" s="208"/>
      <c r="K138" s="21" t="s">
        <v>2419</v>
      </c>
      <c r="L138" s="19"/>
    </row>
    <row r="139" spans="1:12" hidden="1" x14ac:dyDescent="0.25">
      <c r="D139" t="s">
        <v>14</v>
      </c>
      <c r="K139" t="s">
        <v>14</v>
      </c>
    </row>
    <row r="140" spans="1:12" hidden="1" x14ac:dyDescent="0.25"/>
    <row r="141" spans="1:12" ht="15.75" x14ac:dyDescent="0.25">
      <c r="A141" s="210" t="s">
        <v>670</v>
      </c>
      <c r="B141" s="210"/>
      <c r="C141" s="210"/>
      <c r="D141" s="210"/>
      <c r="E141" s="210"/>
      <c r="H141" s="210" t="s">
        <v>670</v>
      </c>
      <c r="I141" s="210"/>
      <c r="J141" s="210"/>
      <c r="K141" s="210"/>
      <c r="L141" s="210"/>
    </row>
    <row r="142" spans="1:12" ht="15.75" x14ac:dyDescent="0.25">
      <c r="A142" s="210" t="s">
        <v>2415</v>
      </c>
      <c r="B142" s="210"/>
      <c r="C142" s="210"/>
      <c r="D142" s="210"/>
      <c r="E142" s="210"/>
      <c r="H142" s="210" t="s">
        <v>2415</v>
      </c>
      <c r="I142" s="210"/>
      <c r="J142" s="210"/>
      <c r="K142" s="210"/>
      <c r="L142" s="210"/>
    </row>
    <row r="143" spans="1:12" ht="15.75" x14ac:dyDescent="0.25">
      <c r="A143" s="210" t="s">
        <v>2429</v>
      </c>
      <c r="B143" s="210"/>
      <c r="C143" s="210"/>
      <c r="D143" s="210"/>
      <c r="E143" s="210"/>
      <c r="H143" s="210" t="s">
        <v>2198</v>
      </c>
      <c r="I143" s="210"/>
      <c r="J143" s="210"/>
      <c r="K143" s="210"/>
      <c r="L143" s="210"/>
    </row>
    <row r="144" spans="1:12" x14ac:dyDescent="0.25">
      <c r="A144" s="6"/>
      <c r="B144" s="6"/>
      <c r="C144" s="6"/>
      <c r="D144" s="6"/>
      <c r="H144" s="6"/>
      <c r="I144" s="6"/>
      <c r="J144" s="6"/>
      <c r="K144" s="6"/>
    </row>
    <row r="145" spans="1:16" ht="15.95" customHeight="1" x14ac:dyDescent="0.25">
      <c r="A145" s="13" t="s">
        <v>2</v>
      </c>
      <c r="B145" s="13" t="s">
        <v>3</v>
      </c>
      <c r="C145" s="13" t="s">
        <v>4</v>
      </c>
      <c r="D145" s="13" t="s">
        <v>5</v>
      </c>
      <c r="E145" s="13" t="s">
        <v>6</v>
      </c>
      <c r="H145" s="13" t="s">
        <v>2</v>
      </c>
      <c r="I145" s="13" t="s">
        <v>3</v>
      </c>
      <c r="J145" s="13" t="s">
        <v>4</v>
      </c>
      <c r="K145" s="13" t="s">
        <v>5</v>
      </c>
      <c r="L145" s="13" t="s">
        <v>6</v>
      </c>
    </row>
    <row r="146" spans="1:16" ht="15.95" customHeight="1" x14ac:dyDescent="0.25">
      <c r="A146" s="10">
        <v>1</v>
      </c>
      <c r="B146" s="196" t="s">
        <v>2761</v>
      </c>
      <c r="C146" s="158" t="s">
        <v>2567</v>
      </c>
      <c r="D146" s="159" t="s">
        <v>0</v>
      </c>
      <c r="E146" s="1"/>
      <c r="H146" s="10">
        <v>1</v>
      </c>
      <c r="I146" s="107"/>
      <c r="J146" s="158"/>
      <c r="K146" s="159"/>
      <c r="L146" s="1"/>
    </row>
    <row r="147" spans="1:16" ht="15.95" customHeight="1" x14ac:dyDescent="0.25">
      <c r="A147" s="5">
        <v>2</v>
      </c>
      <c r="B147" s="196" t="s">
        <v>2762</v>
      </c>
      <c r="C147" s="48" t="s">
        <v>2568</v>
      </c>
      <c r="D147" s="59" t="s">
        <v>1</v>
      </c>
      <c r="E147" s="1"/>
      <c r="H147" s="5">
        <v>2</v>
      </c>
      <c r="I147" s="107"/>
      <c r="J147" s="48"/>
      <c r="K147" s="59"/>
      <c r="L147" s="1"/>
    </row>
    <row r="148" spans="1:16" ht="15.95" customHeight="1" x14ac:dyDescent="0.25">
      <c r="A148" s="10">
        <v>3</v>
      </c>
      <c r="B148" s="196" t="s">
        <v>2763</v>
      </c>
      <c r="C148" s="48" t="s">
        <v>2569</v>
      </c>
      <c r="D148" s="160" t="s">
        <v>1</v>
      </c>
      <c r="E148" s="1"/>
      <c r="H148" s="10">
        <v>3</v>
      </c>
      <c r="I148" s="107"/>
      <c r="J148" s="48"/>
      <c r="K148" s="160"/>
      <c r="L148" s="1"/>
    </row>
    <row r="149" spans="1:16" ht="15.95" customHeight="1" x14ac:dyDescent="0.25">
      <c r="A149" s="5">
        <v>4</v>
      </c>
      <c r="B149" s="196" t="s">
        <v>2764</v>
      </c>
      <c r="C149" s="161" t="s">
        <v>2570</v>
      </c>
      <c r="D149" s="59" t="s">
        <v>1</v>
      </c>
      <c r="E149" s="1"/>
      <c r="H149" s="5">
        <v>4</v>
      </c>
      <c r="I149" s="107"/>
      <c r="J149" s="161"/>
      <c r="K149" s="59"/>
      <c r="L149" s="1"/>
    </row>
    <row r="150" spans="1:16" ht="15.95" customHeight="1" x14ac:dyDescent="0.25">
      <c r="A150" s="10">
        <v>5</v>
      </c>
      <c r="B150" s="196" t="s">
        <v>2765</v>
      </c>
      <c r="C150" s="161" t="s">
        <v>2571</v>
      </c>
      <c r="D150" s="159" t="s">
        <v>1</v>
      </c>
      <c r="E150" s="1"/>
      <c r="H150" s="10">
        <v>5</v>
      </c>
      <c r="I150" s="107"/>
      <c r="J150" s="161"/>
      <c r="K150" s="159"/>
      <c r="L150" s="1"/>
    </row>
    <row r="151" spans="1:16" ht="15.95" customHeight="1" x14ac:dyDescent="0.25">
      <c r="A151" s="5">
        <v>6</v>
      </c>
      <c r="B151" s="196" t="s">
        <v>2766</v>
      </c>
      <c r="C151" s="161" t="s">
        <v>2572</v>
      </c>
      <c r="D151" s="162" t="s">
        <v>0</v>
      </c>
      <c r="E151" s="1"/>
      <c r="H151" s="5">
        <v>6</v>
      </c>
      <c r="I151" s="108"/>
      <c r="J151" s="161"/>
      <c r="K151" s="162"/>
      <c r="L151" s="1"/>
    </row>
    <row r="152" spans="1:16" ht="15.95" customHeight="1" x14ac:dyDescent="0.25">
      <c r="A152" s="10">
        <v>7</v>
      </c>
      <c r="B152" s="196" t="s">
        <v>2767</v>
      </c>
      <c r="C152" s="161" t="s">
        <v>2573</v>
      </c>
      <c r="D152" s="160" t="s">
        <v>1</v>
      </c>
      <c r="E152" s="1"/>
      <c r="H152" s="10">
        <v>7</v>
      </c>
      <c r="I152" s="108"/>
      <c r="J152" s="161"/>
      <c r="K152" s="160"/>
      <c r="L152" s="1"/>
    </row>
    <row r="153" spans="1:16" ht="15.95" customHeight="1" x14ac:dyDescent="0.25">
      <c r="A153" s="5">
        <v>8</v>
      </c>
      <c r="B153" s="196" t="s">
        <v>2768</v>
      </c>
      <c r="C153" s="161" t="s">
        <v>2574</v>
      </c>
      <c r="D153" s="59" t="s">
        <v>0</v>
      </c>
      <c r="E153" s="1"/>
      <c r="H153" s="5">
        <v>8</v>
      </c>
      <c r="I153" s="108"/>
      <c r="J153" s="161"/>
      <c r="K153" s="59"/>
      <c r="L153" s="1"/>
    </row>
    <row r="154" spans="1:16" ht="15.95" customHeight="1" x14ac:dyDescent="0.25">
      <c r="A154" s="10">
        <v>9</v>
      </c>
      <c r="B154" s="196" t="s">
        <v>2769</v>
      </c>
      <c r="C154" s="161" t="s">
        <v>2575</v>
      </c>
      <c r="D154" s="159" t="s">
        <v>0</v>
      </c>
      <c r="E154" s="1"/>
      <c r="H154" s="10">
        <v>9</v>
      </c>
      <c r="I154" s="108"/>
      <c r="J154" s="161"/>
      <c r="K154" s="159"/>
      <c r="L154" s="1"/>
    </row>
    <row r="155" spans="1:16" ht="15.95" customHeight="1" x14ac:dyDescent="0.25">
      <c r="A155" s="5">
        <v>10</v>
      </c>
      <c r="B155" s="196" t="s">
        <v>2770</v>
      </c>
      <c r="C155" s="161" t="s">
        <v>2576</v>
      </c>
      <c r="D155" s="59" t="s">
        <v>1</v>
      </c>
      <c r="E155" s="1"/>
      <c r="H155" s="5">
        <v>10</v>
      </c>
      <c r="I155" s="108"/>
      <c r="J155" s="161"/>
      <c r="K155" s="59"/>
      <c r="L155" s="1"/>
    </row>
    <row r="156" spans="1:16" ht="15.95" customHeight="1" x14ac:dyDescent="0.25">
      <c r="A156" s="10">
        <v>11</v>
      </c>
      <c r="B156" s="196" t="s">
        <v>2771</v>
      </c>
      <c r="C156" s="163" t="s">
        <v>2577</v>
      </c>
      <c r="D156" s="159" t="s">
        <v>0</v>
      </c>
      <c r="E156" s="1"/>
      <c r="H156" s="10">
        <v>11</v>
      </c>
      <c r="I156" s="111"/>
      <c r="J156" s="163"/>
      <c r="K156" s="159"/>
      <c r="L156" s="1"/>
    </row>
    <row r="157" spans="1:16" ht="15.95" customHeight="1" x14ac:dyDescent="0.25">
      <c r="A157" s="5">
        <v>12</v>
      </c>
      <c r="B157" s="196" t="s">
        <v>2772</v>
      </c>
      <c r="C157" s="161" t="s">
        <v>2578</v>
      </c>
      <c r="D157" s="162" t="s">
        <v>1</v>
      </c>
      <c r="E157" s="1"/>
      <c r="H157" s="5">
        <v>12</v>
      </c>
      <c r="I157" s="107"/>
      <c r="J157" s="161"/>
      <c r="K157" s="162"/>
      <c r="L157" s="1"/>
    </row>
    <row r="158" spans="1:16" ht="15.95" customHeight="1" x14ac:dyDescent="0.25">
      <c r="A158" s="10">
        <v>13</v>
      </c>
      <c r="B158" s="196" t="s">
        <v>2773</v>
      </c>
      <c r="C158" s="161" t="s">
        <v>2579</v>
      </c>
      <c r="D158" s="159" t="s">
        <v>1</v>
      </c>
      <c r="E158" s="1"/>
      <c r="H158" s="10">
        <v>13</v>
      </c>
      <c r="I158" s="107"/>
      <c r="J158" s="161"/>
      <c r="K158" s="159"/>
      <c r="L158" s="1"/>
      <c r="P158" t="s">
        <v>1530</v>
      </c>
    </row>
    <row r="159" spans="1:16" ht="15.95" customHeight="1" x14ac:dyDescent="0.25">
      <c r="A159" s="5">
        <v>14</v>
      </c>
      <c r="B159" s="196" t="s">
        <v>2774</v>
      </c>
      <c r="C159" s="161" t="s">
        <v>2580</v>
      </c>
      <c r="D159" s="162" t="s">
        <v>1</v>
      </c>
      <c r="E159" s="1"/>
      <c r="H159" s="5">
        <v>14</v>
      </c>
      <c r="I159" s="107"/>
      <c r="J159" s="161"/>
      <c r="K159" s="162"/>
      <c r="L159" s="1"/>
    </row>
    <row r="160" spans="1:16" ht="15.95" customHeight="1" x14ac:dyDescent="0.25">
      <c r="A160" s="10">
        <v>15</v>
      </c>
      <c r="B160" s="196" t="s">
        <v>2775</v>
      </c>
      <c r="C160" s="161" t="s">
        <v>2581</v>
      </c>
      <c r="D160" s="59" t="s">
        <v>1</v>
      </c>
      <c r="E160" s="1"/>
      <c r="H160" s="10">
        <v>15</v>
      </c>
      <c r="I160" s="107"/>
      <c r="J160" s="161"/>
      <c r="K160" s="59"/>
      <c r="L160" s="1"/>
    </row>
    <row r="161" spans="1:12" ht="15.95" customHeight="1" x14ac:dyDescent="0.25">
      <c r="A161" s="5">
        <v>16</v>
      </c>
      <c r="B161" s="196" t="s">
        <v>2776</v>
      </c>
      <c r="C161" s="161" t="s">
        <v>2582</v>
      </c>
      <c r="D161" s="59" t="s">
        <v>0</v>
      </c>
      <c r="E161" s="1"/>
      <c r="H161" s="5">
        <v>16</v>
      </c>
      <c r="I161" s="107"/>
      <c r="J161" s="161"/>
      <c r="K161" s="59"/>
      <c r="L161" s="1"/>
    </row>
    <row r="162" spans="1:12" ht="15.95" customHeight="1" x14ac:dyDescent="0.25">
      <c r="A162" s="10">
        <v>17</v>
      </c>
      <c r="B162" s="196" t="s">
        <v>2777</v>
      </c>
      <c r="C162" s="161" t="s">
        <v>2583</v>
      </c>
      <c r="D162" s="162" t="s">
        <v>1</v>
      </c>
      <c r="E162" s="1"/>
      <c r="H162" s="10">
        <v>17</v>
      </c>
      <c r="I162" s="107"/>
      <c r="J162" s="161"/>
      <c r="K162" s="162"/>
      <c r="L162" s="1"/>
    </row>
    <row r="163" spans="1:12" ht="15.95" customHeight="1" x14ac:dyDescent="0.25">
      <c r="A163" s="5">
        <v>18</v>
      </c>
      <c r="B163" s="196" t="s">
        <v>2778</v>
      </c>
      <c r="C163" s="161" t="s">
        <v>2584</v>
      </c>
      <c r="D163" s="162" t="s">
        <v>0</v>
      </c>
      <c r="E163" s="1"/>
      <c r="H163" s="5">
        <v>18</v>
      </c>
      <c r="I163" s="107"/>
      <c r="J163" s="161"/>
      <c r="K163" s="162"/>
      <c r="L163" s="1"/>
    </row>
    <row r="164" spans="1:12" ht="15.95" customHeight="1" x14ac:dyDescent="0.25">
      <c r="A164" s="10">
        <v>19</v>
      </c>
      <c r="B164" s="196" t="s">
        <v>2779</v>
      </c>
      <c r="C164" s="161" t="s">
        <v>2585</v>
      </c>
      <c r="D164" s="162" t="s">
        <v>1</v>
      </c>
      <c r="E164" s="1"/>
      <c r="H164" s="10">
        <v>19</v>
      </c>
      <c r="I164" s="107"/>
      <c r="J164" s="161"/>
      <c r="K164" s="162"/>
      <c r="L164" s="1"/>
    </row>
    <row r="165" spans="1:12" ht="15.95" customHeight="1" x14ac:dyDescent="0.25">
      <c r="A165" s="5">
        <v>20</v>
      </c>
      <c r="B165" s="196" t="s">
        <v>2780</v>
      </c>
      <c r="C165" s="161" t="s">
        <v>2586</v>
      </c>
      <c r="D165" s="59" t="s">
        <v>1</v>
      </c>
      <c r="E165" s="1"/>
      <c r="H165" s="5">
        <v>20</v>
      </c>
      <c r="I165" s="107"/>
      <c r="J165" s="161"/>
      <c r="K165" s="59"/>
      <c r="L165" s="1"/>
    </row>
    <row r="166" spans="1:12" ht="15.95" customHeight="1" x14ac:dyDescent="0.25">
      <c r="A166" s="10">
        <v>21</v>
      </c>
      <c r="B166" s="196" t="s">
        <v>2788</v>
      </c>
      <c r="C166" s="161" t="s">
        <v>2587</v>
      </c>
      <c r="D166" s="59" t="s">
        <v>1</v>
      </c>
      <c r="E166" s="1"/>
      <c r="H166" s="10">
        <v>21</v>
      </c>
      <c r="I166" s="107"/>
      <c r="J166" s="161"/>
      <c r="K166" s="59"/>
      <c r="L166" s="1"/>
    </row>
    <row r="167" spans="1:12" ht="15.95" customHeight="1" x14ac:dyDescent="0.25">
      <c r="A167" s="5"/>
      <c r="B167" s="107"/>
      <c r="C167" s="161"/>
      <c r="D167" s="162"/>
      <c r="E167" s="1"/>
      <c r="H167" s="5">
        <v>22</v>
      </c>
      <c r="I167" s="107"/>
      <c r="J167" s="161"/>
      <c r="K167" s="162"/>
      <c r="L167" s="1"/>
    </row>
    <row r="168" spans="1:12" ht="15.95" customHeight="1" x14ac:dyDescent="0.25">
      <c r="A168" s="10"/>
      <c r="B168" s="107"/>
      <c r="C168" s="161"/>
      <c r="D168" s="162"/>
      <c r="E168" s="1"/>
      <c r="H168" s="10">
        <v>23</v>
      </c>
      <c r="I168" s="107"/>
      <c r="J168" s="161"/>
      <c r="K168" s="162"/>
      <c r="L168" s="1"/>
    </row>
    <row r="169" spans="1:12" ht="15.95" customHeight="1" x14ac:dyDescent="0.25">
      <c r="A169" s="5"/>
      <c r="B169" s="109"/>
      <c r="C169" s="161"/>
      <c r="D169" s="59"/>
      <c r="E169" s="1"/>
      <c r="H169" s="5">
        <v>24</v>
      </c>
      <c r="I169" s="107"/>
      <c r="J169" s="161"/>
      <c r="K169" s="59"/>
      <c r="L169" s="1"/>
    </row>
    <row r="170" spans="1:12" ht="15.95" customHeight="1" x14ac:dyDescent="0.25">
      <c r="A170" s="10"/>
      <c r="B170" s="110"/>
      <c r="C170" s="164"/>
      <c r="D170" s="59"/>
      <c r="E170" s="1"/>
      <c r="H170" s="10">
        <v>25</v>
      </c>
      <c r="I170" s="132"/>
      <c r="J170" s="164"/>
      <c r="K170" s="59"/>
      <c r="L170" s="1"/>
    </row>
    <row r="171" spans="1:12" ht="15.95" customHeight="1" x14ac:dyDescent="0.25">
      <c r="A171" s="5"/>
      <c r="B171" s="1"/>
      <c r="C171" s="165"/>
      <c r="D171" s="59"/>
      <c r="E171" s="1"/>
      <c r="H171" s="5"/>
      <c r="I171" s="5"/>
      <c r="K171" s="3"/>
      <c r="L171" s="1"/>
    </row>
    <row r="172" spans="1:12" ht="15.95" customHeight="1" x14ac:dyDescent="0.25">
      <c r="A172" s="10"/>
      <c r="B172" s="1"/>
      <c r="C172" s="161"/>
      <c r="D172" s="166"/>
      <c r="E172" s="1"/>
      <c r="H172" s="10"/>
      <c r="I172" s="10"/>
      <c r="J172" s="2"/>
      <c r="K172" s="3"/>
      <c r="L172" s="1"/>
    </row>
    <row r="173" spans="1:12" ht="15.95" customHeight="1" x14ac:dyDescent="0.25">
      <c r="A173" s="5"/>
      <c r="B173" s="107"/>
      <c r="C173" s="158"/>
      <c r="D173" s="159"/>
      <c r="E173" s="1"/>
      <c r="H173" s="5"/>
      <c r="I173" s="10"/>
      <c r="J173" s="2"/>
      <c r="K173" s="3"/>
      <c r="L173" s="1"/>
    </row>
    <row r="174" spans="1:12" ht="15.95" customHeight="1" x14ac:dyDescent="0.25">
      <c r="A174" s="10"/>
      <c r="B174" s="1"/>
      <c r="C174" s="1"/>
      <c r="D174" s="1"/>
      <c r="E174" s="1"/>
      <c r="H174" s="10"/>
      <c r="I174" s="10"/>
      <c r="J174" s="4"/>
      <c r="K174" s="104"/>
      <c r="L174" s="1"/>
    </row>
    <row r="175" spans="1:12" ht="15.95" hidden="1" customHeight="1" x14ac:dyDescent="0.25">
      <c r="A175" s="5"/>
      <c r="B175" s="1"/>
      <c r="C175" s="1"/>
      <c r="D175" s="1"/>
      <c r="E175" s="1"/>
      <c r="H175" s="5"/>
      <c r="I175" s="10"/>
      <c r="J175" s="2"/>
      <c r="K175" s="3"/>
      <c r="L175" s="1"/>
    </row>
    <row r="176" spans="1:12" hidden="1" x14ac:dyDescent="0.25">
      <c r="A176" s="10"/>
      <c r="B176" s="1"/>
      <c r="C176" s="1"/>
      <c r="D176" s="1"/>
      <c r="E176" s="1"/>
      <c r="H176" s="10"/>
      <c r="I176" s="10"/>
      <c r="J176" s="2"/>
      <c r="K176" s="3"/>
      <c r="L176" s="1"/>
    </row>
    <row r="178" spans="1:12" x14ac:dyDescent="0.25">
      <c r="A178" s="209" t="s">
        <v>8</v>
      </c>
      <c r="B178" s="209"/>
      <c r="C178" s="22" t="s">
        <v>9</v>
      </c>
      <c r="H178" s="209" t="s">
        <v>8</v>
      </c>
      <c r="I178" s="209"/>
      <c r="J178" s="22" t="s">
        <v>9</v>
      </c>
    </row>
    <row r="179" spans="1:12" x14ac:dyDescent="0.25">
      <c r="B179" s="17" t="s">
        <v>10</v>
      </c>
      <c r="C179" s="21">
        <f>COUNTIF(D146:D175,"L")</f>
        <v>7</v>
      </c>
      <c r="D179" s="208" t="s">
        <v>2416</v>
      </c>
      <c r="E179" s="208"/>
      <c r="I179" s="17" t="s">
        <v>10</v>
      </c>
      <c r="J179" s="21">
        <f>COUNTIF(K146:K176,"L")</f>
        <v>0</v>
      </c>
      <c r="K179" s="208" t="s">
        <v>2017</v>
      </c>
      <c r="L179" s="208"/>
    </row>
    <row r="180" spans="1:12" x14ac:dyDescent="0.25">
      <c r="B180" s="17" t="s">
        <v>11</v>
      </c>
      <c r="C180" s="23">
        <f>COUNTIF(D146:D175,"P")</f>
        <v>14</v>
      </c>
      <c r="D180" s="208" t="s">
        <v>12</v>
      </c>
      <c r="E180" s="208"/>
      <c r="I180" s="17" t="s">
        <v>11</v>
      </c>
      <c r="J180" s="23">
        <f>COUNTIF(K146:K176,"P")</f>
        <v>0</v>
      </c>
      <c r="K180" s="208" t="s">
        <v>12</v>
      </c>
      <c r="L180" s="208"/>
    </row>
    <row r="181" spans="1:12" x14ac:dyDescent="0.25">
      <c r="B181" s="30" t="s">
        <v>20</v>
      </c>
      <c r="C181" s="29">
        <f>C179+C180</f>
        <v>21</v>
      </c>
      <c r="D181" s="18"/>
      <c r="E181" s="18"/>
      <c r="I181" s="30" t="s">
        <v>20</v>
      </c>
      <c r="J181" s="29">
        <f>J179+J180</f>
        <v>0</v>
      </c>
      <c r="K181" s="18"/>
      <c r="L181" s="18"/>
    </row>
    <row r="184" spans="1:12" x14ac:dyDescent="0.25">
      <c r="D184" s="208" t="s">
        <v>13</v>
      </c>
      <c r="E184" s="208"/>
      <c r="K184" s="208" t="s">
        <v>13</v>
      </c>
      <c r="L184" s="208"/>
    </row>
    <row r="185" spans="1:12" x14ac:dyDescent="0.25">
      <c r="D185" t="s">
        <v>14</v>
      </c>
      <c r="K185" t="s">
        <v>14</v>
      </c>
    </row>
    <row r="190" spans="1:12" x14ac:dyDescent="0.25">
      <c r="B190" s="67" t="s">
        <v>1139</v>
      </c>
      <c r="C190" s="68">
        <f>J181+C181+J134+C134+J87+C87+J41+C41</f>
        <v>174</v>
      </c>
    </row>
    <row r="192" spans="1:12" x14ac:dyDescent="0.25">
      <c r="I192" s="70" t="s">
        <v>2591</v>
      </c>
    </row>
    <row r="193" spans="2:9" ht="15.75" x14ac:dyDescent="0.25">
      <c r="B193" s="77" t="s">
        <v>32</v>
      </c>
      <c r="C193" s="78">
        <f>J179+C179+J132+C132+J85+C85+J39+C39</f>
        <v>88</v>
      </c>
      <c r="H193" t="s">
        <v>2201</v>
      </c>
      <c r="I193">
        <v>87</v>
      </c>
    </row>
    <row r="194" spans="2:9" ht="15.75" x14ac:dyDescent="0.25">
      <c r="B194" s="77" t="s">
        <v>33</v>
      </c>
      <c r="C194" s="78">
        <f>J180+C180+J133+C133+J86+C86+J40+C40</f>
        <v>86</v>
      </c>
      <c r="I194">
        <v>107</v>
      </c>
    </row>
    <row r="195" spans="2:9" ht="15.75" x14ac:dyDescent="0.25">
      <c r="B195" s="77"/>
      <c r="C195" s="78">
        <f>C193+C194</f>
        <v>174</v>
      </c>
      <c r="I195">
        <v>115</v>
      </c>
    </row>
    <row r="196" spans="2:9" x14ac:dyDescent="0.25">
      <c r="I196" s="70">
        <f>SUM(I193:I195)</f>
        <v>309</v>
      </c>
    </row>
    <row r="198" spans="2:9" x14ac:dyDescent="0.25">
      <c r="H198" t="s">
        <v>2202</v>
      </c>
      <c r="I198">
        <v>86</v>
      </c>
    </row>
    <row r="199" spans="2:9" x14ac:dyDescent="0.25">
      <c r="I199">
        <v>85</v>
      </c>
    </row>
    <row r="200" spans="2:9" x14ac:dyDescent="0.25">
      <c r="I200">
        <v>114</v>
      </c>
    </row>
    <row r="201" spans="2:9" x14ac:dyDescent="0.25">
      <c r="I201" s="70">
        <f>SUM(I198:I200)</f>
        <v>285</v>
      </c>
    </row>
    <row r="203" spans="2:9" x14ac:dyDescent="0.25">
      <c r="H203" s="70" t="s">
        <v>2203</v>
      </c>
      <c r="I203" s="70">
        <f>I201+I196</f>
        <v>594</v>
      </c>
    </row>
  </sheetData>
  <sortState xmlns:xlrd2="http://schemas.microsoft.com/office/spreadsheetml/2017/richdata2" ref="J99:K123">
    <sortCondition ref="J99:J123"/>
  </sortState>
  <mergeCells count="49">
    <mergeCell ref="A47:E47"/>
    <mergeCell ref="G47:L47"/>
    <mergeCell ref="A1:E1"/>
    <mergeCell ref="H1:M1"/>
    <mergeCell ref="A2:E2"/>
    <mergeCell ref="H2:M2"/>
    <mergeCell ref="A3:E3"/>
    <mergeCell ref="H3:M3"/>
    <mergeCell ref="A38:B38"/>
    <mergeCell ref="D39:E39"/>
    <mergeCell ref="K39:L39"/>
    <mergeCell ref="D40:E40"/>
    <mergeCell ref="D44:E44"/>
    <mergeCell ref="A95:E95"/>
    <mergeCell ref="G95:L95"/>
    <mergeCell ref="A48:E48"/>
    <mergeCell ref="G48:L48"/>
    <mergeCell ref="A49:E49"/>
    <mergeCell ref="H49:L49"/>
    <mergeCell ref="A84:B84"/>
    <mergeCell ref="D85:E85"/>
    <mergeCell ref="K85:L85"/>
    <mergeCell ref="D86:E86"/>
    <mergeCell ref="K86:L86"/>
    <mergeCell ref="D90:E90"/>
    <mergeCell ref="A94:E94"/>
    <mergeCell ref="G94:L94"/>
    <mergeCell ref="A143:E143"/>
    <mergeCell ref="H143:L143"/>
    <mergeCell ref="A96:E96"/>
    <mergeCell ref="H96:L96"/>
    <mergeCell ref="A131:B131"/>
    <mergeCell ref="D132:E132"/>
    <mergeCell ref="K132:L132"/>
    <mergeCell ref="D133:E133"/>
    <mergeCell ref="K133:L133"/>
    <mergeCell ref="D138:E138"/>
    <mergeCell ref="A141:E141"/>
    <mergeCell ref="H141:L141"/>
    <mergeCell ref="A142:E142"/>
    <mergeCell ref="H142:L142"/>
    <mergeCell ref="D184:E184"/>
    <mergeCell ref="K184:L184"/>
    <mergeCell ref="A178:B178"/>
    <mergeCell ref="H178:I178"/>
    <mergeCell ref="D179:E179"/>
    <mergeCell ref="K179:L179"/>
    <mergeCell ref="D180:E180"/>
    <mergeCell ref="K180:L180"/>
  </mergeCells>
  <pageMargins left="0.51181102362204722" right="0.31496062992125984" top="0.55118110236220474" bottom="0.23622047244094491" header="0.31496062992125984" footer="0.31496062992125984"/>
  <pageSetup paperSize="14" scale="80" orientation="landscape" horizontalDpi="4294967293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35E55-9D09-48C6-BF61-E0D8E6E111C3}">
  <dimension ref="A1:P203"/>
  <sheetViews>
    <sheetView topLeftCell="A46" zoomScale="95" zoomScaleNormal="95" workbookViewId="0">
      <selection activeCell="E30" sqref="E30"/>
    </sheetView>
  </sheetViews>
  <sheetFormatPr defaultRowHeight="15" x14ac:dyDescent="0.25"/>
  <cols>
    <col min="1" max="1" width="5.140625" customWidth="1"/>
    <col min="2" max="2" width="22.7109375" customWidth="1"/>
    <col min="3" max="3" width="40" customWidth="1"/>
    <col min="4" max="4" width="9" customWidth="1"/>
    <col min="5" max="5" width="16.85546875" customWidth="1"/>
    <col min="6" max="6" width="3.7109375" customWidth="1"/>
    <col min="7" max="7" width="3.7109375" style="15" customWidth="1"/>
    <col min="8" max="8" width="6.42578125" customWidth="1"/>
    <col min="9" max="9" width="22.28515625" customWidth="1"/>
    <col min="10" max="10" width="40" customWidth="1"/>
    <col min="11" max="11" width="9" customWidth="1"/>
    <col min="12" max="12" width="16.85546875" customWidth="1"/>
  </cols>
  <sheetData>
    <row r="1" spans="1:13" ht="15.75" x14ac:dyDescent="0.25">
      <c r="A1" s="210" t="s">
        <v>670</v>
      </c>
      <c r="B1" s="210"/>
      <c r="C1" s="210"/>
      <c r="D1" s="210"/>
      <c r="E1" s="210"/>
      <c r="H1" s="210" t="s">
        <v>670</v>
      </c>
      <c r="I1" s="210"/>
      <c r="J1" s="210"/>
      <c r="K1" s="210"/>
      <c r="L1" s="210"/>
      <c r="M1" s="210"/>
    </row>
    <row r="2" spans="1:13" ht="15.75" x14ac:dyDescent="0.25">
      <c r="A2" s="210" t="s">
        <v>2415</v>
      </c>
      <c r="B2" s="210"/>
      <c r="C2" s="210"/>
      <c r="D2" s="210"/>
      <c r="E2" s="210"/>
      <c r="H2" s="210" t="s">
        <v>2415</v>
      </c>
      <c r="I2" s="210"/>
      <c r="J2" s="210"/>
      <c r="K2" s="210"/>
      <c r="L2" s="210"/>
      <c r="M2" s="210"/>
    </row>
    <row r="3" spans="1:13" ht="15.75" x14ac:dyDescent="0.25">
      <c r="A3" s="210" t="s">
        <v>24</v>
      </c>
      <c r="B3" s="210"/>
      <c r="C3" s="210"/>
      <c r="D3" s="210"/>
      <c r="E3" s="210"/>
      <c r="H3" s="210" t="s">
        <v>25</v>
      </c>
      <c r="I3" s="210"/>
      <c r="J3" s="210"/>
      <c r="K3" s="210"/>
      <c r="L3" s="210"/>
      <c r="M3" s="210"/>
    </row>
    <row r="4" spans="1:13" x14ac:dyDescent="0.25">
      <c r="A4" s="6"/>
      <c r="B4" s="6"/>
      <c r="C4" s="6"/>
      <c r="D4" s="6"/>
    </row>
    <row r="5" spans="1:13" s="14" customFormat="1" ht="15.75" x14ac:dyDescent="0.25">
      <c r="A5" s="13" t="s">
        <v>2</v>
      </c>
      <c r="B5" s="13" t="s">
        <v>3</v>
      </c>
      <c r="C5" s="13" t="s">
        <v>4</v>
      </c>
      <c r="D5" s="13" t="s">
        <v>5</v>
      </c>
      <c r="E5" s="13" t="s">
        <v>6</v>
      </c>
      <c r="G5" s="16"/>
      <c r="H5" s="13" t="s">
        <v>2</v>
      </c>
      <c r="I5" s="13" t="s">
        <v>3</v>
      </c>
      <c r="J5" s="13" t="s">
        <v>7</v>
      </c>
      <c r="K5" s="13" t="s">
        <v>5</v>
      </c>
      <c r="L5" s="13" t="s">
        <v>6</v>
      </c>
    </row>
    <row r="6" spans="1:13" ht="15.75" x14ac:dyDescent="0.25">
      <c r="A6" s="10">
        <v>1</v>
      </c>
      <c r="B6" s="191" t="s">
        <v>2207</v>
      </c>
      <c r="C6" s="163" t="s">
        <v>2100</v>
      </c>
      <c r="D6" s="59" t="s">
        <v>0</v>
      </c>
      <c r="E6" s="1"/>
      <c r="H6" s="5">
        <v>1</v>
      </c>
      <c r="I6" s="191" t="s">
        <v>2235</v>
      </c>
      <c r="J6" s="158" t="s">
        <v>2045</v>
      </c>
      <c r="K6" s="159" t="s">
        <v>1</v>
      </c>
      <c r="L6" s="1"/>
    </row>
    <row r="7" spans="1:13" ht="15.75" x14ac:dyDescent="0.25">
      <c r="A7" s="5">
        <v>2</v>
      </c>
      <c r="B7" s="191" t="s">
        <v>2208</v>
      </c>
      <c r="C7" s="48" t="s">
        <v>2020</v>
      </c>
      <c r="D7" s="59" t="s">
        <v>0</v>
      </c>
      <c r="E7" s="1"/>
      <c r="H7" s="5">
        <v>2</v>
      </c>
      <c r="I7" s="191" t="s">
        <v>2236</v>
      </c>
      <c r="J7" s="164" t="s">
        <v>2129</v>
      </c>
      <c r="K7" s="181" t="s">
        <v>0</v>
      </c>
      <c r="L7" s="1"/>
    </row>
    <row r="8" spans="1:13" ht="15.75" x14ac:dyDescent="0.25">
      <c r="A8" s="10">
        <v>3</v>
      </c>
      <c r="B8" s="191" t="s">
        <v>2209</v>
      </c>
      <c r="C8" s="161" t="s">
        <v>2022</v>
      </c>
      <c r="D8" s="160" t="s">
        <v>1</v>
      </c>
      <c r="E8" s="1"/>
      <c r="H8" s="5">
        <v>3</v>
      </c>
      <c r="I8" s="191" t="s">
        <v>2237</v>
      </c>
      <c r="J8" s="48" t="s">
        <v>2046</v>
      </c>
      <c r="K8" s="160" t="s">
        <v>1</v>
      </c>
      <c r="L8" s="1"/>
    </row>
    <row r="9" spans="1:13" ht="15.75" x14ac:dyDescent="0.25">
      <c r="A9" s="5">
        <v>4</v>
      </c>
      <c r="B9" s="191" t="s">
        <v>2210</v>
      </c>
      <c r="C9" s="161" t="s">
        <v>2023</v>
      </c>
      <c r="D9" s="162" t="s">
        <v>0</v>
      </c>
      <c r="E9" s="1"/>
      <c r="H9" s="5">
        <v>4</v>
      </c>
      <c r="I9" s="191" t="s">
        <v>2238</v>
      </c>
      <c r="J9" s="48" t="s">
        <v>2047</v>
      </c>
      <c r="K9" s="59" t="s">
        <v>0</v>
      </c>
      <c r="L9" s="1"/>
    </row>
    <row r="10" spans="1:13" ht="15.75" x14ac:dyDescent="0.25">
      <c r="A10" s="10">
        <v>5</v>
      </c>
      <c r="B10" s="191" t="s">
        <v>2211</v>
      </c>
      <c r="C10" s="161" t="s">
        <v>2024</v>
      </c>
      <c r="D10" s="159" t="s">
        <v>1</v>
      </c>
      <c r="E10" s="1"/>
      <c r="H10" s="5">
        <v>5</v>
      </c>
      <c r="I10" s="191" t="s">
        <v>2240</v>
      </c>
      <c r="J10" s="48" t="s">
        <v>2049</v>
      </c>
      <c r="K10" s="160" t="s">
        <v>0</v>
      </c>
      <c r="L10" s="9"/>
    </row>
    <row r="11" spans="1:13" ht="15.75" x14ac:dyDescent="0.25">
      <c r="A11" s="5">
        <v>6</v>
      </c>
      <c r="B11" s="191" t="s">
        <v>2212</v>
      </c>
      <c r="C11" s="161" t="s">
        <v>2206</v>
      </c>
      <c r="D11" s="160" t="s">
        <v>1</v>
      </c>
      <c r="E11" s="1"/>
      <c r="H11" s="5">
        <v>6</v>
      </c>
      <c r="I11" s="191" t="s">
        <v>2241</v>
      </c>
      <c r="J11" s="161" t="s">
        <v>2050</v>
      </c>
      <c r="K11" s="162" t="s">
        <v>0</v>
      </c>
      <c r="L11" s="5"/>
    </row>
    <row r="12" spans="1:13" ht="15.75" x14ac:dyDescent="0.25">
      <c r="A12" s="10">
        <v>7</v>
      </c>
      <c r="B12" s="191" t="s">
        <v>2213</v>
      </c>
      <c r="C12" s="161" t="s">
        <v>2025</v>
      </c>
      <c r="D12" s="162" t="s">
        <v>1</v>
      </c>
      <c r="E12" s="1"/>
      <c r="H12" s="5">
        <v>7</v>
      </c>
      <c r="I12" s="191" t="s">
        <v>2242</v>
      </c>
      <c r="J12" s="161" t="s">
        <v>2051</v>
      </c>
      <c r="K12" s="3" t="s">
        <v>1</v>
      </c>
      <c r="L12" s="1"/>
    </row>
    <row r="13" spans="1:13" ht="15.75" x14ac:dyDescent="0.25">
      <c r="A13" s="5">
        <v>8</v>
      </c>
      <c r="B13" s="191" t="s">
        <v>2214</v>
      </c>
      <c r="C13" s="161" t="s">
        <v>2026</v>
      </c>
      <c r="D13" s="160" t="s">
        <v>1</v>
      </c>
      <c r="E13" s="1"/>
      <c r="H13" s="5">
        <v>8</v>
      </c>
      <c r="I13" s="191" t="s">
        <v>2243</v>
      </c>
      <c r="J13" s="161" t="s">
        <v>2052</v>
      </c>
      <c r="K13" s="160" t="s">
        <v>0</v>
      </c>
      <c r="L13" s="1"/>
    </row>
    <row r="14" spans="1:13" ht="15.75" x14ac:dyDescent="0.25">
      <c r="A14" s="10">
        <v>9</v>
      </c>
      <c r="B14" s="191" t="s">
        <v>2215</v>
      </c>
      <c r="C14" s="163" t="s">
        <v>2027</v>
      </c>
      <c r="D14" s="162" t="s">
        <v>1</v>
      </c>
      <c r="E14" s="1"/>
      <c r="H14" s="5">
        <v>9</v>
      </c>
      <c r="I14" s="191" t="s">
        <v>2244</v>
      </c>
      <c r="J14" s="161" t="s">
        <v>2204</v>
      </c>
      <c r="K14" s="59" t="s">
        <v>0</v>
      </c>
      <c r="L14" s="1"/>
    </row>
    <row r="15" spans="1:13" ht="15.75" x14ac:dyDescent="0.25">
      <c r="A15" s="5">
        <v>10</v>
      </c>
      <c r="B15" s="191" t="s">
        <v>2216</v>
      </c>
      <c r="C15" s="105" t="s">
        <v>2028</v>
      </c>
      <c r="D15" s="10" t="s">
        <v>0</v>
      </c>
      <c r="E15" s="1"/>
      <c r="H15" s="5">
        <v>10</v>
      </c>
      <c r="I15" s="191" t="s">
        <v>2245</v>
      </c>
      <c r="J15" s="164" t="s">
        <v>2053</v>
      </c>
      <c r="K15" s="182" t="s">
        <v>0</v>
      </c>
      <c r="L15" s="1"/>
    </row>
    <row r="16" spans="1:13" ht="15.75" x14ac:dyDescent="0.25">
      <c r="A16" s="10">
        <v>11</v>
      </c>
      <c r="B16" s="192" t="s">
        <v>2404</v>
      </c>
      <c r="C16" s="48" t="s">
        <v>2397</v>
      </c>
      <c r="D16" s="9" t="s">
        <v>1</v>
      </c>
      <c r="E16" s="1"/>
      <c r="H16" s="5">
        <v>11</v>
      </c>
      <c r="I16" s="192" t="s">
        <v>2246</v>
      </c>
      <c r="J16" s="161" t="s">
        <v>2054</v>
      </c>
      <c r="K16" s="162" t="s">
        <v>0</v>
      </c>
      <c r="L16" s="1"/>
    </row>
    <row r="17" spans="1:12" ht="15.75" x14ac:dyDescent="0.25">
      <c r="A17" s="5">
        <v>12</v>
      </c>
      <c r="B17" s="191" t="s">
        <v>2217</v>
      </c>
      <c r="C17" s="161" t="s">
        <v>2029</v>
      </c>
      <c r="D17" s="162" t="s">
        <v>0</v>
      </c>
      <c r="E17" s="1"/>
      <c r="H17" s="5">
        <v>12</v>
      </c>
      <c r="I17" s="191" t="s">
        <v>2247</v>
      </c>
      <c r="J17" s="161" t="s">
        <v>2055</v>
      </c>
      <c r="K17" s="160" t="s">
        <v>1</v>
      </c>
      <c r="L17" s="1"/>
    </row>
    <row r="18" spans="1:12" ht="15.75" x14ac:dyDescent="0.25">
      <c r="A18" s="10">
        <v>13</v>
      </c>
      <c r="B18" s="191" t="s">
        <v>2218</v>
      </c>
      <c r="C18" s="161" t="s">
        <v>2030</v>
      </c>
      <c r="D18" s="162" t="s">
        <v>1</v>
      </c>
      <c r="E18" s="1"/>
      <c r="H18" s="5">
        <v>13</v>
      </c>
      <c r="I18" s="191" t="s">
        <v>2248</v>
      </c>
      <c r="J18" s="161" t="s">
        <v>2056</v>
      </c>
      <c r="K18" s="162" t="s">
        <v>1</v>
      </c>
      <c r="L18" s="1"/>
    </row>
    <row r="19" spans="1:12" ht="15.75" x14ac:dyDescent="0.25">
      <c r="A19" s="5">
        <v>14</v>
      </c>
      <c r="B19" s="191" t="s">
        <v>2219</v>
      </c>
      <c r="C19" s="161" t="s">
        <v>2031</v>
      </c>
      <c r="D19" s="162" t="s">
        <v>0</v>
      </c>
      <c r="E19" s="1"/>
      <c r="H19" s="5">
        <v>14</v>
      </c>
      <c r="I19" s="191" t="s">
        <v>2249</v>
      </c>
      <c r="J19" s="163" t="s">
        <v>2057</v>
      </c>
      <c r="K19" s="162" t="s">
        <v>1</v>
      </c>
      <c r="L19" s="1"/>
    </row>
    <row r="20" spans="1:12" ht="15.75" x14ac:dyDescent="0.25">
      <c r="A20" s="10">
        <v>15</v>
      </c>
      <c r="B20" s="191" t="s">
        <v>2220</v>
      </c>
      <c r="C20" s="161" t="s">
        <v>2032</v>
      </c>
      <c r="D20" s="59" t="s">
        <v>0</v>
      </c>
      <c r="E20" s="1"/>
      <c r="H20" s="5">
        <v>15</v>
      </c>
      <c r="I20" s="191" t="s">
        <v>2250</v>
      </c>
      <c r="J20" s="161" t="s">
        <v>2058</v>
      </c>
      <c r="K20" s="162" t="s">
        <v>0</v>
      </c>
      <c r="L20" s="1"/>
    </row>
    <row r="21" spans="1:12" ht="15.75" x14ac:dyDescent="0.25">
      <c r="A21" s="5">
        <v>16</v>
      </c>
      <c r="B21" s="192" t="s">
        <v>2394</v>
      </c>
      <c r="C21" s="48" t="s">
        <v>2390</v>
      </c>
      <c r="D21" s="166" t="s">
        <v>0</v>
      </c>
      <c r="E21" s="1"/>
      <c r="H21" s="5">
        <v>16</v>
      </c>
      <c r="I21" s="192" t="s">
        <v>2251</v>
      </c>
      <c r="J21" s="161" t="s">
        <v>2059</v>
      </c>
      <c r="K21" s="162" t="s">
        <v>1</v>
      </c>
      <c r="L21" s="1"/>
    </row>
    <row r="22" spans="1:12" ht="15.75" x14ac:dyDescent="0.25">
      <c r="A22" s="10">
        <v>17</v>
      </c>
      <c r="B22" s="207" t="s">
        <v>2793</v>
      </c>
      <c r="C22" s="198" t="s">
        <v>2791</v>
      </c>
      <c r="D22" s="205" t="s">
        <v>0</v>
      </c>
      <c r="E22" s="92" t="s">
        <v>2792</v>
      </c>
      <c r="H22" s="5">
        <v>17</v>
      </c>
      <c r="I22" s="193" t="s">
        <v>2252</v>
      </c>
      <c r="J22" s="161" t="s">
        <v>2060</v>
      </c>
      <c r="K22" s="162" t="s">
        <v>0</v>
      </c>
      <c r="L22" s="1"/>
    </row>
    <row r="23" spans="1:12" ht="15.75" x14ac:dyDescent="0.25">
      <c r="A23" s="5">
        <v>18</v>
      </c>
      <c r="B23" s="193" t="s">
        <v>2221</v>
      </c>
      <c r="C23" s="163" t="s">
        <v>2199</v>
      </c>
      <c r="D23" s="183" t="s">
        <v>0</v>
      </c>
      <c r="E23" s="1"/>
      <c r="H23" s="5">
        <v>18</v>
      </c>
      <c r="I23" s="191" t="s">
        <v>2253</v>
      </c>
      <c r="J23" s="161" t="s">
        <v>2061</v>
      </c>
      <c r="K23" s="59" t="s">
        <v>0</v>
      </c>
      <c r="L23" s="1"/>
    </row>
    <row r="24" spans="1:12" ht="15.75" x14ac:dyDescent="0.25">
      <c r="A24" s="10">
        <v>19</v>
      </c>
      <c r="B24" s="191" t="s">
        <v>2222</v>
      </c>
      <c r="C24" s="161" t="s">
        <v>2033</v>
      </c>
      <c r="D24" s="59" t="s">
        <v>1</v>
      </c>
      <c r="E24" s="1"/>
      <c r="H24" s="5">
        <v>19</v>
      </c>
      <c r="I24" s="191" t="s">
        <v>2405</v>
      </c>
      <c r="J24" s="161" t="s">
        <v>2413</v>
      </c>
      <c r="K24" s="59" t="s">
        <v>0</v>
      </c>
      <c r="L24" s="1"/>
    </row>
    <row r="25" spans="1:12" ht="15.75" x14ac:dyDescent="0.25">
      <c r="A25" s="5">
        <v>20</v>
      </c>
      <c r="B25" s="191" t="s">
        <v>2223</v>
      </c>
      <c r="C25" s="161" t="s">
        <v>2034</v>
      </c>
      <c r="D25" s="162" t="s">
        <v>0</v>
      </c>
      <c r="E25" s="1"/>
      <c r="H25" s="5">
        <v>20</v>
      </c>
      <c r="I25" s="193" t="s">
        <v>2254</v>
      </c>
      <c r="J25" s="164" t="s">
        <v>2062</v>
      </c>
      <c r="K25" s="59" t="s">
        <v>0</v>
      </c>
      <c r="L25" s="1"/>
    </row>
    <row r="26" spans="1:12" ht="15.75" x14ac:dyDescent="0.25">
      <c r="A26" s="10">
        <v>21</v>
      </c>
      <c r="B26" s="193" t="s">
        <v>2224</v>
      </c>
      <c r="C26" s="161" t="s">
        <v>2035</v>
      </c>
      <c r="D26" s="162" t="s">
        <v>1</v>
      </c>
      <c r="E26" s="1"/>
      <c r="H26" s="5">
        <v>21</v>
      </c>
      <c r="I26" s="191" t="s">
        <v>2255</v>
      </c>
      <c r="J26" s="161" t="s">
        <v>2063</v>
      </c>
      <c r="K26" s="162" t="s">
        <v>1</v>
      </c>
      <c r="L26" s="1"/>
    </row>
    <row r="27" spans="1:12" ht="15.75" x14ac:dyDescent="0.25">
      <c r="A27" s="5">
        <v>22</v>
      </c>
      <c r="B27" s="195" t="s">
        <v>2225</v>
      </c>
      <c r="C27" s="163" t="s">
        <v>2036</v>
      </c>
      <c r="D27" s="167" t="s">
        <v>0</v>
      </c>
      <c r="E27" s="1"/>
      <c r="H27" s="5">
        <v>22</v>
      </c>
      <c r="I27" s="191" t="s">
        <v>2256</v>
      </c>
      <c r="J27" s="161" t="s">
        <v>2064</v>
      </c>
      <c r="K27" s="162" t="s">
        <v>1</v>
      </c>
      <c r="L27" s="1"/>
    </row>
    <row r="28" spans="1:12" ht="15.75" x14ac:dyDescent="0.25">
      <c r="A28" s="10">
        <v>23</v>
      </c>
      <c r="B28" s="158" t="s">
        <v>2227</v>
      </c>
      <c r="C28" s="161" t="s">
        <v>2038</v>
      </c>
      <c r="D28" s="199" t="s">
        <v>1</v>
      </c>
      <c r="E28" s="9"/>
      <c r="H28" s="5">
        <v>23</v>
      </c>
      <c r="I28" s="191" t="s">
        <v>2257</v>
      </c>
      <c r="J28" s="161" t="s">
        <v>2065</v>
      </c>
      <c r="K28" s="59" t="s">
        <v>0</v>
      </c>
      <c r="L28" s="1"/>
    </row>
    <row r="29" spans="1:12" ht="15.75" x14ac:dyDescent="0.25">
      <c r="A29" s="5">
        <v>24</v>
      </c>
      <c r="B29" s="191" t="s">
        <v>2228</v>
      </c>
      <c r="C29" s="161" t="s">
        <v>2200</v>
      </c>
      <c r="D29" s="59" t="s">
        <v>1</v>
      </c>
      <c r="E29" s="1"/>
      <c r="H29" s="5">
        <v>24</v>
      </c>
      <c r="I29" s="191" t="s">
        <v>2258</v>
      </c>
      <c r="J29" s="161" t="s">
        <v>2066</v>
      </c>
      <c r="K29" s="59" t="s">
        <v>0</v>
      </c>
      <c r="L29" s="1"/>
    </row>
    <row r="30" spans="1:12" ht="15.75" x14ac:dyDescent="0.25">
      <c r="A30" s="10">
        <v>25</v>
      </c>
      <c r="B30" s="191" t="s">
        <v>2229</v>
      </c>
      <c r="C30" s="164" t="s">
        <v>2039</v>
      </c>
      <c r="D30" s="180" t="s">
        <v>1</v>
      </c>
      <c r="E30" s="1"/>
      <c r="H30" s="5">
        <v>25</v>
      </c>
      <c r="I30" s="191" t="s">
        <v>2259</v>
      </c>
      <c r="J30" s="161" t="s">
        <v>2067</v>
      </c>
      <c r="K30" s="162" t="s">
        <v>1</v>
      </c>
      <c r="L30" s="1"/>
    </row>
    <row r="31" spans="1:12" ht="15.75" x14ac:dyDescent="0.25">
      <c r="A31" s="5">
        <v>26</v>
      </c>
      <c r="B31" s="191" t="s">
        <v>2230</v>
      </c>
      <c r="C31" s="161" t="s">
        <v>2040</v>
      </c>
      <c r="D31" s="162" t="s">
        <v>0</v>
      </c>
      <c r="E31" s="1"/>
      <c r="H31" s="5">
        <v>26</v>
      </c>
      <c r="I31" s="194" t="s">
        <v>2260</v>
      </c>
      <c r="J31" s="161" t="s">
        <v>2068</v>
      </c>
      <c r="K31" s="59" t="s">
        <v>0</v>
      </c>
      <c r="L31" s="1"/>
    </row>
    <row r="32" spans="1:12" ht="15.75" x14ac:dyDescent="0.25">
      <c r="A32" s="10">
        <v>27</v>
      </c>
      <c r="B32" s="197" t="s">
        <v>2231</v>
      </c>
      <c r="C32" s="161" t="s">
        <v>2041</v>
      </c>
      <c r="D32" s="162" t="s">
        <v>1</v>
      </c>
      <c r="E32" s="1"/>
      <c r="H32" s="5">
        <v>27</v>
      </c>
      <c r="I32" s="195" t="s">
        <v>2261</v>
      </c>
      <c r="J32" s="164" t="s">
        <v>2069</v>
      </c>
      <c r="K32" s="59" t="s">
        <v>1</v>
      </c>
      <c r="L32" s="1"/>
    </row>
    <row r="33" spans="1:13" ht="15.75" x14ac:dyDescent="0.25">
      <c r="A33" s="5">
        <v>28</v>
      </c>
      <c r="B33" s="195" t="s">
        <v>2232</v>
      </c>
      <c r="C33" s="161" t="s">
        <v>2042</v>
      </c>
      <c r="D33" s="59" t="s">
        <v>0</v>
      </c>
      <c r="E33" s="1"/>
      <c r="H33" s="5">
        <v>28</v>
      </c>
      <c r="I33" s="195" t="s">
        <v>2262</v>
      </c>
      <c r="J33" s="164" t="s">
        <v>2070</v>
      </c>
      <c r="K33" s="59" t="s">
        <v>0</v>
      </c>
      <c r="L33" s="1"/>
    </row>
    <row r="34" spans="1:13" ht="15.75" x14ac:dyDescent="0.25">
      <c r="A34" s="10">
        <v>29</v>
      </c>
      <c r="B34" s="195" t="s">
        <v>2233</v>
      </c>
      <c r="C34" s="164" t="s">
        <v>2043</v>
      </c>
      <c r="D34" s="59" t="s">
        <v>0</v>
      </c>
      <c r="E34" s="1"/>
      <c r="H34" s="5">
        <v>29</v>
      </c>
      <c r="I34" s="195" t="s">
        <v>2263</v>
      </c>
      <c r="J34" s="161" t="s">
        <v>2071</v>
      </c>
      <c r="K34" s="187" t="s">
        <v>0</v>
      </c>
      <c r="L34" s="1"/>
    </row>
    <row r="35" spans="1:13" ht="15.75" x14ac:dyDescent="0.25">
      <c r="A35" s="5">
        <v>30</v>
      </c>
      <c r="B35" s="195" t="s">
        <v>2234</v>
      </c>
      <c r="C35" s="164" t="s">
        <v>2044</v>
      </c>
      <c r="D35" s="59" t="s">
        <v>0</v>
      </c>
      <c r="E35" s="1"/>
      <c r="H35" s="5"/>
      <c r="I35" s="196"/>
      <c r="J35" s="164"/>
      <c r="K35" s="186"/>
      <c r="L35" s="1"/>
    </row>
    <row r="36" spans="1:13" hidden="1" x14ac:dyDescent="0.25">
      <c r="A36" s="10"/>
      <c r="B36" s="10"/>
      <c r="C36" s="7"/>
      <c r="D36" s="8"/>
      <c r="E36" s="1"/>
      <c r="H36" s="5"/>
      <c r="I36" s="40"/>
      <c r="J36" s="153"/>
      <c r="K36" s="10"/>
      <c r="L36" s="1"/>
    </row>
    <row r="37" spans="1:13" x14ac:dyDescent="0.25">
      <c r="H37" s="18"/>
    </row>
    <row r="38" spans="1:13" x14ac:dyDescent="0.25">
      <c r="A38" s="209" t="s">
        <v>8</v>
      </c>
      <c r="B38" s="209"/>
      <c r="C38" s="22" t="s">
        <v>9</v>
      </c>
      <c r="H38" s="6" t="s">
        <v>21</v>
      </c>
      <c r="I38" s="6"/>
      <c r="J38" s="22" t="s">
        <v>9</v>
      </c>
    </row>
    <row r="39" spans="1:13" x14ac:dyDescent="0.25">
      <c r="B39" s="17" t="s">
        <v>10</v>
      </c>
      <c r="C39" s="21">
        <f>COUNTIF(D6:D36,"L")</f>
        <v>16</v>
      </c>
      <c r="D39" s="208" t="s">
        <v>2417</v>
      </c>
      <c r="E39" s="208"/>
      <c r="F39" s="20"/>
      <c r="G39" s="32"/>
      <c r="I39" s="17" t="s">
        <v>10</v>
      </c>
      <c r="J39" s="23">
        <f>COUNTIF(K6:K36,"L")</f>
        <v>18</v>
      </c>
      <c r="K39" s="212" t="s">
        <v>2417</v>
      </c>
      <c r="L39" s="212"/>
    </row>
    <row r="40" spans="1:13" x14ac:dyDescent="0.25">
      <c r="B40" s="17" t="s">
        <v>11</v>
      </c>
      <c r="C40" s="23">
        <f>COUNTIF(D6:D36,"P")</f>
        <v>14</v>
      </c>
      <c r="D40" s="208" t="s">
        <v>12</v>
      </c>
      <c r="E40" s="208"/>
      <c r="F40" s="20"/>
      <c r="I40" s="17" t="s">
        <v>11</v>
      </c>
      <c r="J40" s="23">
        <f>COUNTIF(K6:K36,"P")</f>
        <v>11</v>
      </c>
      <c r="K40" s="18" t="s">
        <v>12</v>
      </c>
      <c r="L40" s="18"/>
      <c r="M40" s="19"/>
    </row>
    <row r="41" spans="1:13" x14ac:dyDescent="0.25">
      <c r="B41" s="30" t="s">
        <v>20</v>
      </c>
      <c r="C41" s="29">
        <f>C39+C40</f>
        <v>30</v>
      </c>
      <c r="D41" s="18"/>
      <c r="E41" s="18"/>
      <c r="F41" s="18"/>
      <c r="I41" s="30" t="s">
        <v>20</v>
      </c>
      <c r="J41" s="29">
        <f>J39+J40</f>
        <v>29</v>
      </c>
      <c r="K41" s="18"/>
      <c r="L41" s="18"/>
      <c r="M41" s="19"/>
    </row>
    <row r="42" spans="1:13" x14ac:dyDescent="0.25">
      <c r="M42" s="18"/>
    </row>
    <row r="43" spans="1:13" x14ac:dyDescent="0.25">
      <c r="K43" s="19" t="s">
        <v>13</v>
      </c>
      <c r="L43" s="19"/>
    </row>
    <row r="44" spans="1:13" x14ac:dyDescent="0.25">
      <c r="D44" s="208" t="s">
        <v>13</v>
      </c>
      <c r="E44" s="208"/>
      <c r="F44" s="20"/>
      <c r="K44" t="s">
        <v>14</v>
      </c>
    </row>
    <row r="45" spans="1:13" x14ac:dyDescent="0.25">
      <c r="D45" t="s">
        <v>14</v>
      </c>
      <c r="M45" s="19"/>
    </row>
    <row r="47" spans="1:13" ht="15.75" x14ac:dyDescent="0.25">
      <c r="A47" s="210" t="s">
        <v>670</v>
      </c>
      <c r="B47" s="210"/>
      <c r="C47" s="210"/>
      <c r="D47" s="210"/>
      <c r="E47" s="210"/>
      <c r="G47" s="211" t="s">
        <v>670</v>
      </c>
      <c r="H47" s="210"/>
      <c r="I47" s="210"/>
      <c r="J47" s="210"/>
      <c r="K47" s="210"/>
      <c r="L47" s="210"/>
    </row>
    <row r="48" spans="1:13" ht="15.75" x14ac:dyDescent="0.25">
      <c r="A48" s="210" t="s">
        <v>2415</v>
      </c>
      <c r="B48" s="210"/>
      <c r="C48" s="210"/>
      <c r="D48" s="210"/>
      <c r="E48" s="210"/>
      <c r="G48" s="211" t="s">
        <v>2415</v>
      </c>
      <c r="H48" s="210"/>
      <c r="I48" s="210"/>
      <c r="J48" s="210"/>
      <c r="K48" s="210"/>
      <c r="L48" s="210"/>
    </row>
    <row r="49" spans="1:12" ht="15.75" x14ac:dyDescent="0.25">
      <c r="A49" s="210" t="s">
        <v>26</v>
      </c>
      <c r="B49" s="210"/>
      <c r="C49" s="210"/>
      <c r="D49" s="210"/>
      <c r="E49" s="210"/>
      <c r="H49" s="210" t="s">
        <v>27</v>
      </c>
      <c r="I49" s="210"/>
      <c r="J49" s="210"/>
      <c r="K49" s="210"/>
      <c r="L49" s="210"/>
    </row>
    <row r="50" spans="1:12" x14ac:dyDescent="0.25">
      <c r="A50" s="6"/>
      <c r="B50" s="6"/>
      <c r="C50" s="6"/>
      <c r="D50" s="6"/>
      <c r="H50" s="6"/>
      <c r="I50" s="6"/>
      <c r="J50" s="6"/>
      <c r="K50" s="6"/>
    </row>
    <row r="51" spans="1:12" ht="15.95" customHeight="1" x14ac:dyDescent="0.25">
      <c r="A51" s="13" t="s">
        <v>2</v>
      </c>
      <c r="B51" s="13" t="s">
        <v>3</v>
      </c>
      <c r="C51" s="13" t="s">
        <v>7</v>
      </c>
      <c r="D51" s="13" t="s">
        <v>5</v>
      </c>
      <c r="E51" s="13" t="s">
        <v>6</v>
      </c>
      <c r="H51" s="13" t="s">
        <v>2</v>
      </c>
      <c r="I51" s="13" t="s">
        <v>3</v>
      </c>
      <c r="J51" s="13" t="s">
        <v>7</v>
      </c>
      <c r="K51" s="13" t="s">
        <v>5</v>
      </c>
      <c r="L51" s="13" t="s">
        <v>6</v>
      </c>
    </row>
    <row r="52" spans="1:12" ht="15.95" customHeight="1" x14ac:dyDescent="0.25">
      <c r="A52" s="9">
        <v>1</v>
      </c>
      <c r="B52" s="196" t="s">
        <v>2264</v>
      </c>
      <c r="C52" s="158" t="s">
        <v>2072</v>
      </c>
      <c r="D52" s="159" t="s">
        <v>0</v>
      </c>
      <c r="E52" s="1"/>
      <c r="H52" s="9">
        <v>1</v>
      </c>
      <c r="I52" s="196" t="s">
        <v>2292</v>
      </c>
      <c r="J52" s="179" t="s">
        <v>2101</v>
      </c>
      <c r="K52" s="160" t="s">
        <v>0</v>
      </c>
      <c r="L52" s="1"/>
    </row>
    <row r="53" spans="1:12" ht="15.95" customHeight="1" x14ac:dyDescent="0.25">
      <c r="A53" s="9">
        <v>2</v>
      </c>
      <c r="B53" s="196" t="s">
        <v>2265</v>
      </c>
      <c r="C53" s="48" t="s">
        <v>2073</v>
      </c>
      <c r="D53" s="59" t="s">
        <v>0</v>
      </c>
      <c r="E53" s="1"/>
      <c r="H53" s="9">
        <v>2</v>
      </c>
      <c r="I53" s="196" t="s">
        <v>2293</v>
      </c>
      <c r="J53" s="48" t="s">
        <v>2205</v>
      </c>
      <c r="K53" s="184" t="s">
        <v>0</v>
      </c>
      <c r="L53" s="1"/>
    </row>
    <row r="54" spans="1:12" ht="15.95" customHeight="1" x14ac:dyDescent="0.25">
      <c r="A54" s="9">
        <v>3</v>
      </c>
      <c r="B54" s="196" t="s">
        <v>2266</v>
      </c>
      <c r="C54" s="48" t="s">
        <v>2074</v>
      </c>
      <c r="D54" s="160" t="s">
        <v>1</v>
      </c>
      <c r="E54" s="1"/>
      <c r="H54" s="9">
        <v>3</v>
      </c>
      <c r="I54" s="196" t="s">
        <v>2414</v>
      </c>
      <c r="J54" s="48" t="s">
        <v>2411</v>
      </c>
      <c r="K54" s="5" t="s">
        <v>1</v>
      </c>
      <c r="L54" s="1"/>
    </row>
    <row r="55" spans="1:12" ht="15.95" customHeight="1" x14ac:dyDescent="0.25">
      <c r="A55" s="9">
        <v>4</v>
      </c>
      <c r="B55" s="196" t="s">
        <v>2267</v>
      </c>
      <c r="C55" s="161" t="s">
        <v>2075</v>
      </c>
      <c r="D55" s="59" t="s">
        <v>0</v>
      </c>
      <c r="E55" s="1"/>
      <c r="H55" s="9">
        <v>4</v>
      </c>
      <c r="I55" s="196" t="s">
        <v>2294</v>
      </c>
      <c r="J55" s="48" t="s">
        <v>2021</v>
      </c>
      <c r="K55" s="160" t="s">
        <v>0</v>
      </c>
      <c r="L55" s="1"/>
    </row>
    <row r="56" spans="1:12" ht="15.95" customHeight="1" x14ac:dyDescent="0.25">
      <c r="A56" s="9">
        <v>5</v>
      </c>
      <c r="B56" s="196" t="s">
        <v>2268</v>
      </c>
      <c r="C56" s="161" t="s">
        <v>2076</v>
      </c>
      <c r="D56" s="159" t="s">
        <v>1</v>
      </c>
      <c r="E56" s="1"/>
      <c r="H56" s="9">
        <v>5</v>
      </c>
      <c r="I56" s="196" t="s">
        <v>2295</v>
      </c>
      <c r="J56" s="48" t="s">
        <v>2102</v>
      </c>
      <c r="K56" s="59" t="s">
        <v>1</v>
      </c>
      <c r="L56" s="1"/>
    </row>
    <row r="57" spans="1:12" ht="15.95" customHeight="1" x14ac:dyDescent="0.25">
      <c r="A57" s="9">
        <v>6</v>
      </c>
      <c r="B57" s="196" t="s">
        <v>2269</v>
      </c>
      <c r="C57" s="161" t="s">
        <v>2077</v>
      </c>
      <c r="D57" s="162" t="s">
        <v>0</v>
      </c>
      <c r="E57" s="1"/>
      <c r="H57" s="9">
        <v>6</v>
      </c>
      <c r="I57" s="196" t="s">
        <v>2296</v>
      </c>
      <c r="J57" s="48" t="s">
        <v>2103</v>
      </c>
      <c r="K57" s="160" t="s">
        <v>1</v>
      </c>
      <c r="L57" s="1"/>
    </row>
    <row r="58" spans="1:12" ht="15.95" customHeight="1" x14ac:dyDescent="0.25">
      <c r="A58" s="9">
        <v>7</v>
      </c>
      <c r="B58" s="196" t="s">
        <v>2270</v>
      </c>
      <c r="C58" s="161" t="s">
        <v>2078</v>
      </c>
      <c r="D58" s="160" t="s">
        <v>1</v>
      </c>
      <c r="E58" s="1"/>
      <c r="H58" s="9">
        <v>7</v>
      </c>
      <c r="I58" s="196" t="s">
        <v>2297</v>
      </c>
      <c r="J58" s="48" t="s">
        <v>2104</v>
      </c>
      <c r="K58" s="59" t="s">
        <v>0</v>
      </c>
      <c r="L58" s="1"/>
    </row>
    <row r="59" spans="1:12" ht="15.95" customHeight="1" x14ac:dyDescent="0.25">
      <c r="A59" s="9">
        <v>8</v>
      </c>
      <c r="B59" s="196" t="s">
        <v>2271</v>
      </c>
      <c r="C59" s="161" t="s">
        <v>2079</v>
      </c>
      <c r="D59" s="59" t="s">
        <v>1</v>
      </c>
      <c r="E59" s="1"/>
      <c r="H59" s="9">
        <v>8</v>
      </c>
      <c r="I59" s="196" t="s">
        <v>2298</v>
      </c>
      <c r="J59" s="48" t="s">
        <v>2105</v>
      </c>
      <c r="K59" s="160" t="s">
        <v>0</v>
      </c>
      <c r="L59" s="1"/>
    </row>
    <row r="60" spans="1:12" ht="15.95" customHeight="1" x14ac:dyDescent="0.25">
      <c r="A60" s="9">
        <v>9</v>
      </c>
      <c r="B60" s="196" t="s">
        <v>2272</v>
      </c>
      <c r="C60" s="161" t="s">
        <v>2080</v>
      </c>
      <c r="D60" s="159" t="s">
        <v>1</v>
      </c>
      <c r="E60" s="1"/>
      <c r="H60" s="9">
        <v>9</v>
      </c>
      <c r="I60" s="196" t="s">
        <v>2300</v>
      </c>
      <c r="J60" s="48" t="s">
        <v>2107</v>
      </c>
      <c r="K60" s="59" t="s">
        <v>0</v>
      </c>
      <c r="L60" s="1"/>
    </row>
    <row r="61" spans="1:12" ht="15.95" customHeight="1" x14ac:dyDescent="0.25">
      <c r="A61" s="9">
        <v>10</v>
      </c>
      <c r="B61" s="196" t="s">
        <v>2273</v>
      </c>
      <c r="C61" s="161" t="s">
        <v>2081</v>
      </c>
      <c r="D61" s="59" t="s">
        <v>0</v>
      </c>
      <c r="E61" s="1"/>
      <c r="H61" s="9">
        <v>10</v>
      </c>
      <c r="I61" s="196" t="s">
        <v>2301</v>
      </c>
      <c r="J61" s="48" t="s">
        <v>2108</v>
      </c>
      <c r="K61" s="160" t="s">
        <v>1</v>
      </c>
      <c r="L61" s="1"/>
    </row>
    <row r="62" spans="1:12" ht="15.95" customHeight="1" x14ac:dyDescent="0.25">
      <c r="A62" s="9">
        <v>11</v>
      </c>
      <c r="B62" s="196" t="s">
        <v>2274</v>
      </c>
      <c r="C62" s="163" t="s">
        <v>2082</v>
      </c>
      <c r="D62" s="159" t="s">
        <v>0</v>
      </c>
      <c r="E62" s="1"/>
      <c r="H62" s="9">
        <v>11</v>
      </c>
      <c r="I62" s="196" t="s">
        <v>2330</v>
      </c>
      <c r="J62" s="48" t="s">
        <v>2138</v>
      </c>
      <c r="K62" s="160" t="s">
        <v>0</v>
      </c>
      <c r="L62" s="1"/>
    </row>
    <row r="63" spans="1:12" ht="15.95" customHeight="1" x14ac:dyDescent="0.25">
      <c r="A63" s="9">
        <v>12</v>
      </c>
      <c r="B63" s="196" t="s">
        <v>2275</v>
      </c>
      <c r="C63" s="161" t="s">
        <v>2083</v>
      </c>
      <c r="D63" s="162" t="s">
        <v>0</v>
      </c>
      <c r="E63" s="1"/>
      <c r="H63" s="9">
        <v>12</v>
      </c>
      <c r="I63" s="196" t="s">
        <v>2302</v>
      </c>
      <c r="J63" s="48" t="s">
        <v>2109</v>
      </c>
      <c r="K63" s="59" t="s">
        <v>0</v>
      </c>
      <c r="L63" s="1"/>
    </row>
    <row r="64" spans="1:12" ht="15.95" customHeight="1" x14ac:dyDescent="0.25">
      <c r="A64" s="9">
        <v>13</v>
      </c>
      <c r="B64" s="196" t="s">
        <v>2276</v>
      </c>
      <c r="C64" s="161" t="s">
        <v>2084</v>
      </c>
      <c r="D64" s="159" t="s">
        <v>0</v>
      </c>
      <c r="E64" s="1"/>
      <c r="H64" s="9">
        <v>13</v>
      </c>
      <c r="I64" s="196" t="s">
        <v>2303</v>
      </c>
      <c r="J64" s="48" t="s">
        <v>2110</v>
      </c>
      <c r="K64" s="59" t="s">
        <v>1</v>
      </c>
      <c r="L64" s="1"/>
    </row>
    <row r="65" spans="1:12" ht="15.95" customHeight="1" x14ac:dyDescent="0.25">
      <c r="A65" s="9">
        <v>14</v>
      </c>
      <c r="B65" s="196" t="s">
        <v>2277</v>
      </c>
      <c r="C65" s="161" t="s">
        <v>2085</v>
      </c>
      <c r="D65" s="162" t="s">
        <v>0</v>
      </c>
      <c r="E65" s="1"/>
      <c r="H65" s="9">
        <v>14</v>
      </c>
      <c r="I65" s="196" t="s">
        <v>2304</v>
      </c>
      <c r="J65" s="48" t="s">
        <v>2111</v>
      </c>
      <c r="K65" s="59" t="s">
        <v>0</v>
      </c>
      <c r="L65" s="1"/>
    </row>
    <row r="66" spans="1:12" ht="15.95" customHeight="1" x14ac:dyDescent="0.25">
      <c r="A66" s="9">
        <v>15</v>
      </c>
      <c r="B66" s="196" t="s">
        <v>2278</v>
      </c>
      <c r="C66" s="161" t="s">
        <v>2086</v>
      </c>
      <c r="D66" s="59" t="s">
        <v>0</v>
      </c>
      <c r="E66" s="1"/>
      <c r="H66" s="9">
        <v>15</v>
      </c>
      <c r="I66" s="196" t="s">
        <v>2407</v>
      </c>
      <c r="J66" s="48" t="s">
        <v>2399</v>
      </c>
      <c r="K66" s="9" t="s">
        <v>0</v>
      </c>
      <c r="L66" s="1"/>
    </row>
    <row r="67" spans="1:12" ht="15.95" customHeight="1" x14ac:dyDescent="0.25">
      <c r="A67" s="9">
        <v>16</v>
      </c>
      <c r="B67" s="196" t="s">
        <v>2279</v>
      </c>
      <c r="C67" s="161" t="s">
        <v>2087</v>
      </c>
      <c r="D67" s="59" t="s">
        <v>0</v>
      </c>
      <c r="E67" s="1"/>
      <c r="H67" s="9">
        <v>16</v>
      </c>
      <c r="I67" s="196" t="s">
        <v>2406</v>
      </c>
      <c r="J67" s="48" t="s">
        <v>2398</v>
      </c>
      <c r="K67" s="59" t="s">
        <v>0</v>
      </c>
      <c r="L67" s="1"/>
    </row>
    <row r="68" spans="1:12" ht="15.95" customHeight="1" x14ac:dyDescent="0.25">
      <c r="A68" s="9">
        <v>17</v>
      </c>
      <c r="B68" s="196" t="s">
        <v>2280</v>
      </c>
      <c r="C68" s="161" t="s">
        <v>2088</v>
      </c>
      <c r="D68" s="162" t="s">
        <v>1</v>
      </c>
      <c r="E68" s="1"/>
      <c r="H68" s="9">
        <v>17</v>
      </c>
      <c r="I68" s="196" t="s">
        <v>2305</v>
      </c>
      <c r="J68" s="48" t="s">
        <v>2112</v>
      </c>
      <c r="K68" s="59" t="s">
        <v>0</v>
      </c>
      <c r="L68" s="1"/>
    </row>
    <row r="69" spans="1:12" ht="15.95" customHeight="1" x14ac:dyDescent="0.25">
      <c r="A69" s="9">
        <v>18</v>
      </c>
      <c r="B69" s="196" t="s">
        <v>2281</v>
      </c>
      <c r="C69" s="161" t="s">
        <v>2089</v>
      </c>
      <c r="D69" s="162" t="s">
        <v>0</v>
      </c>
      <c r="E69" s="1"/>
      <c r="H69" s="9">
        <v>18</v>
      </c>
      <c r="I69" s="196" t="s">
        <v>2306</v>
      </c>
      <c r="J69" s="48" t="s">
        <v>2113</v>
      </c>
      <c r="K69" s="59" t="s">
        <v>1</v>
      </c>
      <c r="L69" s="1"/>
    </row>
    <row r="70" spans="1:12" ht="15.95" customHeight="1" x14ac:dyDescent="0.25">
      <c r="A70" s="9">
        <v>19</v>
      </c>
      <c r="B70" s="196" t="s">
        <v>2282</v>
      </c>
      <c r="C70" s="161" t="s">
        <v>2090</v>
      </c>
      <c r="D70" s="162" t="s">
        <v>1</v>
      </c>
      <c r="E70" s="1"/>
      <c r="H70" s="9">
        <v>19</v>
      </c>
      <c r="I70" s="196" t="s">
        <v>2308</v>
      </c>
      <c r="J70" s="48" t="s">
        <v>2115</v>
      </c>
      <c r="K70" s="59" t="s">
        <v>1</v>
      </c>
      <c r="L70" s="1"/>
    </row>
    <row r="71" spans="1:12" ht="15.95" customHeight="1" x14ac:dyDescent="0.25">
      <c r="A71" s="9">
        <v>20</v>
      </c>
      <c r="B71" s="196" t="s">
        <v>2283</v>
      </c>
      <c r="C71" s="161" t="s">
        <v>2091</v>
      </c>
      <c r="D71" s="59" t="s">
        <v>1</v>
      </c>
      <c r="E71" s="1"/>
      <c r="H71" s="9">
        <v>20</v>
      </c>
      <c r="I71" s="196" t="s">
        <v>2309</v>
      </c>
      <c r="J71" s="48" t="s">
        <v>2116</v>
      </c>
      <c r="K71" s="59" t="s">
        <v>0</v>
      </c>
      <c r="L71" s="9"/>
    </row>
    <row r="72" spans="1:12" ht="15.95" customHeight="1" x14ac:dyDescent="0.25">
      <c r="A72" s="9">
        <v>21</v>
      </c>
      <c r="B72" s="196" t="s">
        <v>2284</v>
      </c>
      <c r="C72" s="161" t="s">
        <v>2092</v>
      </c>
      <c r="D72" s="59" t="s">
        <v>0</v>
      </c>
      <c r="E72" s="1"/>
      <c r="H72" s="9">
        <v>21</v>
      </c>
      <c r="I72" s="196" t="s">
        <v>2310</v>
      </c>
      <c r="J72" s="48" t="s">
        <v>2117</v>
      </c>
      <c r="K72" s="59" t="s">
        <v>0</v>
      </c>
      <c r="L72" s="1"/>
    </row>
    <row r="73" spans="1:12" ht="15.95" customHeight="1" x14ac:dyDescent="0.25">
      <c r="A73" s="9">
        <v>22</v>
      </c>
      <c r="B73" s="196" t="s">
        <v>2285</v>
      </c>
      <c r="C73" s="161" t="s">
        <v>2093</v>
      </c>
      <c r="D73" s="162" t="s">
        <v>0</v>
      </c>
      <c r="E73" s="1"/>
      <c r="H73" s="9">
        <v>22</v>
      </c>
      <c r="I73" s="196" t="s">
        <v>2311</v>
      </c>
      <c r="J73" s="164" t="s">
        <v>2118</v>
      </c>
      <c r="K73" s="59" t="s">
        <v>1</v>
      </c>
      <c r="L73" s="1"/>
    </row>
    <row r="74" spans="1:12" ht="15.95" customHeight="1" x14ac:dyDescent="0.25">
      <c r="A74" s="9">
        <v>23</v>
      </c>
      <c r="B74" s="197" t="s">
        <v>2286</v>
      </c>
      <c r="C74" s="163" t="s">
        <v>2094</v>
      </c>
      <c r="D74" s="167" t="s">
        <v>1</v>
      </c>
      <c r="E74" s="135"/>
      <c r="H74" s="9">
        <v>23</v>
      </c>
      <c r="I74" s="196" t="s">
        <v>2312</v>
      </c>
      <c r="J74" s="105" t="s">
        <v>2119</v>
      </c>
      <c r="K74" s="5" t="s">
        <v>1</v>
      </c>
      <c r="L74" s="1"/>
    </row>
    <row r="75" spans="1:12" ht="15.95" customHeight="1" x14ac:dyDescent="0.25">
      <c r="A75" s="9">
        <v>24</v>
      </c>
      <c r="B75" s="196" t="s">
        <v>2287</v>
      </c>
      <c r="C75" s="161" t="s">
        <v>2095</v>
      </c>
      <c r="D75" s="59" t="s">
        <v>0</v>
      </c>
      <c r="E75" s="1"/>
      <c r="H75" s="9">
        <v>24</v>
      </c>
      <c r="I75" s="196" t="s">
        <v>2313</v>
      </c>
      <c r="J75" s="48" t="s">
        <v>2120</v>
      </c>
      <c r="K75" s="59" t="s">
        <v>1</v>
      </c>
      <c r="L75" s="1"/>
    </row>
    <row r="76" spans="1:12" ht="15.95" customHeight="1" x14ac:dyDescent="0.25">
      <c r="A76" s="9">
        <v>25</v>
      </c>
      <c r="B76" s="196" t="s">
        <v>2288</v>
      </c>
      <c r="C76" s="164" t="s">
        <v>2096</v>
      </c>
      <c r="D76" s="59" t="s">
        <v>1</v>
      </c>
      <c r="E76" s="1"/>
      <c r="H76" s="9">
        <v>25</v>
      </c>
      <c r="I76" s="196" t="s">
        <v>2314</v>
      </c>
      <c r="J76" s="48" t="s">
        <v>2121</v>
      </c>
      <c r="K76" s="59" t="s">
        <v>0</v>
      </c>
      <c r="L76" s="1"/>
    </row>
    <row r="77" spans="1:12" ht="15.95" customHeight="1" x14ac:dyDescent="0.25">
      <c r="A77" s="9">
        <v>26</v>
      </c>
      <c r="B77" s="196" t="s">
        <v>2289</v>
      </c>
      <c r="C77" s="165" t="s">
        <v>2097</v>
      </c>
      <c r="D77" s="59" t="s">
        <v>1</v>
      </c>
      <c r="E77" s="1"/>
      <c r="H77" s="9">
        <v>26</v>
      </c>
      <c r="I77" s="196" t="s">
        <v>2315</v>
      </c>
      <c r="J77" s="48" t="s">
        <v>2122</v>
      </c>
      <c r="K77" s="59" t="s">
        <v>0</v>
      </c>
      <c r="L77" s="1"/>
    </row>
    <row r="78" spans="1:12" ht="15.95" customHeight="1" x14ac:dyDescent="0.25">
      <c r="A78" s="9">
        <v>27</v>
      </c>
      <c r="B78" s="196" t="s">
        <v>2290</v>
      </c>
      <c r="C78" s="161" t="s">
        <v>2098</v>
      </c>
      <c r="D78" s="166" t="s">
        <v>0</v>
      </c>
      <c r="E78" s="1"/>
      <c r="H78" s="9">
        <v>27</v>
      </c>
      <c r="I78" s="196" t="s">
        <v>2316</v>
      </c>
      <c r="J78" s="179" t="s">
        <v>2123</v>
      </c>
      <c r="K78" s="160" t="s">
        <v>1</v>
      </c>
      <c r="L78" s="1"/>
    </row>
    <row r="79" spans="1:12" ht="15.95" customHeight="1" x14ac:dyDescent="0.25">
      <c r="A79" s="9">
        <v>28</v>
      </c>
      <c r="B79" s="196" t="s">
        <v>2291</v>
      </c>
      <c r="C79" s="164" t="s">
        <v>2099</v>
      </c>
      <c r="D79" s="167" t="s">
        <v>1</v>
      </c>
      <c r="E79" s="1"/>
      <c r="H79" s="9">
        <v>28</v>
      </c>
      <c r="I79" s="196" t="s">
        <v>2317</v>
      </c>
      <c r="J79" s="164" t="s">
        <v>2124</v>
      </c>
      <c r="K79" s="59" t="s">
        <v>0</v>
      </c>
      <c r="L79" s="1"/>
    </row>
    <row r="80" spans="1:12" ht="15.95" customHeight="1" x14ac:dyDescent="0.25">
      <c r="A80" s="9">
        <v>29</v>
      </c>
      <c r="B80" s="196" t="s">
        <v>2412</v>
      </c>
      <c r="C80" s="164" t="s">
        <v>2410</v>
      </c>
      <c r="D80" s="167" t="s">
        <v>0</v>
      </c>
      <c r="E80" s="1"/>
      <c r="H80" s="9">
        <v>29</v>
      </c>
      <c r="I80" s="196" t="s">
        <v>2345</v>
      </c>
      <c r="J80" s="48" t="s">
        <v>2153</v>
      </c>
      <c r="K80" s="160" t="s">
        <v>0</v>
      </c>
      <c r="L80" s="1"/>
    </row>
    <row r="81" spans="1:12" ht="15.75" x14ac:dyDescent="0.25">
      <c r="A81" s="9"/>
      <c r="B81" s="196"/>
      <c r="C81" s="164"/>
      <c r="D81" s="9"/>
      <c r="E81" s="1"/>
      <c r="H81" s="9">
        <v>30</v>
      </c>
      <c r="I81" s="196" t="s">
        <v>2318</v>
      </c>
      <c r="J81" s="164" t="s">
        <v>2125</v>
      </c>
      <c r="K81" s="59" t="s">
        <v>1</v>
      </c>
      <c r="L81" s="1"/>
    </row>
    <row r="82" spans="1:12" ht="15.75" x14ac:dyDescent="0.25">
      <c r="A82" s="9"/>
      <c r="B82" s="10"/>
      <c r="C82" s="27"/>
      <c r="D82" s="5"/>
      <c r="E82" s="1"/>
      <c r="H82" s="9">
        <v>31</v>
      </c>
      <c r="I82" s="196" t="s">
        <v>2319</v>
      </c>
      <c r="J82" s="48" t="s">
        <v>2126</v>
      </c>
      <c r="K82" s="166" t="s">
        <v>0</v>
      </c>
      <c r="L82" s="1"/>
    </row>
    <row r="83" spans="1:12" hidden="1" x14ac:dyDescent="0.25">
      <c r="A83" s="9"/>
      <c r="B83" s="1"/>
      <c r="C83" s="1"/>
      <c r="D83" s="1"/>
      <c r="E83" s="1"/>
    </row>
    <row r="84" spans="1:12" x14ac:dyDescent="0.25">
      <c r="A84" s="209" t="s">
        <v>8</v>
      </c>
      <c r="B84" s="209"/>
      <c r="C84" s="22" t="s">
        <v>9</v>
      </c>
      <c r="H84" s="6" t="s">
        <v>8</v>
      </c>
      <c r="I84" s="6"/>
      <c r="J84" s="22" t="s">
        <v>9</v>
      </c>
    </row>
    <row r="85" spans="1:12" x14ac:dyDescent="0.25">
      <c r="B85" s="17" t="s">
        <v>10</v>
      </c>
      <c r="C85" s="23">
        <f>COUNTIF(D52:D82,"L")</f>
        <v>17</v>
      </c>
      <c r="D85" s="208" t="s">
        <v>2416</v>
      </c>
      <c r="E85" s="208"/>
      <c r="I85" s="17" t="s">
        <v>10</v>
      </c>
      <c r="J85" s="23">
        <f>COUNTIF(K52:K82,"L")</f>
        <v>19</v>
      </c>
      <c r="K85" s="208" t="s">
        <v>2416</v>
      </c>
      <c r="L85" s="208"/>
    </row>
    <row r="86" spans="1:12" x14ac:dyDescent="0.25">
      <c r="B86" s="17" t="s">
        <v>11</v>
      </c>
      <c r="C86" s="23">
        <f>COUNTIF(D52:D82,"P")</f>
        <v>12</v>
      </c>
      <c r="D86" s="208" t="s">
        <v>12</v>
      </c>
      <c r="E86" s="208"/>
      <c r="I86" s="17" t="s">
        <v>11</v>
      </c>
      <c r="J86" s="23">
        <f>COUNTIF(K52:K82,"P")</f>
        <v>12</v>
      </c>
      <c r="K86" s="208" t="s">
        <v>12</v>
      </c>
      <c r="L86" s="208"/>
    </row>
    <row r="87" spans="1:12" x14ac:dyDescent="0.25">
      <c r="B87" s="30" t="s">
        <v>20</v>
      </c>
      <c r="C87" s="29">
        <f>C85+C86</f>
        <v>29</v>
      </c>
      <c r="D87" s="18"/>
      <c r="E87" s="18"/>
      <c r="I87" s="30" t="s">
        <v>20</v>
      </c>
      <c r="J87" s="29">
        <f>J85+J86</f>
        <v>31</v>
      </c>
      <c r="K87" s="18"/>
      <c r="L87" s="18"/>
    </row>
    <row r="90" spans="1:12" x14ac:dyDescent="0.25">
      <c r="D90" s="208" t="s">
        <v>13</v>
      </c>
      <c r="E90" s="208"/>
      <c r="K90" s="18" t="s">
        <v>13</v>
      </c>
      <c r="L90" s="18"/>
    </row>
    <row r="91" spans="1:12" x14ac:dyDescent="0.25">
      <c r="D91" t="s">
        <v>14</v>
      </c>
      <c r="K91" t="s">
        <v>14</v>
      </c>
    </row>
    <row r="92" spans="1:12" hidden="1" x14ac:dyDescent="0.25">
      <c r="G92" s="15" t="s">
        <v>1184</v>
      </c>
    </row>
    <row r="93" spans="1:12" hidden="1" x14ac:dyDescent="0.25"/>
    <row r="94" spans="1:12" ht="15.75" x14ac:dyDescent="0.25">
      <c r="A94" s="210" t="s">
        <v>670</v>
      </c>
      <c r="B94" s="210"/>
      <c r="C94" s="210"/>
      <c r="D94" s="210"/>
      <c r="E94" s="210"/>
      <c r="G94" s="211" t="s">
        <v>670</v>
      </c>
      <c r="H94" s="210"/>
      <c r="I94" s="210"/>
      <c r="J94" s="210"/>
      <c r="K94" s="210"/>
      <c r="L94" s="210"/>
    </row>
    <row r="95" spans="1:12" ht="15.75" x14ac:dyDescent="0.25">
      <c r="A95" s="210" t="s">
        <v>2415</v>
      </c>
      <c r="B95" s="210"/>
      <c r="C95" s="210"/>
      <c r="D95" s="210"/>
      <c r="E95" s="210"/>
      <c r="G95" s="211" t="s">
        <v>2415</v>
      </c>
      <c r="H95" s="210"/>
      <c r="I95" s="210"/>
      <c r="J95" s="210"/>
      <c r="K95" s="210"/>
      <c r="L95" s="210"/>
    </row>
    <row r="96" spans="1:12" ht="15.75" x14ac:dyDescent="0.25">
      <c r="A96" s="210" t="s">
        <v>28</v>
      </c>
      <c r="B96" s="210"/>
      <c r="C96" s="210"/>
      <c r="D96" s="210"/>
      <c r="E96" s="210"/>
      <c r="H96" s="210" t="s">
        <v>2016</v>
      </c>
      <c r="I96" s="210"/>
      <c r="J96" s="210"/>
      <c r="K96" s="210"/>
      <c r="L96" s="210"/>
    </row>
    <row r="97" spans="1:12" ht="7.5" customHeight="1" x14ac:dyDescent="0.25">
      <c r="A97" s="6"/>
      <c r="B97" s="6"/>
      <c r="C97" s="6"/>
      <c r="D97" s="6"/>
      <c r="H97" s="6"/>
      <c r="I97" s="6"/>
      <c r="J97" s="6"/>
      <c r="K97" s="6"/>
    </row>
    <row r="98" spans="1:12" ht="15.95" customHeight="1" x14ac:dyDescent="0.25">
      <c r="A98" s="13" t="s">
        <v>2</v>
      </c>
      <c r="B98" s="13" t="s">
        <v>3</v>
      </c>
      <c r="C98" s="13" t="s">
        <v>7</v>
      </c>
      <c r="D98" s="13" t="s">
        <v>5</v>
      </c>
      <c r="E98" s="13" t="s">
        <v>6</v>
      </c>
      <c r="H98" s="13" t="s">
        <v>2</v>
      </c>
      <c r="I98" s="13" t="s">
        <v>3</v>
      </c>
      <c r="J98" s="13" t="s">
        <v>7</v>
      </c>
      <c r="K98" s="13" t="s">
        <v>5</v>
      </c>
      <c r="L98" s="13" t="s">
        <v>6</v>
      </c>
    </row>
    <row r="99" spans="1:12" ht="15.95" customHeight="1" x14ac:dyDescent="0.25">
      <c r="A99" s="5">
        <v>1</v>
      </c>
      <c r="B99" s="196" t="s">
        <v>2320</v>
      </c>
      <c r="C99" s="158" t="s">
        <v>2127</v>
      </c>
      <c r="D99" s="159" t="s">
        <v>0</v>
      </c>
      <c r="E99" s="1"/>
      <c r="H99" s="114">
        <v>1</v>
      </c>
      <c r="I99" s="196" t="s">
        <v>2346</v>
      </c>
      <c r="J99" s="158" t="s">
        <v>2154</v>
      </c>
      <c r="K99" s="159" t="s">
        <v>1</v>
      </c>
      <c r="L99" s="1"/>
    </row>
    <row r="100" spans="1:12" ht="15.95" customHeight="1" x14ac:dyDescent="0.25">
      <c r="A100" s="5">
        <v>2</v>
      </c>
      <c r="B100" s="196" t="s">
        <v>2321</v>
      </c>
      <c r="C100" s="48" t="s">
        <v>2128</v>
      </c>
      <c r="D100" s="59" t="s">
        <v>1</v>
      </c>
      <c r="E100" s="1"/>
      <c r="H100" s="114">
        <v>2</v>
      </c>
      <c r="I100" s="196" t="s">
        <v>2347</v>
      </c>
      <c r="J100" s="48" t="s">
        <v>2155</v>
      </c>
      <c r="K100" s="59" t="s">
        <v>1</v>
      </c>
      <c r="L100" s="1"/>
    </row>
    <row r="101" spans="1:12" ht="15.95" customHeight="1" x14ac:dyDescent="0.25">
      <c r="A101" s="5">
        <v>3</v>
      </c>
      <c r="B101" s="196" t="s">
        <v>2322</v>
      </c>
      <c r="C101" s="161" t="s">
        <v>2130</v>
      </c>
      <c r="D101" s="59" t="s">
        <v>0</v>
      </c>
      <c r="E101" s="1"/>
      <c r="H101" s="114">
        <v>3</v>
      </c>
      <c r="I101" s="196" t="s">
        <v>2348</v>
      </c>
      <c r="J101" s="48" t="s">
        <v>2156</v>
      </c>
      <c r="K101" s="160" t="s">
        <v>0</v>
      </c>
      <c r="L101" s="1"/>
    </row>
    <row r="102" spans="1:12" ht="15.95" customHeight="1" x14ac:dyDescent="0.25">
      <c r="A102" s="5">
        <v>4</v>
      </c>
      <c r="B102" s="196" t="s">
        <v>2323</v>
      </c>
      <c r="C102" s="161" t="s">
        <v>2131</v>
      </c>
      <c r="D102" s="159" t="s">
        <v>0</v>
      </c>
      <c r="E102" s="1"/>
      <c r="H102" s="114">
        <v>4</v>
      </c>
      <c r="I102" s="196" t="s">
        <v>2349</v>
      </c>
      <c r="J102" s="161" t="s">
        <v>2157</v>
      </c>
      <c r="K102" s="59" t="s">
        <v>1</v>
      </c>
      <c r="L102" s="1"/>
    </row>
    <row r="103" spans="1:12" ht="15.95" customHeight="1" x14ac:dyDescent="0.25">
      <c r="A103" s="5">
        <v>5</v>
      </c>
      <c r="B103" s="196" t="s">
        <v>2324</v>
      </c>
      <c r="C103" s="161" t="s">
        <v>2132</v>
      </c>
      <c r="D103" s="162" t="s">
        <v>1</v>
      </c>
      <c r="E103" s="1"/>
      <c r="H103" s="114">
        <v>5</v>
      </c>
      <c r="I103" s="196" t="s">
        <v>2350</v>
      </c>
      <c r="J103" s="161" t="s">
        <v>2158</v>
      </c>
      <c r="K103" s="159" t="s">
        <v>0</v>
      </c>
      <c r="L103" s="1"/>
    </row>
    <row r="104" spans="1:12" ht="15.95" customHeight="1" x14ac:dyDescent="0.25">
      <c r="A104" s="5">
        <v>6</v>
      </c>
      <c r="B104" s="196" t="s">
        <v>2325</v>
      </c>
      <c r="C104" s="161" t="s">
        <v>2133</v>
      </c>
      <c r="D104" s="160" t="s">
        <v>1</v>
      </c>
      <c r="E104" s="1"/>
      <c r="H104" s="114">
        <v>6</v>
      </c>
      <c r="I104" s="196" t="s">
        <v>2351</v>
      </c>
      <c r="J104" s="161" t="s">
        <v>2159</v>
      </c>
      <c r="K104" s="162" t="s">
        <v>1</v>
      </c>
      <c r="L104" s="1"/>
    </row>
    <row r="105" spans="1:12" ht="15.95" customHeight="1" x14ac:dyDescent="0.25">
      <c r="A105" s="5">
        <v>7</v>
      </c>
      <c r="B105" s="203" t="s">
        <v>2239</v>
      </c>
      <c r="C105" s="198" t="s">
        <v>2048</v>
      </c>
      <c r="D105" s="9" t="s">
        <v>1</v>
      </c>
      <c r="E105" s="1" t="s">
        <v>2589</v>
      </c>
      <c r="H105" s="114">
        <v>7</v>
      </c>
      <c r="I105" s="196" t="s">
        <v>2352</v>
      </c>
      <c r="J105" s="161" t="s">
        <v>2160</v>
      </c>
      <c r="K105" s="160" t="s">
        <v>1</v>
      </c>
      <c r="L105" s="1"/>
    </row>
    <row r="106" spans="1:12" ht="15.95" customHeight="1" x14ac:dyDescent="0.25">
      <c r="A106" s="5">
        <v>8</v>
      </c>
      <c r="B106" s="196" t="s">
        <v>2326</v>
      </c>
      <c r="C106" s="161" t="s">
        <v>2134</v>
      </c>
      <c r="D106" s="160" t="s">
        <v>0</v>
      </c>
      <c r="E106" s="1"/>
      <c r="H106" s="114">
        <v>8</v>
      </c>
      <c r="I106" s="196" t="s">
        <v>2353</v>
      </c>
      <c r="J106" s="161" t="s">
        <v>2161</v>
      </c>
      <c r="K106" s="59" t="s">
        <v>0</v>
      </c>
      <c r="L106" s="1"/>
    </row>
    <row r="107" spans="1:12" ht="15.95" customHeight="1" x14ac:dyDescent="0.25">
      <c r="A107" s="5">
        <v>9</v>
      </c>
      <c r="B107" s="196" t="s">
        <v>2299</v>
      </c>
      <c r="C107" s="161" t="s">
        <v>2106</v>
      </c>
      <c r="D107" s="162" t="s">
        <v>0</v>
      </c>
      <c r="E107" s="1"/>
      <c r="H107" s="114">
        <v>9</v>
      </c>
      <c r="I107" s="196" t="s">
        <v>2354</v>
      </c>
      <c r="J107" s="161" t="s">
        <v>2162</v>
      </c>
      <c r="K107" s="159" t="s">
        <v>1</v>
      </c>
      <c r="L107" s="1"/>
    </row>
    <row r="108" spans="1:12" ht="15.95" customHeight="1" x14ac:dyDescent="0.25">
      <c r="A108" s="5">
        <v>10</v>
      </c>
      <c r="B108" s="196" t="s">
        <v>2327</v>
      </c>
      <c r="C108" s="48" t="s">
        <v>2135</v>
      </c>
      <c r="D108" s="178" t="s">
        <v>1</v>
      </c>
      <c r="E108" s="4"/>
      <c r="H108" s="114">
        <v>10</v>
      </c>
      <c r="I108" s="196" t="s">
        <v>2355</v>
      </c>
      <c r="J108" s="161" t="s">
        <v>2163</v>
      </c>
      <c r="K108" s="59" t="s">
        <v>0</v>
      </c>
      <c r="L108" s="1"/>
    </row>
    <row r="109" spans="1:12" ht="15.95" customHeight="1" x14ac:dyDescent="0.25">
      <c r="A109" s="5">
        <v>11</v>
      </c>
      <c r="B109" s="196" t="s">
        <v>2328</v>
      </c>
      <c r="C109" s="161" t="s">
        <v>2136</v>
      </c>
      <c r="D109" s="59" t="s">
        <v>0</v>
      </c>
      <c r="E109" s="1"/>
      <c r="H109" s="114">
        <v>11</v>
      </c>
      <c r="I109" s="196" t="s">
        <v>2356</v>
      </c>
      <c r="J109" s="163" t="s">
        <v>2164</v>
      </c>
      <c r="K109" s="159" t="s">
        <v>1</v>
      </c>
      <c r="L109" s="1"/>
    </row>
    <row r="110" spans="1:12" ht="15.95" customHeight="1" x14ac:dyDescent="0.25">
      <c r="A110" s="5">
        <v>12</v>
      </c>
      <c r="B110" s="196" t="s">
        <v>2329</v>
      </c>
      <c r="C110" s="163" t="s">
        <v>2137</v>
      </c>
      <c r="D110" s="159" t="s">
        <v>0</v>
      </c>
      <c r="E110" s="1"/>
      <c r="H110" s="114">
        <v>12</v>
      </c>
      <c r="I110" s="196" t="s">
        <v>2408</v>
      </c>
      <c r="J110" s="48" t="s">
        <v>2400</v>
      </c>
      <c r="K110" s="59" t="s">
        <v>0</v>
      </c>
      <c r="L110" s="1"/>
    </row>
    <row r="111" spans="1:12" ht="15.95" customHeight="1" x14ac:dyDescent="0.25">
      <c r="A111" s="5">
        <v>13</v>
      </c>
      <c r="B111" s="196" t="s">
        <v>2331</v>
      </c>
      <c r="C111" s="161" t="s">
        <v>2139</v>
      </c>
      <c r="D111" s="162" t="s">
        <v>0</v>
      </c>
      <c r="E111" s="1"/>
      <c r="H111" s="114">
        <v>13</v>
      </c>
      <c r="I111" s="196" t="s">
        <v>2357</v>
      </c>
      <c r="J111" s="161" t="s">
        <v>2165</v>
      </c>
      <c r="K111" s="159" t="s">
        <v>0</v>
      </c>
      <c r="L111" s="1"/>
    </row>
    <row r="112" spans="1:12" ht="15.95" customHeight="1" x14ac:dyDescent="0.25">
      <c r="A112" s="5">
        <v>14</v>
      </c>
      <c r="B112" s="196" t="s">
        <v>2332</v>
      </c>
      <c r="C112" s="161" t="s">
        <v>2140</v>
      </c>
      <c r="D112" s="162" t="s">
        <v>0</v>
      </c>
      <c r="E112" s="1"/>
      <c r="H112" s="114">
        <v>14</v>
      </c>
      <c r="I112" s="196" t="s">
        <v>2358</v>
      </c>
      <c r="J112" s="161" t="s">
        <v>2166</v>
      </c>
      <c r="K112" s="162" t="s">
        <v>0</v>
      </c>
      <c r="L112" s="1"/>
    </row>
    <row r="113" spans="1:16" ht="15.95" customHeight="1" x14ac:dyDescent="0.25">
      <c r="A113" s="5">
        <v>15</v>
      </c>
      <c r="B113" s="196" t="s">
        <v>2333</v>
      </c>
      <c r="C113" s="161" t="s">
        <v>2141</v>
      </c>
      <c r="D113" s="59" t="s">
        <v>0</v>
      </c>
      <c r="E113" s="1"/>
      <c r="H113" s="114">
        <v>15</v>
      </c>
      <c r="I113" s="196" t="s">
        <v>2359</v>
      </c>
      <c r="J113" s="161" t="s">
        <v>2167</v>
      </c>
      <c r="K113" s="162" t="s">
        <v>0</v>
      </c>
      <c r="L113" s="1"/>
    </row>
    <row r="114" spans="1:16" ht="15.95" customHeight="1" x14ac:dyDescent="0.25">
      <c r="A114" s="5">
        <v>16</v>
      </c>
      <c r="B114" s="196" t="s">
        <v>2334</v>
      </c>
      <c r="C114" s="161" t="s">
        <v>2142</v>
      </c>
      <c r="D114" s="59" t="s">
        <v>1</v>
      </c>
      <c r="E114" s="1"/>
      <c r="H114" s="114">
        <v>16</v>
      </c>
      <c r="I114" s="196" t="s">
        <v>2360</v>
      </c>
      <c r="J114" s="161" t="s">
        <v>2168</v>
      </c>
      <c r="K114" s="59" t="s">
        <v>0</v>
      </c>
      <c r="L114" s="1"/>
    </row>
    <row r="115" spans="1:16" ht="15.95" customHeight="1" x14ac:dyDescent="0.25">
      <c r="A115" s="5">
        <v>17</v>
      </c>
      <c r="B115" s="196" t="s">
        <v>2307</v>
      </c>
      <c r="C115" s="48" t="s">
        <v>2114</v>
      </c>
      <c r="D115" s="162" t="s">
        <v>0</v>
      </c>
      <c r="E115" s="1"/>
      <c r="H115" s="114">
        <v>17</v>
      </c>
      <c r="I115" s="196" t="s">
        <v>2361</v>
      </c>
      <c r="J115" s="161" t="s">
        <v>2169</v>
      </c>
      <c r="K115" s="59" t="s">
        <v>0</v>
      </c>
      <c r="L115" s="1"/>
    </row>
    <row r="116" spans="1:16" ht="15.95" customHeight="1" x14ac:dyDescent="0.25">
      <c r="A116" s="5">
        <v>18</v>
      </c>
      <c r="B116" s="196" t="s">
        <v>2335</v>
      </c>
      <c r="C116" s="48" t="s">
        <v>2143</v>
      </c>
      <c r="D116" s="162" t="s">
        <v>0</v>
      </c>
      <c r="E116" s="1"/>
      <c r="H116" s="114">
        <v>18</v>
      </c>
      <c r="I116" s="196" t="s">
        <v>2362</v>
      </c>
      <c r="J116" s="55" t="s">
        <v>2170</v>
      </c>
      <c r="K116" s="63" t="s">
        <v>1</v>
      </c>
      <c r="L116" s="1"/>
    </row>
    <row r="117" spans="1:16" ht="15.95" customHeight="1" x14ac:dyDescent="0.25">
      <c r="A117" s="5">
        <v>19</v>
      </c>
      <c r="B117" s="196" t="s">
        <v>2336</v>
      </c>
      <c r="C117" s="161" t="s">
        <v>2144</v>
      </c>
      <c r="D117" s="162" t="s">
        <v>0</v>
      </c>
      <c r="E117" s="1"/>
      <c r="H117" s="114">
        <v>19</v>
      </c>
      <c r="I117" s="196" t="s">
        <v>2363</v>
      </c>
      <c r="J117" s="161" t="s">
        <v>2171</v>
      </c>
      <c r="K117" s="162" t="s">
        <v>1</v>
      </c>
      <c r="L117" s="1"/>
    </row>
    <row r="118" spans="1:16" ht="15.95" customHeight="1" x14ac:dyDescent="0.25">
      <c r="A118" s="5">
        <v>20</v>
      </c>
      <c r="B118" s="196" t="s">
        <v>2337</v>
      </c>
      <c r="C118" s="161" t="s">
        <v>2145</v>
      </c>
      <c r="D118" s="162" t="s">
        <v>0</v>
      </c>
      <c r="E118" s="1"/>
      <c r="H118" s="114">
        <v>20</v>
      </c>
      <c r="I118" s="196" t="s">
        <v>2364</v>
      </c>
      <c r="J118" s="161" t="s">
        <v>2172</v>
      </c>
      <c r="K118" s="162" t="s">
        <v>1</v>
      </c>
      <c r="L118" s="1"/>
    </row>
    <row r="119" spans="1:16" ht="15.95" customHeight="1" x14ac:dyDescent="0.25">
      <c r="A119" s="5">
        <v>21</v>
      </c>
      <c r="B119" s="196" t="s">
        <v>2338</v>
      </c>
      <c r="C119" s="161" t="s">
        <v>2146</v>
      </c>
      <c r="D119" s="59" t="s">
        <v>0</v>
      </c>
      <c r="E119" s="1"/>
      <c r="H119" s="114">
        <v>21</v>
      </c>
      <c r="I119" s="196" t="s">
        <v>2365</v>
      </c>
      <c r="J119" s="161" t="s">
        <v>2173</v>
      </c>
      <c r="K119" s="162" t="s">
        <v>0</v>
      </c>
      <c r="L119" s="1"/>
    </row>
    <row r="120" spans="1:16" ht="15.95" customHeight="1" x14ac:dyDescent="0.25">
      <c r="A120" s="5">
        <v>22</v>
      </c>
      <c r="B120" s="196" t="s">
        <v>2339</v>
      </c>
      <c r="C120" s="161" t="s">
        <v>2147</v>
      </c>
      <c r="D120" s="59" t="s">
        <v>0</v>
      </c>
      <c r="E120" s="1"/>
      <c r="H120" s="114">
        <v>22</v>
      </c>
      <c r="I120" s="196" t="s">
        <v>2366</v>
      </c>
      <c r="J120" s="161" t="s">
        <v>2174</v>
      </c>
      <c r="K120" s="59" t="s">
        <v>1</v>
      </c>
      <c r="L120" s="1"/>
    </row>
    <row r="121" spans="1:16" ht="15.95" customHeight="1" x14ac:dyDescent="0.25">
      <c r="A121" s="5">
        <v>23</v>
      </c>
      <c r="B121" s="196" t="s">
        <v>2340</v>
      </c>
      <c r="C121" s="161" t="s">
        <v>2148</v>
      </c>
      <c r="D121" s="162" t="s">
        <v>1</v>
      </c>
      <c r="E121" s="1"/>
      <c r="H121" s="114">
        <v>23</v>
      </c>
      <c r="I121" s="196" t="s">
        <v>2367</v>
      </c>
      <c r="J121" s="161" t="s">
        <v>2175</v>
      </c>
      <c r="K121" s="59" t="s">
        <v>1</v>
      </c>
      <c r="L121" s="1"/>
      <c r="P121" t="s">
        <v>1</v>
      </c>
    </row>
    <row r="122" spans="1:16" ht="15.95" customHeight="1" x14ac:dyDescent="0.25">
      <c r="A122" s="5">
        <v>24</v>
      </c>
      <c r="B122" s="196" t="s">
        <v>2341</v>
      </c>
      <c r="C122" s="161" t="s">
        <v>2149</v>
      </c>
      <c r="D122" s="162" t="s">
        <v>1</v>
      </c>
      <c r="E122" s="1"/>
      <c r="H122" s="114">
        <v>24</v>
      </c>
      <c r="I122" s="196" t="s">
        <v>2368</v>
      </c>
      <c r="J122" s="161" t="s">
        <v>2176</v>
      </c>
      <c r="K122" s="162" t="s">
        <v>1</v>
      </c>
      <c r="L122" s="1"/>
    </row>
    <row r="123" spans="1:16" ht="15.95" customHeight="1" x14ac:dyDescent="0.25">
      <c r="A123" s="5">
        <v>25</v>
      </c>
      <c r="B123" s="196" t="s">
        <v>2226</v>
      </c>
      <c r="C123" s="198" t="s">
        <v>2037</v>
      </c>
      <c r="D123" s="59" t="s">
        <v>0</v>
      </c>
      <c r="E123" s="1" t="s">
        <v>2588</v>
      </c>
      <c r="H123" s="114">
        <v>25</v>
      </c>
      <c r="I123" s="196" t="s">
        <v>2401</v>
      </c>
      <c r="J123" s="56" t="s">
        <v>2402</v>
      </c>
      <c r="K123" s="59" t="s">
        <v>1</v>
      </c>
      <c r="L123" s="1"/>
    </row>
    <row r="124" spans="1:16" ht="15.95" customHeight="1" x14ac:dyDescent="0.25">
      <c r="A124" s="5">
        <v>26</v>
      </c>
      <c r="B124" s="195" t="s">
        <v>2342</v>
      </c>
      <c r="C124" s="48" t="s">
        <v>2150</v>
      </c>
      <c r="D124" s="59" t="s">
        <v>0</v>
      </c>
      <c r="E124" s="1"/>
      <c r="H124" s="114">
        <v>26</v>
      </c>
      <c r="I124" s="196" t="s">
        <v>2369</v>
      </c>
      <c r="J124" s="55" t="s">
        <v>2177</v>
      </c>
      <c r="K124" s="162" t="s">
        <v>0</v>
      </c>
      <c r="L124" s="1"/>
    </row>
    <row r="125" spans="1:16" ht="15.95" customHeight="1" x14ac:dyDescent="0.25">
      <c r="A125" s="5">
        <v>27</v>
      </c>
      <c r="B125" s="196" t="s">
        <v>2343</v>
      </c>
      <c r="C125" s="164" t="s">
        <v>2151</v>
      </c>
      <c r="D125" s="59" t="s">
        <v>1</v>
      </c>
      <c r="E125" s="1"/>
      <c r="H125" s="114"/>
      <c r="I125" s="109"/>
      <c r="J125" s="164"/>
      <c r="K125" s="59"/>
      <c r="L125" s="1"/>
    </row>
    <row r="126" spans="1:16" ht="15.95" customHeight="1" x14ac:dyDescent="0.25">
      <c r="A126" s="5">
        <v>28</v>
      </c>
      <c r="B126" s="193" t="s">
        <v>2344</v>
      </c>
      <c r="C126" s="165" t="s">
        <v>2152</v>
      </c>
      <c r="D126" s="59" t="s">
        <v>1</v>
      </c>
      <c r="E126" s="119"/>
      <c r="H126" s="114"/>
      <c r="I126" s="107"/>
      <c r="J126" s="165"/>
      <c r="K126" s="166"/>
      <c r="L126" s="1"/>
    </row>
    <row r="127" spans="1:16" ht="15.75" x14ac:dyDescent="0.25">
      <c r="A127" s="5"/>
      <c r="B127" s="193"/>
      <c r="C127" s="161"/>
      <c r="D127" s="166"/>
      <c r="E127" s="1"/>
      <c r="H127" s="114"/>
      <c r="I127" s="109"/>
      <c r="J127" s="161"/>
      <c r="K127" s="63"/>
      <c r="L127" s="1"/>
    </row>
    <row r="128" spans="1:16" ht="15.75" x14ac:dyDescent="0.25">
      <c r="A128" s="5"/>
      <c r="B128" s="137"/>
      <c r="C128" s="158"/>
      <c r="D128" s="159"/>
      <c r="E128" s="1"/>
      <c r="H128" s="114"/>
      <c r="I128" s="132"/>
      <c r="J128" s="161"/>
      <c r="K128" s="63"/>
      <c r="L128" s="1"/>
    </row>
    <row r="129" spans="1:12" ht="15.75" x14ac:dyDescent="0.25">
      <c r="A129" s="5"/>
      <c r="C129" s="48"/>
      <c r="D129" s="59"/>
      <c r="E129" s="1"/>
      <c r="H129" s="9"/>
      <c r="I129" s="10"/>
      <c r="J129" s="2"/>
      <c r="K129" s="3"/>
      <c r="L129" s="1"/>
    </row>
    <row r="130" spans="1:12" x14ac:dyDescent="0.25">
      <c r="A130" s="9"/>
      <c r="B130" s="1"/>
      <c r="C130" s="1"/>
      <c r="D130" s="1"/>
      <c r="E130" s="1"/>
    </row>
    <row r="131" spans="1:12" x14ac:dyDescent="0.25">
      <c r="A131" s="209" t="s">
        <v>8</v>
      </c>
      <c r="B131" s="209"/>
      <c r="C131" s="22" t="s">
        <v>9</v>
      </c>
      <c r="H131" s="6" t="s">
        <v>8</v>
      </c>
      <c r="I131" s="6"/>
      <c r="J131" s="22" t="s">
        <v>1184</v>
      </c>
    </row>
    <row r="132" spans="1:12" x14ac:dyDescent="0.25">
      <c r="B132" s="17" t="s">
        <v>10</v>
      </c>
      <c r="C132" s="23">
        <f>COUNTIF(D99:D129,"L")</f>
        <v>18</v>
      </c>
      <c r="D132" s="208" t="s">
        <v>2416</v>
      </c>
      <c r="E132" s="208"/>
      <c r="I132" s="17" t="s">
        <v>10</v>
      </c>
      <c r="J132" s="23">
        <f>COUNTIF(K99:K129,"L")</f>
        <v>12</v>
      </c>
      <c r="K132" s="208" t="s">
        <v>2417</v>
      </c>
      <c r="L132" s="208"/>
    </row>
    <row r="133" spans="1:12" x14ac:dyDescent="0.25">
      <c r="B133" s="17" t="s">
        <v>11</v>
      </c>
      <c r="C133" s="23">
        <f>COUNTIF(D99:D129,"P")</f>
        <v>10</v>
      </c>
      <c r="D133" s="208" t="s">
        <v>12</v>
      </c>
      <c r="E133" s="208"/>
      <c r="I133" s="17" t="s">
        <v>11</v>
      </c>
      <c r="J133" s="23">
        <f>COUNTIF(K99:K129,"P")</f>
        <v>14</v>
      </c>
      <c r="K133" s="208" t="s">
        <v>12</v>
      </c>
      <c r="L133" s="208"/>
    </row>
    <row r="134" spans="1:12" x14ac:dyDescent="0.25">
      <c r="B134" s="30" t="s">
        <v>20</v>
      </c>
      <c r="C134" s="29">
        <f>C132+C133</f>
        <v>28</v>
      </c>
      <c r="D134" s="18"/>
      <c r="E134" s="18"/>
      <c r="I134" s="30" t="s">
        <v>20</v>
      </c>
      <c r="J134" s="29">
        <f>J132+J133</f>
        <v>26</v>
      </c>
      <c r="K134" s="18"/>
      <c r="L134" s="18"/>
    </row>
    <row r="135" spans="1:12" hidden="1" x14ac:dyDescent="0.25"/>
    <row r="138" spans="1:12" x14ac:dyDescent="0.25">
      <c r="D138" s="208" t="s">
        <v>13</v>
      </c>
      <c r="E138" s="208"/>
      <c r="K138" s="21" t="s">
        <v>2419</v>
      </c>
      <c r="L138" s="19"/>
    </row>
    <row r="139" spans="1:12" hidden="1" x14ac:dyDescent="0.25">
      <c r="D139" t="s">
        <v>14</v>
      </c>
      <c r="K139" t="s">
        <v>14</v>
      </c>
    </row>
    <row r="140" spans="1:12" hidden="1" x14ac:dyDescent="0.25"/>
    <row r="141" spans="1:12" ht="15.75" x14ac:dyDescent="0.25">
      <c r="A141" s="210" t="s">
        <v>670</v>
      </c>
      <c r="B141" s="210"/>
      <c r="C141" s="210"/>
      <c r="D141" s="210"/>
      <c r="E141" s="210"/>
      <c r="H141" s="210" t="s">
        <v>670</v>
      </c>
      <c r="I141" s="210"/>
      <c r="J141" s="210"/>
      <c r="K141" s="210"/>
      <c r="L141" s="210"/>
    </row>
    <row r="142" spans="1:12" ht="15.75" x14ac:dyDescent="0.25">
      <c r="A142" s="210" t="s">
        <v>2415</v>
      </c>
      <c r="B142" s="210"/>
      <c r="C142" s="210"/>
      <c r="D142" s="210"/>
      <c r="E142" s="210"/>
      <c r="H142" s="210" t="s">
        <v>2415</v>
      </c>
      <c r="I142" s="210"/>
      <c r="J142" s="210"/>
      <c r="K142" s="210"/>
      <c r="L142" s="210"/>
    </row>
    <row r="143" spans="1:12" ht="15.75" x14ac:dyDescent="0.25">
      <c r="A143" s="210" t="s">
        <v>2418</v>
      </c>
      <c r="B143" s="210"/>
      <c r="C143" s="210"/>
      <c r="D143" s="210"/>
      <c r="E143" s="210"/>
      <c r="H143" s="210" t="s">
        <v>2198</v>
      </c>
      <c r="I143" s="210"/>
      <c r="J143" s="210"/>
      <c r="K143" s="210"/>
      <c r="L143" s="210"/>
    </row>
    <row r="144" spans="1:12" x14ac:dyDescent="0.25">
      <c r="A144" s="6"/>
      <c r="B144" s="6"/>
      <c r="C144" s="6"/>
      <c r="D144" s="6"/>
      <c r="H144" s="6"/>
      <c r="I144" s="6"/>
      <c r="J144" s="6"/>
      <c r="K144" s="6"/>
    </row>
    <row r="145" spans="1:16" ht="15.95" customHeight="1" x14ac:dyDescent="0.25">
      <c r="A145" s="13" t="s">
        <v>2</v>
      </c>
      <c r="B145" s="13" t="s">
        <v>3</v>
      </c>
      <c r="C145" s="13" t="s">
        <v>4</v>
      </c>
      <c r="D145" s="13" t="s">
        <v>5</v>
      </c>
      <c r="E145" s="13" t="s">
        <v>6</v>
      </c>
      <c r="H145" s="13" t="s">
        <v>2</v>
      </c>
      <c r="I145" s="13" t="s">
        <v>3</v>
      </c>
      <c r="J145" s="13" t="s">
        <v>4</v>
      </c>
      <c r="K145" s="13" t="s">
        <v>5</v>
      </c>
      <c r="L145" s="13" t="s">
        <v>6</v>
      </c>
    </row>
    <row r="146" spans="1:16" ht="15.95" customHeight="1" x14ac:dyDescent="0.25">
      <c r="A146" s="10">
        <v>1</v>
      </c>
      <c r="B146" s="196" t="s">
        <v>2370</v>
      </c>
      <c r="C146" s="158" t="s">
        <v>2178</v>
      </c>
      <c r="D146" s="159" t="s">
        <v>1</v>
      </c>
      <c r="E146" s="1"/>
      <c r="H146" s="10">
        <v>1</v>
      </c>
      <c r="I146" s="107"/>
      <c r="J146" s="158"/>
      <c r="K146" s="159"/>
      <c r="L146" s="1"/>
    </row>
    <row r="147" spans="1:16" ht="15.95" customHeight="1" x14ac:dyDescent="0.25">
      <c r="A147" s="5">
        <v>2</v>
      </c>
      <c r="B147" s="196" t="s">
        <v>2371</v>
      </c>
      <c r="C147" s="48" t="s">
        <v>2179</v>
      </c>
      <c r="D147" s="59" t="s">
        <v>0</v>
      </c>
      <c r="E147" s="1"/>
      <c r="H147" s="5">
        <v>2</v>
      </c>
      <c r="I147" s="107"/>
      <c r="J147" s="48"/>
      <c r="K147" s="59"/>
      <c r="L147" s="1"/>
    </row>
    <row r="148" spans="1:16" ht="15.95" customHeight="1" x14ac:dyDescent="0.25">
      <c r="A148" s="10">
        <v>3</v>
      </c>
      <c r="B148" s="196" t="s">
        <v>2372</v>
      </c>
      <c r="C148" s="48" t="s">
        <v>2180</v>
      </c>
      <c r="D148" s="160" t="s">
        <v>0</v>
      </c>
      <c r="E148" s="1"/>
      <c r="H148" s="10">
        <v>3</v>
      </c>
      <c r="I148" s="107"/>
      <c r="J148" s="48"/>
      <c r="K148" s="160"/>
      <c r="L148" s="1"/>
    </row>
    <row r="149" spans="1:16" ht="15.95" customHeight="1" x14ac:dyDescent="0.25">
      <c r="A149" s="5">
        <v>4</v>
      </c>
      <c r="B149" s="196" t="s">
        <v>2373</v>
      </c>
      <c r="C149" s="161" t="s">
        <v>2181</v>
      </c>
      <c r="D149" s="59" t="s">
        <v>0</v>
      </c>
      <c r="E149" s="1"/>
      <c r="H149" s="5">
        <v>4</v>
      </c>
      <c r="I149" s="107"/>
      <c r="J149" s="161"/>
      <c r="K149" s="59"/>
      <c r="L149" s="1"/>
    </row>
    <row r="150" spans="1:16" ht="15.95" customHeight="1" x14ac:dyDescent="0.25">
      <c r="A150" s="10">
        <v>5</v>
      </c>
      <c r="B150" s="196" t="s">
        <v>2374</v>
      </c>
      <c r="C150" s="161" t="s">
        <v>2182</v>
      </c>
      <c r="D150" s="159" t="s">
        <v>1</v>
      </c>
      <c r="E150" s="1"/>
      <c r="H150" s="10">
        <v>5</v>
      </c>
      <c r="I150" s="107"/>
      <c r="J150" s="161"/>
      <c r="K150" s="159"/>
      <c r="L150" s="1"/>
    </row>
    <row r="151" spans="1:16" ht="15.95" customHeight="1" x14ac:dyDescent="0.25">
      <c r="A151" s="5">
        <v>6</v>
      </c>
      <c r="B151" s="196" t="s">
        <v>2375</v>
      </c>
      <c r="C151" s="161" t="s">
        <v>2183</v>
      </c>
      <c r="D151" s="162" t="s">
        <v>0</v>
      </c>
      <c r="E151" s="1"/>
      <c r="H151" s="5">
        <v>6</v>
      </c>
      <c r="I151" s="108"/>
      <c r="J151" s="161"/>
      <c r="K151" s="162"/>
      <c r="L151" s="1"/>
    </row>
    <row r="152" spans="1:16" ht="15.95" customHeight="1" x14ac:dyDescent="0.25">
      <c r="A152" s="10">
        <v>7</v>
      </c>
      <c r="B152" s="196" t="s">
        <v>2376</v>
      </c>
      <c r="C152" s="161" t="s">
        <v>2184</v>
      </c>
      <c r="D152" s="160" t="s">
        <v>1</v>
      </c>
      <c r="E152" s="1"/>
      <c r="H152" s="10">
        <v>7</v>
      </c>
      <c r="I152" s="108"/>
      <c r="J152" s="161"/>
      <c r="K152" s="160"/>
      <c r="L152" s="1"/>
    </row>
    <row r="153" spans="1:16" ht="15.95" customHeight="1" x14ac:dyDescent="0.25">
      <c r="A153" s="5">
        <v>8</v>
      </c>
      <c r="B153" s="196" t="s">
        <v>2377</v>
      </c>
      <c r="C153" s="161" t="s">
        <v>2185</v>
      </c>
      <c r="D153" s="59" t="s">
        <v>1</v>
      </c>
      <c r="E153" s="1"/>
      <c r="H153" s="5">
        <v>8</v>
      </c>
      <c r="I153" s="108"/>
      <c r="J153" s="161"/>
      <c r="K153" s="59"/>
      <c r="L153" s="1"/>
    </row>
    <row r="154" spans="1:16" ht="15.95" customHeight="1" x14ac:dyDescent="0.25">
      <c r="A154" s="10">
        <v>9</v>
      </c>
      <c r="B154" s="196" t="s">
        <v>2378</v>
      </c>
      <c r="C154" s="161" t="s">
        <v>2186</v>
      </c>
      <c r="D154" s="159" t="s">
        <v>1</v>
      </c>
      <c r="E154" s="1"/>
      <c r="H154" s="10">
        <v>9</v>
      </c>
      <c r="I154" s="108"/>
      <c r="J154" s="161"/>
      <c r="K154" s="159"/>
      <c r="L154" s="1"/>
    </row>
    <row r="155" spans="1:16" ht="15.95" customHeight="1" x14ac:dyDescent="0.25">
      <c r="A155" s="5">
        <v>10</v>
      </c>
      <c r="B155" s="196" t="s">
        <v>2379</v>
      </c>
      <c r="C155" s="161" t="s">
        <v>2187</v>
      </c>
      <c r="D155" s="59" t="s">
        <v>0</v>
      </c>
      <c r="E155" s="1"/>
      <c r="H155" s="5">
        <v>10</v>
      </c>
      <c r="I155" s="108"/>
      <c r="J155" s="161"/>
      <c r="K155" s="59"/>
      <c r="L155" s="1"/>
    </row>
    <row r="156" spans="1:16" ht="15.95" customHeight="1" x14ac:dyDescent="0.25">
      <c r="A156" s="10">
        <v>11</v>
      </c>
      <c r="B156" s="196" t="s">
        <v>2380</v>
      </c>
      <c r="C156" s="163" t="s">
        <v>2188</v>
      </c>
      <c r="D156" s="159" t="s">
        <v>0</v>
      </c>
      <c r="E156" s="1"/>
      <c r="H156" s="10">
        <v>11</v>
      </c>
      <c r="I156" s="111"/>
      <c r="J156" s="163"/>
      <c r="K156" s="159"/>
      <c r="L156" s="1"/>
    </row>
    <row r="157" spans="1:16" ht="15.95" customHeight="1" x14ac:dyDescent="0.25">
      <c r="A157" s="5">
        <v>12</v>
      </c>
      <c r="B157" s="196" t="s">
        <v>2381</v>
      </c>
      <c r="C157" s="161" t="s">
        <v>2189</v>
      </c>
      <c r="D157" s="162" t="s">
        <v>1</v>
      </c>
      <c r="E157" s="1"/>
      <c r="H157" s="5">
        <v>12</v>
      </c>
      <c r="I157" s="107"/>
      <c r="J157" s="161"/>
      <c r="K157" s="162"/>
      <c r="L157" s="1"/>
    </row>
    <row r="158" spans="1:16" ht="15.95" customHeight="1" x14ac:dyDescent="0.25">
      <c r="A158" s="10">
        <v>13</v>
      </c>
      <c r="B158" s="196" t="s">
        <v>2382</v>
      </c>
      <c r="C158" s="161" t="s">
        <v>2190</v>
      </c>
      <c r="D158" s="159" t="s">
        <v>1</v>
      </c>
      <c r="E158" s="1"/>
      <c r="H158" s="10">
        <v>13</v>
      </c>
      <c r="I158" s="107"/>
      <c r="J158" s="161"/>
      <c r="K158" s="159"/>
      <c r="L158" s="1"/>
      <c r="P158" t="s">
        <v>1530</v>
      </c>
    </row>
    <row r="159" spans="1:16" ht="15.95" customHeight="1" x14ac:dyDescent="0.25">
      <c r="A159" s="5">
        <v>14</v>
      </c>
      <c r="B159" s="196" t="s">
        <v>2383</v>
      </c>
      <c r="C159" s="161" t="s">
        <v>2191</v>
      </c>
      <c r="D159" s="162" t="s">
        <v>1</v>
      </c>
      <c r="E159" s="1"/>
      <c r="H159" s="5">
        <v>14</v>
      </c>
      <c r="I159" s="107"/>
      <c r="J159" s="161"/>
      <c r="K159" s="162"/>
      <c r="L159" s="1"/>
    </row>
    <row r="160" spans="1:16" ht="15.95" customHeight="1" x14ac:dyDescent="0.25">
      <c r="A160" s="10">
        <v>15</v>
      </c>
      <c r="B160" s="196" t="s">
        <v>2384</v>
      </c>
      <c r="C160" s="161" t="s">
        <v>2192</v>
      </c>
      <c r="D160" s="59" t="s">
        <v>0</v>
      </c>
      <c r="E160" s="1"/>
      <c r="H160" s="10">
        <v>15</v>
      </c>
      <c r="I160" s="107"/>
      <c r="J160" s="161"/>
      <c r="K160" s="59"/>
      <c r="L160" s="1"/>
    </row>
    <row r="161" spans="1:12" ht="15.95" customHeight="1" x14ac:dyDescent="0.25">
      <c r="A161" s="5">
        <v>16</v>
      </c>
      <c r="B161" s="196" t="s">
        <v>2385</v>
      </c>
      <c r="C161" s="161" t="s">
        <v>2193</v>
      </c>
      <c r="D161" s="59" t="s">
        <v>1</v>
      </c>
      <c r="E161" s="1"/>
      <c r="H161" s="5">
        <v>16</v>
      </c>
      <c r="I161" s="107"/>
      <c r="J161" s="161"/>
      <c r="K161" s="59"/>
      <c r="L161" s="1"/>
    </row>
    <row r="162" spans="1:12" ht="15.95" customHeight="1" x14ac:dyDescent="0.25">
      <c r="A162" s="10">
        <v>17</v>
      </c>
      <c r="B162" s="196" t="s">
        <v>2386</v>
      </c>
      <c r="C162" s="161" t="s">
        <v>2194</v>
      </c>
      <c r="D162" s="162" t="s">
        <v>0</v>
      </c>
      <c r="E162" s="1"/>
      <c r="H162" s="10">
        <v>17</v>
      </c>
      <c r="I162" s="107"/>
      <c r="J162" s="161"/>
      <c r="K162" s="162"/>
      <c r="L162" s="1"/>
    </row>
    <row r="163" spans="1:12" ht="15.95" customHeight="1" x14ac:dyDescent="0.25">
      <c r="A163" s="5">
        <v>18</v>
      </c>
      <c r="B163" s="196" t="s">
        <v>2387</v>
      </c>
      <c r="C163" s="161" t="s">
        <v>2195</v>
      </c>
      <c r="D163" s="162" t="s">
        <v>1</v>
      </c>
      <c r="E163" s="1"/>
      <c r="H163" s="5">
        <v>18</v>
      </c>
      <c r="I163" s="107"/>
      <c r="J163" s="161"/>
      <c r="K163" s="162"/>
      <c r="L163" s="1"/>
    </row>
    <row r="164" spans="1:12" ht="15.95" customHeight="1" x14ac:dyDescent="0.25">
      <c r="A164" s="10">
        <v>19</v>
      </c>
      <c r="B164" s="196" t="s">
        <v>2388</v>
      </c>
      <c r="C164" s="161" t="s">
        <v>2196</v>
      </c>
      <c r="D164" s="162" t="s">
        <v>1</v>
      </c>
      <c r="E164" s="1"/>
      <c r="H164" s="10">
        <v>19</v>
      </c>
      <c r="I164" s="107"/>
      <c r="J164" s="161"/>
      <c r="K164" s="162"/>
      <c r="L164" s="1"/>
    </row>
    <row r="165" spans="1:12" ht="15.95" customHeight="1" x14ac:dyDescent="0.25">
      <c r="A165" s="5">
        <v>20</v>
      </c>
      <c r="B165" s="196" t="s">
        <v>2389</v>
      </c>
      <c r="C165" s="161" t="s">
        <v>2197</v>
      </c>
      <c r="D165" s="59" t="s">
        <v>1</v>
      </c>
      <c r="E165" s="1"/>
      <c r="H165" s="5">
        <v>20</v>
      </c>
      <c r="I165" s="107"/>
      <c r="J165" s="161"/>
      <c r="K165" s="59"/>
      <c r="L165" s="1"/>
    </row>
    <row r="166" spans="1:12" ht="15.95" customHeight="1" x14ac:dyDescent="0.25">
      <c r="A166" s="10"/>
      <c r="B166" s="107"/>
      <c r="C166" s="161"/>
      <c r="D166" s="59"/>
      <c r="E166" s="1"/>
      <c r="H166" s="10">
        <v>21</v>
      </c>
      <c r="I166" s="107"/>
      <c r="J166" s="161"/>
      <c r="K166" s="59"/>
      <c r="L166" s="1"/>
    </row>
    <row r="167" spans="1:12" ht="15.95" customHeight="1" x14ac:dyDescent="0.25">
      <c r="A167" s="5"/>
      <c r="B167" s="107"/>
      <c r="C167" s="161"/>
      <c r="D167" s="162"/>
      <c r="E167" s="1"/>
      <c r="H167" s="5">
        <v>22</v>
      </c>
      <c r="I167" s="107"/>
      <c r="J167" s="161"/>
      <c r="K167" s="162"/>
      <c r="L167" s="1"/>
    </row>
    <row r="168" spans="1:12" ht="15.95" customHeight="1" x14ac:dyDescent="0.25">
      <c r="A168" s="10"/>
      <c r="B168" s="107"/>
      <c r="C168" s="161"/>
      <c r="D168" s="162"/>
      <c r="E168" s="1"/>
      <c r="H168" s="10">
        <v>23</v>
      </c>
      <c r="I168" s="107"/>
      <c r="J168" s="161"/>
      <c r="K168" s="162"/>
      <c r="L168" s="1"/>
    </row>
    <row r="169" spans="1:12" ht="15.95" customHeight="1" x14ac:dyDescent="0.25">
      <c r="A169" s="5"/>
      <c r="B169" s="109"/>
      <c r="C169" s="161"/>
      <c r="D169" s="59"/>
      <c r="E169" s="1"/>
      <c r="H169" s="5">
        <v>24</v>
      </c>
      <c r="I169" s="107"/>
      <c r="J169" s="161"/>
      <c r="K169" s="59"/>
      <c r="L169" s="1"/>
    </row>
    <row r="170" spans="1:12" ht="15.95" customHeight="1" x14ac:dyDescent="0.25">
      <c r="A170" s="10"/>
      <c r="B170" s="110"/>
      <c r="C170" s="164"/>
      <c r="D170" s="59"/>
      <c r="E170" s="1"/>
      <c r="H170" s="10">
        <v>25</v>
      </c>
      <c r="I170" s="132"/>
      <c r="J170" s="164"/>
      <c r="K170" s="59"/>
      <c r="L170" s="1"/>
    </row>
    <row r="171" spans="1:12" ht="15.95" customHeight="1" x14ac:dyDescent="0.25">
      <c r="A171" s="5"/>
      <c r="B171" s="1"/>
      <c r="C171" s="165"/>
      <c r="D171" s="59"/>
      <c r="E171" s="1"/>
      <c r="H171" s="5"/>
      <c r="I171" s="5"/>
      <c r="K171" s="3"/>
      <c r="L171" s="1"/>
    </row>
    <row r="172" spans="1:12" ht="15.95" customHeight="1" x14ac:dyDescent="0.25">
      <c r="A172" s="10"/>
      <c r="B172" s="1"/>
      <c r="C172" s="161"/>
      <c r="D172" s="166"/>
      <c r="E172" s="1"/>
      <c r="H172" s="10"/>
      <c r="I172" s="10"/>
      <c r="J172" s="2"/>
      <c r="K172" s="3"/>
      <c r="L172" s="1"/>
    </row>
    <row r="173" spans="1:12" ht="15.95" customHeight="1" x14ac:dyDescent="0.25">
      <c r="A173" s="5"/>
      <c r="B173" s="107"/>
      <c r="C173" s="158"/>
      <c r="D173" s="159"/>
      <c r="E173" s="1"/>
      <c r="H173" s="5"/>
      <c r="I173" s="10"/>
      <c r="J173" s="2"/>
      <c r="K173" s="3"/>
      <c r="L173" s="1"/>
    </row>
    <row r="174" spans="1:12" ht="15.95" customHeight="1" x14ac:dyDescent="0.25">
      <c r="A174" s="10"/>
      <c r="B174" s="1"/>
      <c r="C174" s="1"/>
      <c r="D174" s="1"/>
      <c r="E174" s="1"/>
      <c r="H174" s="10"/>
      <c r="I174" s="10"/>
      <c r="J174" s="4"/>
      <c r="K174" s="104"/>
      <c r="L174" s="1"/>
    </row>
    <row r="175" spans="1:12" ht="15.95" hidden="1" customHeight="1" x14ac:dyDescent="0.25">
      <c r="A175" s="5"/>
      <c r="B175" s="1"/>
      <c r="C175" s="1"/>
      <c r="D175" s="1"/>
      <c r="E175" s="1"/>
      <c r="H175" s="5"/>
      <c r="I175" s="10"/>
      <c r="J175" s="2"/>
      <c r="K175" s="3"/>
      <c r="L175" s="1"/>
    </row>
    <row r="176" spans="1:12" hidden="1" x14ac:dyDescent="0.25">
      <c r="A176" s="10"/>
      <c r="B176" s="1"/>
      <c r="C176" s="1"/>
      <c r="D176" s="1"/>
      <c r="E176" s="1"/>
      <c r="H176" s="10"/>
      <c r="I176" s="10"/>
      <c r="J176" s="2"/>
      <c r="K176" s="3"/>
      <c r="L176" s="1"/>
    </row>
    <row r="178" spans="1:12" x14ac:dyDescent="0.25">
      <c r="A178" s="209" t="s">
        <v>8</v>
      </c>
      <c r="B178" s="209"/>
      <c r="C178" s="22" t="s">
        <v>9</v>
      </c>
      <c r="H178" s="209" t="s">
        <v>8</v>
      </c>
      <c r="I178" s="209"/>
      <c r="J178" s="22" t="s">
        <v>9</v>
      </c>
    </row>
    <row r="179" spans="1:12" x14ac:dyDescent="0.25">
      <c r="B179" s="17" t="s">
        <v>10</v>
      </c>
      <c r="C179" s="21">
        <f>COUNTIF(D146:D175,"L")</f>
        <v>8</v>
      </c>
      <c r="D179" s="208" t="s">
        <v>2416</v>
      </c>
      <c r="E179" s="208"/>
      <c r="I179" s="17" t="s">
        <v>10</v>
      </c>
      <c r="J179" s="21">
        <f>COUNTIF(K146:K176,"L")</f>
        <v>0</v>
      </c>
      <c r="K179" s="208" t="s">
        <v>2017</v>
      </c>
      <c r="L179" s="208"/>
    </row>
    <row r="180" spans="1:12" x14ac:dyDescent="0.25">
      <c r="B180" s="17" t="s">
        <v>11</v>
      </c>
      <c r="C180" s="23">
        <f>COUNTIF(D146:D175,"P")</f>
        <v>12</v>
      </c>
      <c r="D180" s="208" t="s">
        <v>12</v>
      </c>
      <c r="E180" s="208"/>
      <c r="I180" s="17" t="s">
        <v>11</v>
      </c>
      <c r="J180" s="23">
        <f>COUNTIF(K146:K176,"P")</f>
        <v>0</v>
      </c>
      <c r="K180" s="208" t="s">
        <v>12</v>
      </c>
      <c r="L180" s="208"/>
    </row>
    <row r="181" spans="1:12" x14ac:dyDescent="0.25">
      <c r="B181" s="30" t="s">
        <v>20</v>
      </c>
      <c r="C181" s="29">
        <f>C179+C180</f>
        <v>20</v>
      </c>
      <c r="D181" s="18"/>
      <c r="E181" s="18"/>
      <c r="I181" s="30" t="s">
        <v>20</v>
      </c>
      <c r="J181" s="29">
        <f>J179+J180</f>
        <v>0</v>
      </c>
      <c r="K181" s="18"/>
      <c r="L181" s="18"/>
    </row>
    <row r="184" spans="1:12" x14ac:dyDescent="0.25">
      <c r="D184" s="208" t="s">
        <v>13</v>
      </c>
      <c r="E184" s="208"/>
      <c r="K184" s="208" t="s">
        <v>13</v>
      </c>
      <c r="L184" s="208"/>
    </row>
    <row r="185" spans="1:12" x14ac:dyDescent="0.25">
      <c r="D185" t="s">
        <v>14</v>
      </c>
      <c r="K185" t="s">
        <v>14</v>
      </c>
    </row>
    <row r="190" spans="1:12" x14ac:dyDescent="0.25">
      <c r="B190" s="67" t="s">
        <v>1139</v>
      </c>
      <c r="C190" s="68">
        <f>J181+C181+J134+C134+J87+C87+J41+C41</f>
        <v>193</v>
      </c>
    </row>
    <row r="193" spans="2:9" ht="15.75" x14ac:dyDescent="0.25">
      <c r="B193" s="77" t="s">
        <v>32</v>
      </c>
      <c r="C193" s="78">
        <f>J179+C179+J132+C132+J85+C85+J39+C39</f>
        <v>108</v>
      </c>
    </row>
    <row r="194" spans="2:9" ht="15.75" x14ac:dyDescent="0.25">
      <c r="B194" s="77" t="s">
        <v>33</v>
      </c>
      <c r="C194" s="78">
        <f>J180+C180+J133+C133+J86+C86+J40+C40</f>
        <v>85</v>
      </c>
    </row>
    <row r="195" spans="2:9" ht="15.75" x14ac:dyDescent="0.25">
      <c r="B195" s="77"/>
      <c r="C195" s="78">
        <f>C193+C194</f>
        <v>193</v>
      </c>
    </row>
    <row r="196" spans="2:9" x14ac:dyDescent="0.25">
      <c r="I196" s="70"/>
    </row>
    <row r="201" spans="2:9" x14ac:dyDescent="0.25">
      <c r="I201" s="70"/>
    </row>
    <row r="203" spans="2:9" x14ac:dyDescent="0.25">
      <c r="H203" s="70"/>
      <c r="I203" s="70"/>
    </row>
  </sheetData>
  <sortState xmlns:xlrd2="http://schemas.microsoft.com/office/spreadsheetml/2017/richdata2" ref="B6:E35">
    <sortCondition ref="C6:C35"/>
  </sortState>
  <mergeCells count="49">
    <mergeCell ref="A47:E47"/>
    <mergeCell ref="G47:L47"/>
    <mergeCell ref="A1:E1"/>
    <mergeCell ref="H1:M1"/>
    <mergeCell ref="A2:E2"/>
    <mergeCell ref="H2:M2"/>
    <mergeCell ref="A3:E3"/>
    <mergeCell ref="H3:M3"/>
    <mergeCell ref="A38:B38"/>
    <mergeCell ref="D39:E39"/>
    <mergeCell ref="K39:L39"/>
    <mergeCell ref="D40:E40"/>
    <mergeCell ref="D44:E44"/>
    <mergeCell ref="A95:E95"/>
    <mergeCell ref="G95:L95"/>
    <mergeCell ref="A48:E48"/>
    <mergeCell ref="G48:L48"/>
    <mergeCell ref="A49:E49"/>
    <mergeCell ref="H49:L49"/>
    <mergeCell ref="A84:B84"/>
    <mergeCell ref="D85:E85"/>
    <mergeCell ref="K85:L85"/>
    <mergeCell ref="D86:E86"/>
    <mergeCell ref="K86:L86"/>
    <mergeCell ref="D90:E90"/>
    <mergeCell ref="A94:E94"/>
    <mergeCell ref="G94:L94"/>
    <mergeCell ref="A143:E143"/>
    <mergeCell ref="H143:L143"/>
    <mergeCell ref="A96:E96"/>
    <mergeCell ref="H96:L96"/>
    <mergeCell ref="A131:B131"/>
    <mergeCell ref="D132:E132"/>
    <mergeCell ref="K132:L132"/>
    <mergeCell ref="D133:E133"/>
    <mergeCell ref="D138:E138"/>
    <mergeCell ref="A141:E141"/>
    <mergeCell ref="H141:L141"/>
    <mergeCell ref="A142:E142"/>
    <mergeCell ref="H142:L142"/>
    <mergeCell ref="K133:L133"/>
    <mergeCell ref="D184:E184"/>
    <mergeCell ref="K184:L184"/>
    <mergeCell ref="A178:B178"/>
    <mergeCell ref="H178:I178"/>
    <mergeCell ref="D179:E179"/>
    <mergeCell ref="K179:L179"/>
    <mergeCell ref="D180:E180"/>
    <mergeCell ref="K180:L180"/>
  </mergeCells>
  <pageMargins left="0.51181102362204722" right="0.31496062992125984" top="0.55118110236220474" bottom="0.23622047244094491" header="0.31496062992125984" footer="0.31496062992125984"/>
  <pageSetup paperSize="5" scale="80" orientation="landscape" horizontalDpi="4294967293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2396F-C009-4206-AF1D-D91A90484F26}">
  <dimension ref="A1:P195"/>
  <sheetViews>
    <sheetView topLeftCell="A11" zoomScale="80" zoomScaleNormal="80" workbookViewId="0">
      <selection activeCell="F14" sqref="F14"/>
    </sheetView>
  </sheetViews>
  <sheetFormatPr defaultRowHeight="15" x14ac:dyDescent="0.25"/>
  <cols>
    <col min="1" max="1" width="5.140625" customWidth="1"/>
    <col min="2" max="2" width="22.7109375" customWidth="1"/>
    <col min="3" max="3" width="40" customWidth="1"/>
    <col min="4" max="4" width="9" customWidth="1"/>
    <col min="5" max="5" width="16.85546875" customWidth="1"/>
    <col min="6" max="6" width="3.7109375" customWidth="1"/>
    <col min="7" max="7" width="3.7109375" style="15" customWidth="1"/>
    <col min="8" max="8" width="6.42578125" customWidth="1"/>
    <col min="9" max="9" width="22.28515625" customWidth="1"/>
    <col min="10" max="10" width="40" customWidth="1"/>
    <col min="11" max="11" width="9" customWidth="1"/>
    <col min="12" max="12" width="16.85546875" customWidth="1"/>
  </cols>
  <sheetData>
    <row r="1" spans="1:13" ht="15.75" x14ac:dyDescent="0.25">
      <c r="A1" s="210" t="s">
        <v>670</v>
      </c>
      <c r="B1" s="210"/>
      <c r="C1" s="210"/>
      <c r="D1" s="210"/>
      <c r="E1" s="210"/>
      <c r="H1" s="210" t="s">
        <v>670</v>
      </c>
      <c r="I1" s="210"/>
      <c r="J1" s="210"/>
      <c r="K1" s="210"/>
      <c r="L1" s="210"/>
      <c r="M1" s="210"/>
    </row>
    <row r="2" spans="1:13" ht="15.75" x14ac:dyDescent="0.25">
      <c r="A2" s="210" t="s">
        <v>2415</v>
      </c>
      <c r="B2" s="210"/>
      <c r="C2" s="210"/>
      <c r="D2" s="210"/>
      <c r="E2" s="210"/>
      <c r="H2" s="210" t="s">
        <v>2415</v>
      </c>
      <c r="I2" s="210"/>
      <c r="J2" s="210"/>
      <c r="K2" s="210"/>
      <c r="L2" s="210"/>
      <c r="M2" s="210"/>
    </row>
    <row r="3" spans="1:13" ht="15.75" x14ac:dyDescent="0.25">
      <c r="A3" s="210" t="s">
        <v>15</v>
      </c>
      <c r="B3" s="210"/>
      <c r="C3" s="210"/>
      <c r="D3" s="210"/>
      <c r="E3" s="210"/>
      <c r="H3" s="210" t="s">
        <v>16</v>
      </c>
      <c r="I3" s="210"/>
      <c r="J3" s="210"/>
      <c r="K3" s="210"/>
      <c r="L3" s="210"/>
      <c r="M3" s="210"/>
    </row>
    <row r="4" spans="1:13" x14ac:dyDescent="0.25">
      <c r="A4" s="6"/>
      <c r="B4" s="6"/>
      <c r="C4" s="6"/>
      <c r="D4" s="6"/>
    </row>
    <row r="5" spans="1:13" s="14" customFormat="1" ht="15.75" x14ac:dyDescent="0.25">
      <c r="A5" s="13" t="s">
        <v>2</v>
      </c>
      <c r="B5" s="13" t="s">
        <v>3</v>
      </c>
      <c r="C5" s="13" t="s">
        <v>4</v>
      </c>
      <c r="D5" s="13" t="s">
        <v>5</v>
      </c>
      <c r="E5" s="13" t="s">
        <v>6</v>
      </c>
      <c r="G5" s="16"/>
      <c r="H5" s="13" t="s">
        <v>2</v>
      </c>
      <c r="I5" s="13" t="s">
        <v>3</v>
      </c>
      <c r="J5" s="13" t="s">
        <v>7</v>
      </c>
      <c r="K5" s="13" t="s">
        <v>5</v>
      </c>
      <c r="L5" s="13" t="s">
        <v>6</v>
      </c>
    </row>
    <row r="6" spans="1:13" ht="15.75" x14ac:dyDescent="0.25">
      <c r="A6" s="10">
        <v>1</v>
      </c>
      <c r="B6" s="154" t="s">
        <v>1775</v>
      </c>
      <c r="C6" s="48" t="s">
        <v>1568</v>
      </c>
      <c r="D6" s="59" t="s">
        <v>1</v>
      </c>
      <c r="E6" s="1"/>
      <c r="H6" s="5">
        <v>1</v>
      </c>
      <c r="I6" s="107" t="s">
        <v>1804</v>
      </c>
      <c r="J6" s="158" t="s">
        <v>1598</v>
      </c>
      <c r="K6" s="159" t="s">
        <v>1</v>
      </c>
      <c r="L6" s="1"/>
    </row>
    <row r="7" spans="1:13" ht="15.75" x14ac:dyDescent="0.25">
      <c r="A7" s="5">
        <v>2</v>
      </c>
      <c r="B7" s="154" t="s">
        <v>1776</v>
      </c>
      <c r="C7" s="48" t="s">
        <v>1569</v>
      </c>
      <c r="D7" s="160" t="s">
        <v>1</v>
      </c>
      <c r="E7" s="1"/>
      <c r="H7" s="5">
        <v>2</v>
      </c>
      <c r="I7" s="107" t="s">
        <v>1805</v>
      </c>
      <c r="J7" s="48" t="s">
        <v>1599</v>
      </c>
      <c r="K7" s="59" t="s">
        <v>1</v>
      </c>
      <c r="L7" s="1"/>
    </row>
    <row r="8" spans="1:13" ht="15.75" x14ac:dyDescent="0.25">
      <c r="A8" s="10">
        <v>3</v>
      </c>
      <c r="B8" s="154" t="s">
        <v>1777</v>
      </c>
      <c r="C8" s="161" t="s">
        <v>1570</v>
      </c>
      <c r="D8" s="59" t="s">
        <v>1</v>
      </c>
      <c r="E8" s="1"/>
      <c r="H8" s="5">
        <v>3</v>
      </c>
      <c r="I8" s="107" t="s">
        <v>1806</v>
      </c>
      <c r="J8" s="48" t="s">
        <v>1600</v>
      </c>
      <c r="K8" s="160" t="s">
        <v>1</v>
      </c>
      <c r="L8" s="1"/>
    </row>
    <row r="9" spans="1:13" ht="15.75" x14ac:dyDescent="0.25">
      <c r="A9" s="5">
        <v>4</v>
      </c>
      <c r="B9" s="154" t="s">
        <v>1778</v>
      </c>
      <c r="C9" s="161" t="s">
        <v>1556</v>
      </c>
      <c r="D9" s="159" t="s">
        <v>0</v>
      </c>
      <c r="E9" s="1"/>
      <c r="H9" s="5">
        <v>4</v>
      </c>
      <c r="I9" s="107" t="s">
        <v>1807</v>
      </c>
      <c r="J9" s="161" t="s">
        <v>1585</v>
      </c>
      <c r="K9" s="59" t="s">
        <v>0</v>
      </c>
      <c r="L9" s="1"/>
    </row>
    <row r="10" spans="1:13" ht="15.75" x14ac:dyDescent="0.25">
      <c r="A10" s="10">
        <v>5</v>
      </c>
      <c r="B10" s="154" t="s">
        <v>1779</v>
      </c>
      <c r="C10" s="161" t="s">
        <v>1563</v>
      </c>
      <c r="D10" s="162" t="s">
        <v>0</v>
      </c>
      <c r="E10" s="1"/>
      <c r="H10" s="5">
        <v>5</v>
      </c>
      <c r="I10" s="107" t="s">
        <v>1808</v>
      </c>
      <c r="J10" s="161" t="s">
        <v>1592</v>
      </c>
      <c r="K10" s="159" t="s">
        <v>0</v>
      </c>
      <c r="L10" s="1"/>
    </row>
    <row r="11" spans="1:13" ht="15.75" x14ac:dyDescent="0.25">
      <c r="A11" s="5">
        <v>6</v>
      </c>
      <c r="B11" s="154" t="s">
        <v>1780</v>
      </c>
      <c r="C11" s="161" t="s">
        <v>1571</v>
      </c>
      <c r="D11" s="160" t="s">
        <v>1</v>
      </c>
      <c r="E11" s="1"/>
      <c r="H11" s="5">
        <v>6</v>
      </c>
      <c r="I11" s="107" t="s">
        <v>2004</v>
      </c>
      <c r="J11" s="161" t="s">
        <v>2005</v>
      </c>
      <c r="K11" s="3" t="s">
        <v>1</v>
      </c>
      <c r="L11" s="5"/>
    </row>
    <row r="12" spans="1:13" ht="15.75" x14ac:dyDescent="0.25">
      <c r="A12" s="10">
        <v>7</v>
      </c>
      <c r="B12" s="154" t="s">
        <v>1781</v>
      </c>
      <c r="C12" s="161" t="s">
        <v>1572</v>
      </c>
      <c r="D12" s="59" t="s">
        <v>1</v>
      </c>
      <c r="E12" s="1"/>
      <c r="H12" s="5">
        <v>7</v>
      </c>
      <c r="I12" s="107" t="s">
        <v>1809</v>
      </c>
      <c r="J12" s="161" t="s">
        <v>1593</v>
      </c>
      <c r="K12" s="59" t="s">
        <v>0</v>
      </c>
      <c r="L12" s="1"/>
    </row>
    <row r="13" spans="1:13" ht="15.75" x14ac:dyDescent="0.25">
      <c r="A13" s="5">
        <v>8</v>
      </c>
      <c r="B13" s="154" t="s">
        <v>1782</v>
      </c>
      <c r="C13" s="161" t="s">
        <v>1564</v>
      </c>
      <c r="D13" s="159" t="s">
        <v>0</v>
      </c>
      <c r="E13" s="1"/>
      <c r="H13" s="5">
        <v>8</v>
      </c>
      <c r="I13" s="40" t="s">
        <v>1810</v>
      </c>
      <c r="J13" s="161" t="s">
        <v>1594</v>
      </c>
      <c r="K13" s="160" t="s">
        <v>0</v>
      </c>
      <c r="L13" s="1"/>
    </row>
    <row r="14" spans="1:13" ht="15.75" x14ac:dyDescent="0.25">
      <c r="A14" s="10">
        <v>9</v>
      </c>
      <c r="B14" s="154" t="s">
        <v>1783</v>
      </c>
      <c r="C14" s="161" t="s">
        <v>1580</v>
      </c>
      <c r="D14" s="59" t="s">
        <v>1</v>
      </c>
      <c r="E14" s="1"/>
      <c r="H14" s="5">
        <v>9</v>
      </c>
      <c r="I14" s="107" t="s">
        <v>1811</v>
      </c>
      <c r="J14" s="161" t="s">
        <v>1595</v>
      </c>
      <c r="K14" s="162" t="s">
        <v>0</v>
      </c>
      <c r="L14" s="1"/>
    </row>
    <row r="15" spans="1:13" ht="15.75" x14ac:dyDescent="0.25">
      <c r="A15" s="5">
        <v>10</v>
      </c>
      <c r="B15" s="154" t="s">
        <v>1784</v>
      </c>
      <c r="C15" s="163" t="s">
        <v>1567</v>
      </c>
      <c r="D15" s="159" t="s">
        <v>0</v>
      </c>
      <c r="E15" s="1"/>
      <c r="H15" s="5">
        <v>10</v>
      </c>
      <c r="I15" s="107" t="s">
        <v>1812</v>
      </c>
      <c r="J15" s="161" t="s">
        <v>1596</v>
      </c>
      <c r="K15" s="160" t="s">
        <v>0</v>
      </c>
      <c r="L15" s="1"/>
    </row>
    <row r="16" spans="1:13" ht="15.75" x14ac:dyDescent="0.25">
      <c r="A16" s="10">
        <v>11</v>
      </c>
      <c r="B16" s="155" t="s">
        <v>2011</v>
      </c>
      <c r="C16" s="105" t="s">
        <v>2014</v>
      </c>
      <c r="D16" s="5" t="s">
        <v>0</v>
      </c>
      <c r="E16" s="1"/>
      <c r="H16" s="5">
        <v>11</v>
      </c>
      <c r="I16" s="107" t="s">
        <v>1820</v>
      </c>
      <c r="J16" s="161" t="s">
        <v>1664</v>
      </c>
      <c r="K16" s="162" t="s">
        <v>1</v>
      </c>
      <c r="L16" s="1"/>
    </row>
    <row r="17" spans="1:12" ht="15.75" x14ac:dyDescent="0.25">
      <c r="A17" s="5">
        <v>12</v>
      </c>
      <c r="B17" s="154" t="s">
        <v>1785</v>
      </c>
      <c r="C17" s="161" t="s">
        <v>1558</v>
      </c>
      <c r="D17" s="159" t="s">
        <v>0</v>
      </c>
      <c r="E17" s="1"/>
      <c r="H17" s="5">
        <v>12</v>
      </c>
      <c r="I17" s="107" t="s">
        <v>1813</v>
      </c>
      <c r="J17" s="163" t="s">
        <v>1591</v>
      </c>
      <c r="K17" s="159" t="s">
        <v>0</v>
      </c>
      <c r="L17" s="1"/>
    </row>
    <row r="18" spans="1:12" ht="15.75" x14ac:dyDescent="0.25">
      <c r="A18" s="10">
        <v>13</v>
      </c>
      <c r="B18" s="154" t="s">
        <v>1786</v>
      </c>
      <c r="C18" s="161" t="s">
        <v>1557</v>
      </c>
      <c r="D18" s="162" t="s">
        <v>0</v>
      </c>
      <c r="E18" s="1"/>
      <c r="H18" s="5">
        <v>13</v>
      </c>
      <c r="I18" s="107" t="s">
        <v>1814</v>
      </c>
      <c r="J18" s="161" t="s">
        <v>1601</v>
      </c>
      <c r="K18" s="162" t="s">
        <v>1</v>
      </c>
      <c r="L18" s="1"/>
    </row>
    <row r="19" spans="1:12" ht="15.75" x14ac:dyDescent="0.25">
      <c r="A19" s="5">
        <v>14</v>
      </c>
      <c r="B19" s="154" t="s">
        <v>1787</v>
      </c>
      <c r="C19" s="161" t="s">
        <v>1559</v>
      </c>
      <c r="D19" s="162" t="s">
        <v>0</v>
      </c>
      <c r="E19" s="1"/>
      <c r="H19" s="5">
        <v>14</v>
      </c>
      <c r="I19" s="107" t="s">
        <v>1815</v>
      </c>
      <c r="J19" s="161" t="s">
        <v>1602</v>
      </c>
      <c r="K19" s="162" t="s">
        <v>1</v>
      </c>
      <c r="L19" s="1"/>
    </row>
    <row r="20" spans="1:12" ht="15.75" x14ac:dyDescent="0.25">
      <c r="A20" s="10">
        <v>15</v>
      </c>
      <c r="B20" s="155" t="s">
        <v>1788</v>
      </c>
      <c r="C20" s="161" t="s">
        <v>1573</v>
      </c>
      <c r="D20" s="59" t="s">
        <v>1</v>
      </c>
      <c r="E20" s="1"/>
      <c r="H20" s="5">
        <v>15</v>
      </c>
      <c r="I20" s="107" t="s">
        <v>1816</v>
      </c>
      <c r="J20" s="161" t="s">
        <v>1603</v>
      </c>
      <c r="K20" s="162" t="s">
        <v>1</v>
      </c>
      <c r="L20" s="1"/>
    </row>
    <row r="21" spans="1:12" ht="15.75" x14ac:dyDescent="0.25">
      <c r="A21" s="5">
        <v>16</v>
      </c>
      <c r="B21" s="154" t="s">
        <v>1789</v>
      </c>
      <c r="C21" s="161" t="s">
        <v>1581</v>
      </c>
      <c r="D21" s="59" t="s">
        <v>1</v>
      </c>
      <c r="E21" s="1"/>
      <c r="H21" s="5">
        <v>16</v>
      </c>
      <c r="I21" s="107" t="s">
        <v>1817</v>
      </c>
      <c r="J21" s="161" t="s">
        <v>1604</v>
      </c>
      <c r="K21" s="59" t="s">
        <v>1</v>
      </c>
      <c r="L21" s="1"/>
    </row>
    <row r="22" spans="1:12" ht="15.75" x14ac:dyDescent="0.25">
      <c r="A22" s="10">
        <v>17</v>
      </c>
      <c r="B22" s="154" t="s">
        <v>1790</v>
      </c>
      <c r="C22" s="161" t="s">
        <v>1565</v>
      </c>
      <c r="D22" s="162" t="s">
        <v>0</v>
      </c>
      <c r="E22" s="1"/>
      <c r="H22" s="5">
        <v>17</v>
      </c>
      <c r="I22" s="107" t="s">
        <v>1818</v>
      </c>
      <c r="J22" s="161" t="s">
        <v>1586</v>
      </c>
      <c r="K22" s="59" t="s">
        <v>0</v>
      </c>
      <c r="L22" s="1"/>
    </row>
    <row r="23" spans="1:12" ht="15.75" x14ac:dyDescent="0.25">
      <c r="A23" s="5">
        <v>18</v>
      </c>
      <c r="B23" s="155" t="s">
        <v>1791</v>
      </c>
      <c r="C23" s="161" t="s">
        <v>1566</v>
      </c>
      <c r="D23" s="162" t="s">
        <v>0</v>
      </c>
      <c r="E23" s="1"/>
      <c r="H23" s="5">
        <v>18</v>
      </c>
      <c r="I23" s="107" t="s">
        <v>1819</v>
      </c>
      <c r="J23" s="161" t="s">
        <v>1605</v>
      </c>
      <c r="K23" s="162" t="s">
        <v>1</v>
      </c>
      <c r="L23" s="1"/>
    </row>
    <row r="24" spans="1:12" ht="15.75" x14ac:dyDescent="0.25">
      <c r="A24" s="10">
        <v>19</v>
      </c>
      <c r="B24" s="154" t="s">
        <v>1792</v>
      </c>
      <c r="C24" s="161" t="s">
        <v>1560</v>
      </c>
      <c r="D24" s="162" t="s">
        <v>0</v>
      </c>
      <c r="E24" s="1"/>
      <c r="H24" s="5">
        <v>19</v>
      </c>
      <c r="I24" s="107" t="s">
        <v>1821</v>
      </c>
      <c r="J24" s="161" t="s">
        <v>1606</v>
      </c>
      <c r="K24" s="162" t="s">
        <v>1</v>
      </c>
      <c r="L24" s="1"/>
    </row>
    <row r="25" spans="1:12" ht="15.75" x14ac:dyDescent="0.25">
      <c r="A25" s="5">
        <v>20</v>
      </c>
      <c r="B25" s="154" t="s">
        <v>1793</v>
      </c>
      <c r="C25" s="161" t="s">
        <v>1574</v>
      </c>
      <c r="D25" s="59" t="s">
        <v>1</v>
      </c>
      <c r="E25" s="1"/>
      <c r="H25" s="5">
        <v>20</v>
      </c>
      <c r="I25" s="107" t="s">
        <v>1822</v>
      </c>
      <c r="J25" s="161" t="s">
        <v>1587</v>
      </c>
      <c r="K25" s="59" t="s">
        <v>0</v>
      </c>
      <c r="L25" s="1"/>
    </row>
    <row r="26" spans="1:12" ht="15.75" x14ac:dyDescent="0.25">
      <c r="A26" s="10">
        <v>21</v>
      </c>
      <c r="B26" s="154" t="s">
        <v>1794</v>
      </c>
      <c r="C26" s="161" t="s">
        <v>1575</v>
      </c>
      <c r="D26" s="59" t="s">
        <v>1</v>
      </c>
      <c r="E26" s="1"/>
      <c r="H26" s="5">
        <v>21</v>
      </c>
      <c r="I26" s="107" t="s">
        <v>1823</v>
      </c>
      <c r="J26" s="161" t="s">
        <v>1588</v>
      </c>
      <c r="K26" s="59" t="s">
        <v>0</v>
      </c>
      <c r="L26" s="1"/>
    </row>
    <row r="27" spans="1:12" ht="15.75" x14ac:dyDescent="0.25">
      <c r="A27" s="5">
        <v>22</v>
      </c>
      <c r="B27" s="154" t="s">
        <v>1795</v>
      </c>
      <c r="C27" s="161" t="s">
        <v>1561</v>
      </c>
      <c r="D27" s="162" t="s">
        <v>0</v>
      </c>
      <c r="E27" s="1"/>
      <c r="H27" s="5">
        <v>22</v>
      </c>
      <c r="I27" s="107" t="s">
        <v>1824</v>
      </c>
      <c r="J27" s="161" t="s">
        <v>1589</v>
      </c>
      <c r="K27" s="162" t="s">
        <v>0</v>
      </c>
      <c r="L27" s="1"/>
    </row>
    <row r="28" spans="1:12" ht="15.75" x14ac:dyDescent="0.25">
      <c r="A28" s="10">
        <v>23</v>
      </c>
      <c r="B28" s="154" t="s">
        <v>1796</v>
      </c>
      <c r="C28" s="161" t="s">
        <v>1562</v>
      </c>
      <c r="D28" s="162" t="s">
        <v>0</v>
      </c>
      <c r="E28" s="1"/>
      <c r="H28" s="5">
        <v>23</v>
      </c>
      <c r="I28" s="107" t="s">
        <v>1825</v>
      </c>
      <c r="J28" s="161" t="s">
        <v>1584</v>
      </c>
      <c r="K28" s="162" t="s">
        <v>0</v>
      </c>
      <c r="L28" s="1"/>
    </row>
    <row r="29" spans="1:12" ht="15.75" x14ac:dyDescent="0.25">
      <c r="A29" s="5">
        <v>24</v>
      </c>
      <c r="B29" s="157" t="s">
        <v>1797</v>
      </c>
      <c r="C29" s="161" t="s">
        <v>1576</v>
      </c>
      <c r="D29" s="59" t="s">
        <v>1</v>
      </c>
      <c r="E29" s="1"/>
      <c r="H29" s="5">
        <v>24</v>
      </c>
      <c r="I29" s="108" t="s">
        <v>1826</v>
      </c>
      <c r="J29" s="161" t="s">
        <v>1607</v>
      </c>
      <c r="K29" s="59" t="s">
        <v>1</v>
      </c>
      <c r="L29" s="1"/>
    </row>
    <row r="30" spans="1:12" ht="15.75" x14ac:dyDescent="0.25">
      <c r="A30" s="10">
        <v>25</v>
      </c>
      <c r="B30" s="154" t="s">
        <v>1798</v>
      </c>
      <c r="C30" s="164" t="s">
        <v>1577</v>
      </c>
      <c r="D30" s="59" t="s">
        <v>1</v>
      </c>
      <c r="E30" s="1"/>
      <c r="H30" s="5">
        <v>25</v>
      </c>
      <c r="I30" s="109" t="s">
        <v>1827</v>
      </c>
      <c r="J30" s="164" t="s">
        <v>1608</v>
      </c>
      <c r="K30" s="59" t="s">
        <v>1</v>
      </c>
      <c r="L30" s="1"/>
    </row>
    <row r="31" spans="1:12" ht="15.75" x14ac:dyDescent="0.25">
      <c r="A31" s="5">
        <v>26</v>
      </c>
      <c r="B31" s="154" t="s">
        <v>1799</v>
      </c>
      <c r="C31" s="165" t="s">
        <v>1582</v>
      </c>
      <c r="D31" s="59" t="s">
        <v>1</v>
      </c>
      <c r="E31" s="1"/>
      <c r="H31" s="5">
        <v>26</v>
      </c>
      <c r="I31" s="107" t="s">
        <v>1828</v>
      </c>
      <c r="J31" s="165" t="s">
        <v>1590</v>
      </c>
      <c r="K31" s="59" t="s">
        <v>0</v>
      </c>
      <c r="L31" s="1"/>
    </row>
    <row r="32" spans="1:12" ht="15.75" x14ac:dyDescent="0.25">
      <c r="A32" s="10">
        <v>27</v>
      </c>
      <c r="B32" s="175" t="s">
        <v>1800</v>
      </c>
      <c r="C32" s="161" t="s">
        <v>1578</v>
      </c>
      <c r="D32" s="166" t="s">
        <v>1</v>
      </c>
      <c r="E32" s="1"/>
      <c r="H32" s="5">
        <v>27</v>
      </c>
      <c r="I32" s="109" t="s">
        <v>1829</v>
      </c>
      <c r="J32" s="161" t="s">
        <v>1771</v>
      </c>
      <c r="K32" s="166" t="s">
        <v>0</v>
      </c>
      <c r="L32" s="1"/>
    </row>
    <row r="33" spans="1:13" ht="15.75" x14ac:dyDescent="0.25">
      <c r="A33" s="5">
        <v>28</v>
      </c>
      <c r="B33" s="156" t="s">
        <v>1802</v>
      </c>
      <c r="C33" s="164" t="s">
        <v>1579</v>
      </c>
      <c r="D33" s="167" t="s">
        <v>1</v>
      </c>
      <c r="E33" s="1"/>
      <c r="H33" s="5">
        <v>28</v>
      </c>
      <c r="I33" s="109" t="s">
        <v>1830</v>
      </c>
      <c r="J33" s="164" t="s">
        <v>1609</v>
      </c>
      <c r="K33" s="167" t="s">
        <v>1</v>
      </c>
      <c r="L33" s="1"/>
    </row>
    <row r="34" spans="1:13" ht="15.75" x14ac:dyDescent="0.25">
      <c r="A34" s="10">
        <v>29</v>
      </c>
      <c r="B34" s="152" t="s">
        <v>1803</v>
      </c>
      <c r="C34" s="161" t="s">
        <v>1583</v>
      </c>
      <c r="D34" s="59" t="s">
        <v>1</v>
      </c>
      <c r="E34" s="1"/>
      <c r="H34" s="5">
        <v>29</v>
      </c>
      <c r="I34" s="109" t="s">
        <v>1831</v>
      </c>
      <c r="J34" s="161" t="s">
        <v>1597</v>
      </c>
      <c r="K34" s="176" t="s">
        <v>0</v>
      </c>
      <c r="L34" s="1"/>
    </row>
    <row r="35" spans="1:13" ht="15.75" x14ac:dyDescent="0.25">
      <c r="A35" s="5"/>
      <c r="B35" s="1"/>
      <c r="C35" s="1"/>
      <c r="D35" s="1"/>
      <c r="E35" s="1"/>
      <c r="H35" s="5"/>
      <c r="I35" s="109"/>
      <c r="J35" s="161"/>
      <c r="K35" s="176"/>
      <c r="L35" s="1"/>
    </row>
    <row r="36" spans="1:13" hidden="1" x14ac:dyDescent="0.25">
      <c r="A36" s="10"/>
      <c r="B36" s="10"/>
      <c r="C36" s="7"/>
      <c r="D36" s="8"/>
      <c r="E36" s="1"/>
      <c r="H36" s="5"/>
      <c r="I36" s="40"/>
      <c r="J36" s="153"/>
      <c r="K36" s="10"/>
      <c r="L36" s="1"/>
    </row>
    <row r="37" spans="1:13" x14ac:dyDescent="0.25">
      <c r="H37" s="18"/>
    </row>
    <row r="38" spans="1:13" x14ac:dyDescent="0.25">
      <c r="A38" s="209" t="s">
        <v>8</v>
      </c>
      <c r="B38" s="209"/>
      <c r="C38" s="22" t="s">
        <v>9</v>
      </c>
      <c r="H38" s="6" t="s">
        <v>21</v>
      </c>
      <c r="I38" s="6"/>
      <c r="J38" s="22" t="s">
        <v>9</v>
      </c>
    </row>
    <row r="39" spans="1:13" x14ac:dyDescent="0.25">
      <c r="B39" s="17" t="s">
        <v>10</v>
      </c>
      <c r="C39" s="21">
        <f>COUNTIF(D6:D36,"L")</f>
        <v>13</v>
      </c>
      <c r="D39" s="208" t="s">
        <v>2416</v>
      </c>
      <c r="E39" s="208"/>
      <c r="F39" s="20"/>
      <c r="G39" s="32"/>
      <c r="I39" s="17" t="s">
        <v>10</v>
      </c>
      <c r="J39" s="23">
        <f>COUNTIF(K6:K36,"L")</f>
        <v>15</v>
      </c>
      <c r="K39" s="208" t="s">
        <v>2416</v>
      </c>
      <c r="L39" s="208"/>
    </row>
    <row r="40" spans="1:13" x14ac:dyDescent="0.25">
      <c r="B40" s="17" t="s">
        <v>11</v>
      </c>
      <c r="C40" s="23">
        <f>COUNTIF(D6:D36,"P")</f>
        <v>16</v>
      </c>
      <c r="D40" s="208" t="s">
        <v>12</v>
      </c>
      <c r="E40" s="208"/>
      <c r="F40" s="20"/>
      <c r="I40" s="17" t="s">
        <v>11</v>
      </c>
      <c r="J40" s="23">
        <f>COUNTIF(K6:K36,"P")</f>
        <v>14</v>
      </c>
      <c r="K40" s="18" t="s">
        <v>12</v>
      </c>
      <c r="L40" s="18"/>
      <c r="M40" s="19"/>
    </row>
    <row r="41" spans="1:13" x14ac:dyDescent="0.25">
      <c r="B41" s="30" t="s">
        <v>20</v>
      </c>
      <c r="C41" s="29">
        <f>C39+C40</f>
        <v>29</v>
      </c>
      <c r="D41" s="18"/>
      <c r="E41" s="18"/>
      <c r="F41" s="18"/>
      <c r="I41" s="30" t="s">
        <v>20</v>
      </c>
      <c r="J41" s="29">
        <f>J39+J40</f>
        <v>29</v>
      </c>
      <c r="K41" s="18"/>
      <c r="L41" s="18"/>
      <c r="M41" s="19"/>
    </row>
    <row r="42" spans="1:13" x14ac:dyDescent="0.25">
      <c r="M42" s="18"/>
    </row>
    <row r="43" spans="1:13" x14ac:dyDescent="0.25">
      <c r="K43" s="19" t="s">
        <v>13</v>
      </c>
      <c r="L43" s="19"/>
    </row>
    <row r="44" spans="1:13" x14ac:dyDescent="0.25">
      <c r="D44" s="208" t="s">
        <v>13</v>
      </c>
      <c r="E44" s="208"/>
      <c r="F44" s="20"/>
      <c r="K44" t="s">
        <v>14</v>
      </c>
    </row>
    <row r="45" spans="1:13" x14ac:dyDescent="0.25">
      <c r="D45" t="s">
        <v>14</v>
      </c>
      <c r="M45" s="19"/>
    </row>
    <row r="47" spans="1:13" ht="15.75" x14ac:dyDescent="0.25">
      <c r="A47" s="210" t="s">
        <v>670</v>
      </c>
      <c r="B47" s="210"/>
      <c r="C47" s="210"/>
      <c r="D47" s="210"/>
      <c r="E47" s="210"/>
      <c r="G47" s="211" t="s">
        <v>670</v>
      </c>
      <c r="H47" s="210"/>
      <c r="I47" s="210"/>
      <c r="J47" s="210"/>
      <c r="K47" s="210"/>
      <c r="L47" s="210"/>
    </row>
    <row r="48" spans="1:13" ht="15.75" x14ac:dyDescent="0.25">
      <c r="A48" s="210" t="s">
        <v>2415</v>
      </c>
      <c r="B48" s="210"/>
      <c r="C48" s="210"/>
      <c r="D48" s="210"/>
      <c r="E48" s="210"/>
      <c r="G48" s="211" t="s">
        <v>2415</v>
      </c>
      <c r="H48" s="210"/>
      <c r="I48" s="210"/>
      <c r="J48" s="210"/>
      <c r="K48" s="210"/>
      <c r="L48" s="210"/>
    </row>
    <row r="49" spans="1:12" ht="15.75" x14ac:dyDescent="0.25">
      <c r="A49" s="210" t="s">
        <v>17</v>
      </c>
      <c r="B49" s="210"/>
      <c r="C49" s="210"/>
      <c r="D49" s="210"/>
      <c r="E49" s="210"/>
      <c r="H49" s="210" t="s">
        <v>18</v>
      </c>
      <c r="I49" s="210"/>
      <c r="J49" s="210"/>
      <c r="K49" s="210"/>
      <c r="L49" s="210"/>
    </row>
    <row r="50" spans="1:12" x14ac:dyDescent="0.25">
      <c r="A50" s="6"/>
      <c r="B50" s="6"/>
      <c r="C50" s="6"/>
      <c r="D50" s="6"/>
      <c r="H50" s="6"/>
      <c r="I50" s="6"/>
      <c r="J50" s="6"/>
      <c r="K50" s="6"/>
    </row>
    <row r="51" spans="1:12" ht="15.95" customHeight="1" x14ac:dyDescent="0.25">
      <c r="A51" s="13" t="s">
        <v>2</v>
      </c>
      <c r="B51" s="13" t="s">
        <v>3</v>
      </c>
      <c r="C51" s="13" t="s">
        <v>7</v>
      </c>
      <c r="D51" s="13" t="s">
        <v>5</v>
      </c>
      <c r="E51" s="13" t="s">
        <v>6</v>
      </c>
      <c r="H51" s="13" t="s">
        <v>2</v>
      </c>
      <c r="I51" s="13" t="s">
        <v>3</v>
      </c>
      <c r="J51" s="13" t="s">
        <v>7</v>
      </c>
      <c r="K51" s="13" t="s">
        <v>5</v>
      </c>
      <c r="L51" s="13" t="s">
        <v>6</v>
      </c>
    </row>
    <row r="52" spans="1:12" ht="15.95" customHeight="1" x14ac:dyDescent="0.25">
      <c r="A52" s="9">
        <v>1</v>
      </c>
      <c r="B52" s="107" t="s">
        <v>1832</v>
      </c>
      <c r="C52" s="158" t="s">
        <v>1627</v>
      </c>
      <c r="D52" s="159" t="s">
        <v>1</v>
      </c>
      <c r="E52" s="1"/>
      <c r="H52" s="9">
        <v>1</v>
      </c>
      <c r="I52" s="107" t="s">
        <v>1859</v>
      </c>
      <c r="J52" s="158" t="s">
        <v>1644</v>
      </c>
      <c r="K52" s="159" t="s">
        <v>0</v>
      </c>
      <c r="L52" s="1"/>
    </row>
    <row r="53" spans="1:12" ht="15.95" customHeight="1" x14ac:dyDescent="0.25">
      <c r="A53" s="9">
        <v>2</v>
      </c>
      <c r="B53" s="107" t="s">
        <v>1833</v>
      </c>
      <c r="C53" s="48" t="s">
        <v>1626</v>
      </c>
      <c r="D53" s="59" t="s">
        <v>0</v>
      </c>
      <c r="E53" s="1"/>
      <c r="H53" s="9">
        <v>2</v>
      </c>
      <c r="I53" s="107" t="s">
        <v>1860</v>
      </c>
      <c r="J53" s="48" t="s">
        <v>1638</v>
      </c>
      <c r="K53" s="160" t="s">
        <v>0</v>
      </c>
      <c r="L53" s="1"/>
    </row>
    <row r="54" spans="1:12" ht="15.95" customHeight="1" x14ac:dyDescent="0.25">
      <c r="A54" s="9">
        <v>3</v>
      </c>
      <c r="B54" s="107" t="s">
        <v>1834</v>
      </c>
      <c r="C54" s="48" t="s">
        <v>1611</v>
      </c>
      <c r="D54" s="160" t="s">
        <v>0</v>
      </c>
      <c r="E54" s="1"/>
      <c r="H54" s="9">
        <v>3</v>
      </c>
      <c r="I54" s="107" t="s">
        <v>1861</v>
      </c>
      <c r="J54" s="161" t="s">
        <v>1645</v>
      </c>
      <c r="K54" s="59" t="s">
        <v>0</v>
      </c>
      <c r="L54" s="1"/>
    </row>
    <row r="55" spans="1:12" ht="15.95" customHeight="1" x14ac:dyDescent="0.25">
      <c r="A55" s="9">
        <v>4</v>
      </c>
      <c r="B55" s="108" t="s">
        <v>1835</v>
      </c>
      <c r="C55" s="161" t="s">
        <v>1612</v>
      </c>
      <c r="D55" s="59" t="s">
        <v>0</v>
      </c>
      <c r="E55" s="1"/>
      <c r="H55" s="9">
        <v>4</v>
      </c>
      <c r="I55" s="107" t="s">
        <v>1862</v>
      </c>
      <c r="J55" s="161" t="s">
        <v>1655</v>
      </c>
      <c r="K55" s="159" t="s">
        <v>1</v>
      </c>
      <c r="L55" s="1"/>
    </row>
    <row r="56" spans="1:12" ht="15.95" customHeight="1" x14ac:dyDescent="0.25">
      <c r="A56" s="9">
        <v>5</v>
      </c>
      <c r="B56" s="107" t="s">
        <v>1836</v>
      </c>
      <c r="C56" s="161" t="s">
        <v>1613</v>
      </c>
      <c r="D56" s="159" t="s">
        <v>0</v>
      </c>
      <c r="E56" s="1"/>
      <c r="H56" s="9">
        <v>5</v>
      </c>
      <c r="I56" s="107" t="s">
        <v>1863</v>
      </c>
      <c r="J56" s="161" t="s">
        <v>1656</v>
      </c>
      <c r="K56" s="162" t="s">
        <v>1</v>
      </c>
      <c r="L56" s="1"/>
    </row>
    <row r="57" spans="1:12" ht="15.95" customHeight="1" x14ac:dyDescent="0.25">
      <c r="A57" s="9">
        <v>6</v>
      </c>
      <c r="B57" s="107" t="s">
        <v>1837</v>
      </c>
      <c r="C57" s="161" t="s">
        <v>1618</v>
      </c>
      <c r="D57" s="162" t="s">
        <v>0</v>
      </c>
      <c r="E57" s="1"/>
      <c r="H57" s="9">
        <v>6</v>
      </c>
      <c r="I57" s="107" t="s">
        <v>1864</v>
      </c>
      <c r="J57" s="161" t="s">
        <v>1646</v>
      </c>
      <c r="K57" s="160" t="s">
        <v>0</v>
      </c>
      <c r="L57" s="1"/>
    </row>
    <row r="58" spans="1:12" ht="15.95" customHeight="1" x14ac:dyDescent="0.25">
      <c r="A58" s="9">
        <v>7</v>
      </c>
      <c r="B58" s="108" t="s">
        <v>1838</v>
      </c>
      <c r="C58" s="161" t="s">
        <v>1614</v>
      </c>
      <c r="D58" s="160" t="s">
        <v>0</v>
      </c>
      <c r="E58" s="1"/>
      <c r="H58" s="9">
        <v>7</v>
      </c>
      <c r="I58" s="107" t="s">
        <v>1865</v>
      </c>
      <c r="J58" s="161" t="s">
        <v>1639</v>
      </c>
      <c r="K58" s="59" t="s">
        <v>0</v>
      </c>
      <c r="L58" s="1"/>
    </row>
    <row r="59" spans="1:12" ht="15.95" customHeight="1" x14ac:dyDescent="0.25">
      <c r="A59" s="9">
        <v>8</v>
      </c>
      <c r="B59" s="108" t="s">
        <v>1839</v>
      </c>
      <c r="C59" s="161" t="s">
        <v>1615</v>
      </c>
      <c r="D59" s="59" t="s">
        <v>0</v>
      </c>
      <c r="E59" s="1"/>
      <c r="H59" s="9">
        <v>8</v>
      </c>
      <c r="I59" s="107" t="s">
        <v>1866</v>
      </c>
      <c r="J59" s="161" t="s">
        <v>1647</v>
      </c>
      <c r="K59" s="159" t="s">
        <v>0</v>
      </c>
      <c r="L59" s="1"/>
    </row>
    <row r="60" spans="1:12" ht="15.95" customHeight="1" x14ac:dyDescent="0.25">
      <c r="A60" s="9">
        <v>9</v>
      </c>
      <c r="B60" s="108" t="s">
        <v>1840</v>
      </c>
      <c r="C60" s="161" t="s">
        <v>1628</v>
      </c>
      <c r="D60" s="159" t="s">
        <v>1</v>
      </c>
      <c r="E60" s="1"/>
      <c r="H60" s="9">
        <v>9</v>
      </c>
      <c r="I60" s="107" t="s">
        <v>1867</v>
      </c>
      <c r="J60" s="161" t="s">
        <v>1648</v>
      </c>
      <c r="K60" s="59" t="s">
        <v>0</v>
      </c>
      <c r="L60" s="1"/>
    </row>
    <row r="61" spans="1:12" ht="15.95" customHeight="1" x14ac:dyDescent="0.25">
      <c r="A61" s="9">
        <v>10</v>
      </c>
      <c r="B61" s="108" t="s">
        <v>1841</v>
      </c>
      <c r="C61" s="161" t="s">
        <v>1616</v>
      </c>
      <c r="D61" s="59" t="s">
        <v>0</v>
      </c>
      <c r="E61" s="1"/>
      <c r="H61" s="9">
        <v>10</v>
      </c>
      <c r="I61" s="107" t="s">
        <v>1869</v>
      </c>
      <c r="J61" s="161" t="s">
        <v>1649</v>
      </c>
      <c r="K61" s="159" t="s">
        <v>0</v>
      </c>
      <c r="L61" s="1"/>
    </row>
    <row r="62" spans="1:12" ht="15.95" customHeight="1" x14ac:dyDescent="0.25">
      <c r="A62" s="9">
        <v>11</v>
      </c>
      <c r="B62" s="107" t="s">
        <v>1842</v>
      </c>
      <c r="C62" s="163" t="s">
        <v>1635</v>
      </c>
      <c r="D62" s="159" t="s">
        <v>1</v>
      </c>
      <c r="E62" s="1"/>
      <c r="H62" s="9">
        <v>11</v>
      </c>
      <c r="I62" s="108" t="s">
        <v>1870</v>
      </c>
      <c r="J62" s="161" t="s">
        <v>1657</v>
      </c>
      <c r="K62" s="162" t="s">
        <v>1</v>
      </c>
      <c r="L62" s="1"/>
    </row>
    <row r="63" spans="1:12" ht="15.95" customHeight="1" x14ac:dyDescent="0.25">
      <c r="A63" s="9">
        <v>12</v>
      </c>
      <c r="B63" s="108" t="s">
        <v>1843</v>
      </c>
      <c r="C63" s="161" t="s">
        <v>1629</v>
      </c>
      <c r="D63" s="162" t="s">
        <v>1</v>
      </c>
      <c r="E63" s="1"/>
      <c r="H63" s="9">
        <v>12</v>
      </c>
      <c r="I63" s="107" t="s">
        <v>1871</v>
      </c>
      <c r="J63" s="161" t="s">
        <v>1650</v>
      </c>
      <c r="K63" s="159" t="s">
        <v>0</v>
      </c>
      <c r="L63" s="1"/>
    </row>
    <row r="64" spans="1:12" ht="15.95" customHeight="1" x14ac:dyDescent="0.25">
      <c r="A64" s="9">
        <v>13</v>
      </c>
      <c r="B64" s="108" t="s">
        <v>1844</v>
      </c>
      <c r="C64" s="48" t="s">
        <v>1619</v>
      </c>
      <c r="D64" s="160" t="s">
        <v>0</v>
      </c>
      <c r="E64" s="1"/>
      <c r="H64" s="9">
        <v>13</v>
      </c>
      <c r="I64" s="107" t="s">
        <v>1872</v>
      </c>
      <c r="J64" s="161" t="s">
        <v>1651</v>
      </c>
      <c r="K64" s="59" t="s">
        <v>0</v>
      </c>
      <c r="L64" s="1"/>
    </row>
    <row r="65" spans="1:12" ht="15.95" customHeight="1" x14ac:dyDescent="0.25">
      <c r="A65" s="9">
        <v>14</v>
      </c>
      <c r="B65" s="107" t="s">
        <v>1845</v>
      </c>
      <c r="C65" s="161" t="s">
        <v>1630</v>
      </c>
      <c r="D65" s="162" t="s">
        <v>1</v>
      </c>
      <c r="E65" s="1"/>
      <c r="H65" s="9">
        <v>14</v>
      </c>
      <c r="I65" s="108" t="s">
        <v>1873</v>
      </c>
      <c r="J65" s="161" t="s">
        <v>1658</v>
      </c>
      <c r="K65" s="59" t="s">
        <v>1</v>
      </c>
      <c r="L65" s="1"/>
    </row>
    <row r="66" spans="1:12" ht="15.95" customHeight="1" x14ac:dyDescent="0.25">
      <c r="A66" s="9">
        <v>15</v>
      </c>
      <c r="B66" s="108" t="s">
        <v>1846</v>
      </c>
      <c r="C66" s="161" t="s">
        <v>1620</v>
      </c>
      <c r="D66" s="59" t="s">
        <v>0</v>
      </c>
      <c r="E66" s="1"/>
      <c r="H66" s="9">
        <v>15</v>
      </c>
      <c r="I66" s="108" t="s">
        <v>1874</v>
      </c>
      <c r="J66" s="161" t="s">
        <v>1652</v>
      </c>
      <c r="K66" s="162" t="s">
        <v>0</v>
      </c>
      <c r="L66" s="1"/>
    </row>
    <row r="67" spans="1:12" ht="15.95" customHeight="1" x14ac:dyDescent="0.25">
      <c r="A67" s="9">
        <v>16</v>
      </c>
      <c r="B67" s="107" t="s">
        <v>1847</v>
      </c>
      <c r="C67" s="161" t="s">
        <v>1636</v>
      </c>
      <c r="D67" s="59" t="s">
        <v>1</v>
      </c>
      <c r="E67" s="1"/>
      <c r="H67" s="9">
        <v>16</v>
      </c>
      <c r="I67" s="107" t="s">
        <v>1875</v>
      </c>
      <c r="J67" s="161" t="s">
        <v>1653</v>
      </c>
      <c r="K67" s="162" t="s">
        <v>0</v>
      </c>
      <c r="L67" s="1"/>
    </row>
    <row r="68" spans="1:12" ht="15.95" customHeight="1" x14ac:dyDescent="0.25">
      <c r="A68" s="9">
        <v>17</v>
      </c>
      <c r="B68" s="108" t="s">
        <v>1848</v>
      </c>
      <c r="C68" s="161" t="s">
        <v>1610</v>
      </c>
      <c r="D68" s="162" t="s">
        <v>0</v>
      </c>
      <c r="E68" s="1"/>
      <c r="H68" s="9">
        <v>17</v>
      </c>
      <c r="I68" s="111" t="s">
        <v>1876</v>
      </c>
      <c r="J68" s="161" t="s">
        <v>1640</v>
      </c>
      <c r="K68" s="162" t="s">
        <v>0</v>
      </c>
      <c r="L68" s="1"/>
    </row>
    <row r="69" spans="1:12" ht="15.95" customHeight="1" x14ac:dyDescent="0.25">
      <c r="A69" s="9">
        <v>18</v>
      </c>
      <c r="B69" s="108" t="s">
        <v>1849</v>
      </c>
      <c r="C69" s="161" t="s">
        <v>1631</v>
      </c>
      <c r="D69" s="162" t="s">
        <v>1</v>
      </c>
      <c r="E69" s="1"/>
      <c r="H69" s="9">
        <v>18</v>
      </c>
      <c r="I69" s="108" t="s">
        <v>1877</v>
      </c>
      <c r="J69" s="161" t="s">
        <v>1659</v>
      </c>
      <c r="K69" s="59" t="s">
        <v>1</v>
      </c>
      <c r="L69" s="1"/>
    </row>
    <row r="70" spans="1:12" ht="15.95" customHeight="1" x14ac:dyDescent="0.25">
      <c r="A70" s="9">
        <v>19</v>
      </c>
      <c r="B70" s="107" t="s">
        <v>1850</v>
      </c>
      <c r="C70" s="161" t="s">
        <v>1621</v>
      </c>
      <c r="D70" s="162" t="s">
        <v>0</v>
      </c>
      <c r="E70" s="1"/>
      <c r="H70" s="9">
        <v>19</v>
      </c>
      <c r="I70" s="107" t="s">
        <v>1868</v>
      </c>
      <c r="J70" s="163" t="s">
        <v>1999</v>
      </c>
      <c r="K70" s="162" t="s">
        <v>1</v>
      </c>
      <c r="L70" s="1"/>
    </row>
    <row r="71" spans="1:12" ht="15.95" customHeight="1" x14ac:dyDescent="0.25">
      <c r="A71" s="9">
        <v>20</v>
      </c>
      <c r="B71" s="107" t="s">
        <v>1851</v>
      </c>
      <c r="C71" s="161" t="s">
        <v>1617</v>
      </c>
      <c r="D71" s="59" t="s">
        <v>0</v>
      </c>
      <c r="E71" s="1"/>
      <c r="H71" s="9">
        <v>20</v>
      </c>
      <c r="I71" s="108" t="s">
        <v>2393</v>
      </c>
      <c r="J71" s="105" t="s">
        <v>2013</v>
      </c>
      <c r="K71" s="5" t="s">
        <v>1</v>
      </c>
      <c r="L71" s="9"/>
    </row>
    <row r="72" spans="1:12" ht="15.95" customHeight="1" x14ac:dyDescent="0.25">
      <c r="A72" s="9">
        <v>21</v>
      </c>
      <c r="B72" s="134" t="s">
        <v>1852</v>
      </c>
      <c r="C72" s="161" t="s">
        <v>1632</v>
      </c>
      <c r="D72" s="59" t="s">
        <v>1</v>
      </c>
      <c r="E72" s="1"/>
      <c r="H72" s="9">
        <v>21</v>
      </c>
      <c r="I72" s="108" t="s">
        <v>1878</v>
      </c>
      <c r="J72" s="161" t="s">
        <v>1643</v>
      </c>
      <c r="K72" s="59" t="s">
        <v>0</v>
      </c>
      <c r="L72" s="1"/>
    </row>
    <row r="73" spans="1:12" ht="15.95" customHeight="1" x14ac:dyDescent="0.25">
      <c r="A73" s="9">
        <v>22</v>
      </c>
      <c r="B73" s="108" t="s">
        <v>1853</v>
      </c>
      <c r="C73" s="161" t="s">
        <v>1633</v>
      </c>
      <c r="D73" s="162" t="s">
        <v>1</v>
      </c>
      <c r="E73" s="1"/>
      <c r="H73" s="9">
        <v>22</v>
      </c>
      <c r="I73" s="108" t="s">
        <v>1879</v>
      </c>
      <c r="J73" s="161" t="s">
        <v>1637</v>
      </c>
      <c r="K73" s="162" t="s">
        <v>0</v>
      </c>
      <c r="L73" s="1"/>
    </row>
    <row r="74" spans="1:12" ht="15.95" customHeight="1" x14ac:dyDescent="0.25">
      <c r="A74" s="9">
        <v>23</v>
      </c>
      <c r="B74" s="107" t="s">
        <v>1854</v>
      </c>
      <c r="C74" s="161" t="s">
        <v>1622</v>
      </c>
      <c r="D74" s="162" t="s">
        <v>0</v>
      </c>
      <c r="E74" s="1"/>
      <c r="H74" s="9">
        <v>23</v>
      </c>
      <c r="I74" s="107" t="s">
        <v>1880</v>
      </c>
      <c r="J74" s="161" t="s">
        <v>1660</v>
      </c>
      <c r="K74" s="162" t="s">
        <v>1</v>
      </c>
      <c r="L74" s="1"/>
    </row>
    <row r="75" spans="1:12" ht="15.95" customHeight="1" x14ac:dyDescent="0.25">
      <c r="A75" s="9">
        <v>24</v>
      </c>
      <c r="B75" s="107" t="s">
        <v>1855</v>
      </c>
      <c r="C75" s="161" t="s">
        <v>1623</v>
      </c>
      <c r="D75" s="59" t="s">
        <v>0</v>
      </c>
      <c r="E75" s="1"/>
      <c r="H75" s="9">
        <v>24</v>
      </c>
      <c r="I75" s="107" t="s">
        <v>1881</v>
      </c>
      <c r="J75" s="161" t="s">
        <v>1641</v>
      </c>
      <c r="K75" s="59" t="s">
        <v>0</v>
      </c>
      <c r="L75" s="1"/>
    </row>
    <row r="76" spans="1:12" ht="15.95" customHeight="1" x14ac:dyDescent="0.25">
      <c r="A76" s="9">
        <v>25</v>
      </c>
      <c r="B76" s="107" t="s">
        <v>1856</v>
      </c>
      <c r="C76" s="164" t="s">
        <v>1624</v>
      </c>
      <c r="D76" s="59" t="s">
        <v>0</v>
      </c>
      <c r="E76" s="1"/>
      <c r="H76" s="9">
        <v>25</v>
      </c>
      <c r="I76" s="109" t="s">
        <v>1882</v>
      </c>
      <c r="J76" s="164" t="s">
        <v>1654</v>
      </c>
      <c r="K76" s="59" t="s">
        <v>0</v>
      </c>
      <c r="L76" s="1"/>
    </row>
    <row r="77" spans="1:12" ht="15.95" customHeight="1" x14ac:dyDescent="0.25">
      <c r="A77" s="9">
        <v>26</v>
      </c>
      <c r="B77" s="132" t="s">
        <v>1857</v>
      </c>
      <c r="C77" s="165" t="s">
        <v>1625</v>
      </c>
      <c r="D77" s="59" t="s">
        <v>0</v>
      </c>
      <c r="E77" s="1"/>
      <c r="H77" s="9">
        <v>26</v>
      </c>
      <c r="I77" s="107" t="s">
        <v>1883</v>
      </c>
      <c r="J77" s="165" t="s">
        <v>1642</v>
      </c>
      <c r="K77" s="59" t="s">
        <v>0</v>
      </c>
      <c r="L77" s="1"/>
    </row>
    <row r="78" spans="1:12" ht="15.95" customHeight="1" x14ac:dyDescent="0.25">
      <c r="A78" s="9">
        <v>27</v>
      </c>
      <c r="B78" s="108" t="s">
        <v>1858</v>
      </c>
      <c r="C78" s="161" t="s">
        <v>1634</v>
      </c>
      <c r="D78" s="166" t="s">
        <v>1</v>
      </c>
      <c r="E78" s="1"/>
      <c r="H78" s="9">
        <v>27</v>
      </c>
      <c r="I78" s="107" t="s">
        <v>1884</v>
      </c>
      <c r="J78" s="161" t="s">
        <v>1661</v>
      </c>
      <c r="K78" s="166" t="s">
        <v>1</v>
      </c>
      <c r="L78" s="1"/>
    </row>
    <row r="79" spans="1:12" ht="15.95" customHeight="1" x14ac:dyDescent="0.25">
      <c r="A79" s="9">
        <v>28</v>
      </c>
      <c r="B79" s="108" t="s">
        <v>2409</v>
      </c>
      <c r="C79" s="164" t="s">
        <v>2403</v>
      </c>
      <c r="D79" s="167" t="s">
        <v>1</v>
      </c>
      <c r="E79" s="1"/>
      <c r="H79" s="9">
        <v>28</v>
      </c>
      <c r="I79" s="107" t="s">
        <v>1885</v>
      </c>
      <c r="J79" s="177" t="s">
        <v>1662</v>
      </c>
      <c r="K79" s="178" t="s">
        <v>1</v>
      </c>
      <c r="L79" s="1"/>
    </row>
    <row r="80" spans="1:12" ht="15.95" customHeight="1" x14ac:dyDescent="0.25">
      <c r="A80" s="9"/>
      <c r="B80" s="108"/>
      <c r="C80" s="164"/>
      <c r="D80" s="9"/>
      <c r="E80" s="1"/>
      <c r="H80" s="9">
        <v>29</v>
      </c>
      <c r="I80" s="107" t="s">
        <v>1886</v>
      </c>
      <c r="J80" s="161" t="s">
        <v>1663</v>
      </c>
      <c r="K80" s="162" t="s">
        <v>1</v>
      </c>
      <c r="L80" s="1"/>
    </row>
    <row r="81" spans="1:12" ht="15.75" x14ac:dyDescent="0.25">
      <c r="A81" s="9"/>
      <c r="B81" s="109"/>
      <c r="C81" s="1"/>
      <c r="D81" s="1"/>
      <c r="E81" s="1"/>
      <c r="H81" s="9">
        <v>30</v>
      </c>
      <c r="I81" s="108" t="s">
        <v>2396</v>
      </c>
      <c r="J81" s="48" t="s">
        <v>2391</v>
      </c>
      <c r="K81" s="5" t="s">
        <v>1</v>
      </c>
      <c r="L81" s="185"/>
    </row>
    <row r="82" spans="1:12" hidden="1" x14ac:dyDescent="0.25">
      <c r="A82" s="9"/>
      <c r="B82" s="10"/>
      <c r="C82" s="27"/>
      <c r="D82" s="5"/>
      <c r="E82" s="1"/>
      <c r="H82" s="9"/>
      <c r="I82" s="1"/>
      <c r="J82" s="1"/>
      <c r="K82" s="5"/>
      <c r="L82" s="1"/>
    </row>
    <row r="83" spans="1:12" hidden="1" x14ac:dyDescent="0.25">
      <c r="A83" s="9">
        <v>32</v>
      </c>
      <c r="B83" s="1"/>
      <c r="C83" s="1"/>
      <c r="D83" s="1"/>
      <c r="E83" s="1"/>
    </row>
    <row r="84" spans="1:12" x14ac:dyDescent="0.25">
      <c r="A84" s="209" t="s">
        <v>8</v>
      </c>
      <c r="B84" s="209"/>
      <c r="C84" s="22" t="s">
        <v>9</v>
      </c>
      <c r="H84" s="6" t="s">
        <v>8</v>
      </c>
      <c r="I84" s="6"/>
      <c r="J84" s="22" t="s">
        <v>9</v>
      </c>
    </row>
    <row r="85" spans="1:12" x14ac:dyDescent="0.25">
      <c r="B85" s="17" t="s">
        <v>10</v>
      </c>
      <c r="C85" s="23">
        <f>COUNTIF(D52:D82,"L")</f>
        <v>17</v>
      </c>
      <c r="D85" s="208" t="s">
        <v>2416</v>
      </c>
      <c r="E85" s="208"/>
      <c r="I85" s="17" t="s">
        <v>10</v>
      </c>
      <c r="J85" s="23">
        <f>COUNTIF(K52:K82,"L")</f>
        <v>18</v>
      </c>
      <c r="K85" s="208" t="s">
        <v>2416</v>
      </c>
      <c r="L85" s="208"/>
    </row>
    <row r="86" spans="1:12" x14ac:dyDescent="0.25">
      <c r="B86" s="17" t="s">
        <v>11</v>
      </c>
      <c r="C86" s="23">
        <f>COUNTIF(D52:D82,"P")</f>
        <v>11</v>
      </c>
      <c r="D86" s="208" t="s">
        <v>12</v>
      </c>
      <c r="E86" s="208"/>
      <c r="I86" s="17" t="s">
        <v>11</v>
      </c>
      <c r="J86" s="23">
        <f>COUNTIF(K52:K81,"P")</f>
        <v>12</v>
      </c>
      <c r="K86" s="208" t="s">
        <v>12</v>
      </c>
      <c r="L86" s="208"/>
    </row>
    <row r="87" spans="1:12" x14ac:dyDescent="0.25">
      <c r="B87" s="30" t="s">
        <v>20</v>
      </c>
      <c r="C87" s="29">
        <f>C85+C86</f>
        <v>28</v>
      </c>
      <c r="D87" s="18"/>
      <c r="E87" s="18"/>
      <c r="I87" s="30" t="s">
        <v>20</v>
      </c>
      <c r="J87" s="29">
        <f>J85+J86</f>
        <v>30</v>
      </c>
      <c r="K87" s="18"/>
      <c r="L87" s="18"/>
    </row>
    <row r="90" spans="1:12" x14ac:dyDescent="0.25">
      <c r="D90" s="208" t="s">
        <v>13</v>
      </c>
      <c r="E90" s="208"/>
      <c r="K90" s="18" t="s">
        <v>13</v>
      </c>
      <c r="L90" s="18"/>
    </row>
    <row r="91" spans="1:12" x14ac:dyDescent="0.25">
      <c r="D91" t="s">
        <v>14</v>
      </c>
      <c r="K91" t="s">
        <v>14</v>
      </c>
    </row>
    <row r="92" spans="1:12" hidden="1" x14ac:dyDescent="0.25">
      <c r="G92" s="15" t="s">
        <v>1184</v>
      </c>
    </row>
    <row r="94" spans="1:12" ht="15.75" x14ac:dyDescent="0.25">
      <c r="A94" s="210" t="s">
        <v>670</v>
      </c>
      <c r="B94" s="210"/>
      <c r="C94" s="210"/>
      <c r="D94" s="210"/>
      <c r="E94" s="210"/>
      <c r="G94" s="211" t="s">
        <v>670</v>
      </c>
      <c r="H94" s="210"/>
      <c r="I94" s="210"/>
      <c r="J94" s="210"/>
      <c r="K94" s="210"/>
      <c r="L94" s="210"/>
    </row>
    <row r="95" spans="1:12" ht="15.75" x14ac:dyDescent="0.25">
      <c r="A95" s="210" t="s">
        <v>2415</v>
      </c>
      <c r="B95" s="210"/>
      <c r="C95" s="210"/>
      <c r="D95" s="210"/>
      <c r="E95" s="210"/>
      <c r="G95" s="211" t="s">
        <v>2415</v>
      </c>
      <c r="H95" s="210"/>
      <c r="I95" s="210"/>
      <c r="J95" s="210"/>
      <c r="K95" s="210"/>
      <c r="L95" s="210"/>
    </row>
    <row r="96" spans="1:12" ht="15.75" x14ac:dyDescent="0.25">
      <c r="A96" s="210" t="s">
        <v>29</v>
      </c>
      <c r="B96" s="210"/>
      <c r="C96" s="210"/>
      <c r="D96" s="210"/>
      <c r="E96" s="210"/>
      <c r="H96" s="210" t="s">
        <v>2420</v>
      </c>
      <c r="I96" s="210"/>
      <c r="J96" s="210"/>
      <c r="K96" s="210"/>
      <c r="L96" s="210"/>
    </row>
    <row r="97" spans="1:12" ht="7.5" customHeight="1" x14ac:dyDescent="0.25">
      <c r="A97" s="6"/>
      <c r="B97" s="6"/>
      <c r="C97" s="6"/>
      <c r="D97" s="6"/>
      <c r="H97" s="6"/>
      <c r="I97" s="6"/>
      <c r="J97" s="6"/>
      <c r="K97" s="6"/>
    </row>
    <row r="98" spans="1:12" ht="15.95" customHeight="1" x14ac:dyDescent="0.25">
      <c r="A98" s="13" t="s">
        <v>2</v>
      </c>
      <c r="B98" s="13" t="s">
        <v>3</v>
      </c>
      <c r="C98" s="13" t="s">
        <v>7</v>
      </c>
      <c r="D98" s="13" t="s">
        <v>5</v>
      </c>
      <c r="E98" s="13" t="s">
        <v>6</v>
      </c>
      <c r="H98" s="13" t="s">
        <v>2</v>
      </c>
      <c r="I98" s="13" t="s">
        <v>3</v>
      </c>
      <c r="J98" s="13" t="s">
        <v>7</v>
      </c>
      <c r="K98" s="13" t="s">
        <v>5</v>
      </c>
      <c r="L98" s="13" t="s">
        <v>6</v>
      </c>
    </row>
    <row r="99" spans="1:12" ht="15.95" customHeight="1" x14ac:dyDescent="0.25">
      <c r="A99" s="5">
        <v>1</v>
      </c>
      <c r="B99" s="107" t="s">
        <v>1887</v>
      </c>
      <c r="C99" s="158" t="s">
        <v>1673</v>
      </c>
      <c r="D99" s="159" t="s">
        <v>0</v>
      </c>
      <c r="E99" s="1"/>
      <c r="H99" s="114">
        <v>1</v>
      </c>
      <c r="I99" s="120" t="s">
        <v>1918</v>
      </c>
      <c r="J99" s="158" t="s">
        <v>1711</v>
      </c>
      <c r="K99" s="159" t="s">
        <v>0</v>
      </c>
      <c r="L99" s="1"/>
    </row>
    <row r="100" spans="1:12" ht="15.95" customHeight="1" x14ac:dyDescent="0.25">
      <c r="A100" s="5">
        <v>2</v>
      </c>
      <c r="B100" s="107" t="s">
        <v>1888</v>
      </c>
      <c r="C100" s="48" t="s">
        <v>1665</v>
      </c>
      <c r="D100" s="59" t="s">
        <v>0</v>
      </c>
      <c r="E100" s="1"/>
      <c r="H100" s="114">
        <v>2</v>
      </c>
      <c r="I100" s="120" t="s">
        <v>1919</v>
      </c>
      <c r="J100" s="48" t="s">
        <v>1716</v>
      </c>
      <c r="K100" s="59" t="s">
        <v>1</v>
      </c>
      <c r="L100" s="1"/>
    </row>
    <row r="101" spans="1:12" ht="15.95" customHeight="1" x14ac:dyDescent="0.25">
      <c r="A101" s="5">
        <v>3</v>
      </c>
      <c r="B101" s="107" t="s">
        <v>1889</v>
      </c>
      <c r="C101" s="48" t="s">
        <v>1693</v>
      </c>
      <c r="D101" s="160" t="s">
        <v>1</v>
      </c>
      <c r="E101" s="1"/>
      <c r="H101" s="114">
        <v>3</v>
      </c>
      <c r="I101" s="120" t="s">
        <v>1920</v>
      </c>
      <c r="J101" s="48" t="s">
        <v>1699</v>
      </c>
      <c r="K101" s="160" t="s">
        <v>0</v>
      </c>
      <c r="L101" s="1"/>
    </row>
    <row r="102" spans="1:12" ht="15.95" customHeight="1" x14ac:dyDescent="0.25">
      <c r="A102" s="5">
        <v>4</v>
      </c>
      <c r="B102" s="107" t="s">
        <v>1890</v>
      </c>
      <c r="C102" s="161" t="s">
        <v>1674</v>
      </c>
      <c r="D102" s="59" t="s">
        <v>0</v>
      </c>
      <c r="E102" s="1"/>
      <c r="H102" s="114">
        <v>4</v>
      </c>
      <c r="I102" s="109" t="s">
        <v>1921</v>
      </c>
      <c r="J102" s="161" t="s">
        <v>1700</v>
      </c>
      <c r="K102" s="59" t="s">
        <v>0</v>
      </c>
      <c r="L102" s="1"/>
    </row>
    <row r="103" spans="1:12" ht="15.95" customHeight="1" x14ac:dyDescent="0.25">
      <c r="A103" s="5">
        <v>5</v>
      </c>
      <c r="B103" s="107" t="s">
        <v>1891</v>
      </c>
      <c r="C103" s="161" t="s">
        <v>1666</v>
      </c>
      <c r="D103" s="159" t="s">
        <v>0</v>
      </c>
      <c r="E103" s="1"/>
      <c r="H103" s="114">
        <v>5</v>
      </c>
      <c r="I103" s="120" t="s">
        <v>1922</v>
      </c>
      <c r="J103" s="161" t="s">
        <v>1720</v>
      </c>
      <c r="K103" s="159" t="s">
        <v>1</v>
      </c>
      <c r="L103" s="1"/>
    </row>
    <row r="104" spans="1:12" ht="15.95" customHeight="1" x14ac:dyDescent="0.25">
      <c r="A104" s="5">
        <v>6</v>
      </c>
      <c r="B104" s="107" t="s">
        <v>1892</v>
      </c>
      <c r="C104" s="161" t="s">
        <v>1694</v>
      </c>
      <c r="D104" s="162" t="s">
        <v>1</v>
      </c>
      <c r="E104" s="1"/>
      <c r="H104" s="114">
        <v>6</v>
      </c>
      <c r="I104" s="120" t="s">
        <v>1923</v>
      </c>
      <c r="J104" s="161" t="s">
        <v>1704</v>
      </c>
      <c r="K104" s="162" t="s">
        <v>0</v>
      </c>
      <c r="L104" s="1"/>
    </row>
    <row r="105" spans="1:12" ht="15.95" customHeight="1" x14ac:dyDescent="0.25">
      <c r="A105" s="5">
        <v>7</v>
      </c>
      <c r="B105" s="107" t="s">
        <v>1893</v>
      </c>
      <c r="C105" s="161" t="s">
        <v>1667</v>
      </c>
      <c r="D105" s="160" t="s">
        <v>0</v>
      </c>
      <c r="E105" s="1"/>
      <c r="H105" s="114">
        <v>7</v>
      </c>
      <c r="I105" s="120" t="s">
        <v>1924</v>
      </c>
      <c r="J105" s="161" t="s">
        <v>1705</v>
      </c>
      <c r="K105" s="160" t="s">
        <v>0</v>
      </c>
      <c r="L105" s="1"/>
    </row>
    <row r="106" spans="1:12" ht="15.95" customHeight="1" x14ac:dyDescent="0.25">
      <c r="A106" s="5">
        <v>8</v>
      </c>
      <c r="B106" s="108" t="s">
        <v>1894</v>
      </c>
      <c r="C106" s="161" t="s">
        <v>1695</v>
      </c>
      <c r="D106" s="59" t="s">
        <v>1</v>
      </c>
      <c r="E106" s="1"/>
      <c r="H106" s="114">
        <v>8</v>
      </c>
      <c r="I106" s="149" t="s">
        <v>1925</v>
      </c>
      <c r="J106" s="161" t="s">
        <v>1712</v>
      </c>
      <c r="K106" s="59" t="s">
        <v>1</v>
      </c>
      <c r="L106" s="1"/>
    </row>
    <row r="107" spans="1:12" ht="15.95" customHeight="1" x14ac:dyDescent="0.25">
      <c r="A107" s="5">
        <v>9</v>
      </c>
      <c r="B107" s="4" t="s">
        <v>1895</v>
      </c>
      <c r="C107" s="161" t="s">
        <v>1675</v>
      </c>
      <c r="D107" s="159" t="s">
        <v>0</v>
      </c>
      <c r="E107" s="4"/>
      <c r="H107" s="114">
        <v>9</v>
      </c>
      <c r="I107" s="120" t="s">
        <v>1926</v>
      </c>
      <c r="J107" s="161" t="s">
        <v>1718</v>
      </c>
      <c r="K107" s="159" t="s">
        <v>1</v>
      </c>
      <c r="L107" s="1"/>
    </row>
    <row r="108" spans="1:12" ht="15.95" customHeight="1" x14ac:dyDescent="0.25">
      <c r="A108" s="5">
        <v>10</v>
      </c>
      <c r="B108" s="108" t="s">
        <v>1896</v>
      </c>
      <c r="C108" s="161" t="s">
        <v>1685</v>
      </c>
      <c r="D108" s="59" t="s">
        <v>1</v>
      </c>
      <c r="E108" s="1"/>
      <c r="H108" s="114">
        <v>10</v>
      </c>
      <c r="I108" s="120" t="s">
        <v>1927</v>
      </c>
      <c r="J108" s="161" t="s">
        <v>1708</v>
      </c>
      <c r="K108" s="59" t="s">
        <v>0</v>
      </c>
      <c r="L108" s="1"/>
    </row>
    <row r="109" spans="1:12" ht="15.95" customHeight="1" x14ac:dyDescent="0.25">
      <c r="A109" s="5">
        <v>11</v>
      </c>
      <c r="B109" s="108" t="s">
        <v>1897</v>
      </c>
      <c r="C109" s="163" t="s">
        <v>1676</v>
      </c>
      <c r="D109" s="159" t="s">
        <v>0</v>
      </c>
      <c r="E109" s="1"/>
      <c r="H109" s="114">
        <v>11</v>
      </c>
      <c r="I109" s="138" t="s">
        <v>1928</v>
      </c>
      <c r="J109" s="163" t="s">
        <v>1697</v>
      </c>
      <c r="K109" s="159" t="s">
        <v>0</v>
      </c>
      <c r="L109" s="1"/>
    </row>
    <row r="110" spans="1:12" ht="15.95" customHeight="1" x14ac:dyDescent="0.25">
      <c r="A110" s="5">
        <v>12</v>
      </c>
      <c r="B110" s="108" t="s">
        <v>1898</v>
      </c>
      <c r="C110" s="161" t="s">
        <v>1668</v>
      </c>
      <c r="D110" s="162" t="s">
        <v>0</v>
      </c>
      <c r="E110" s="1"/>
      <c r="H110" s="114">
        <v>12</v>
      </c>
      <c r="I110" s="120" t="s">
        <v>1929</v>
      </c>
      <c r="J110" s="161" t="s">
        <v>1702</v>
      </c>
      <c r="K110" s="162" t="s">
        <v>0</v>
      </c>
      <c r="L110" s="1"/>
    </row>
    <row r="111" spans="1:12" ht="15.95" customHeight="1" x14ac:dyDescent="0.25">
      <c r="A111" s="5">
        <v>13</v>
      </c>
      <c r="B111" s="108" t="s">
        <v>1899</v>
      </c>
      <c r="C111" s="161" t="s">
        <v>1677</v>
      </c>
      <c r="D111" s="159" t="s">
        <v>0</v>
      </c>
      <c r="E111" s="1"/>
      <c r="H111" s="114">
        <v>13</v>
      </c>
      <c r="I111" s="109" t="s">
        <v>1930</v>
      </c>
      <c r="J111" s="161" t="s">
        <v>1717</v>
      </c>
      <c r="K111" s="159" t="s">
        <v>1</v>
      </c>
      <c r="L111" s="1"/>
    </row>
    <row r="112" spans="1:12" ht="15.95" customHeight="1" x14ac:dyDescent="0.25">
      <c r="A112" s="5">
        <v>14</v>
      </c>
      <c r="B112" s="108" t="s">
        <v>1900</v>
      </c>
      <c r="C112" s="161" t="s">
        <v>1669</v>
      </c>
      <c r="D112" s="162" t="s">
        <v>0</v>
      </c>
      <c r="E112" s="1"/>
      <c r="H112" s="114">
        <v>14</v>
      </c>
      <c r="I112" s="120" t="s">
        <v>1931</v>
      </c>
      <c r="J112" s="161" t="s">
        <v>1715</v>
      </c>
      <c r="K112" s="162" t="s">
        <v>1</v>
      </c>
      <c r="L112" s="1"/>
    </row>
    <row r="113" spans="1:12" ht="15.95" customHeight="1" x14ac:dyDescent="0.25">
      <c r="A113" s="5">
        <v>15</v>
      </c>
      <c r="B113" s="108" t="s">
        <v>1901</v>
      </c>
      <c r="C113" s="161" t="s">
        <v>1678</v>
      </c>
      <c r="D113" s="59" t="s">
        <v>0</v>
      </c>
      <c r="E113" s="1"/>
      <c r="H113" s="114">
        <v>15</v>
      </c>
      <c r="I113" s="120" t="s">
        <v>1932</v>
      </c>
      <c r="J113" s="161" t="s">
        <v>1721</v>
      </c>
      <c r="K113" s="59" t="s">
        <v>1</v>
      </c>
      <c r="L113" s="1"/>
    </row>
    <row r="114" spans="1:12" ht="15.95" customHeight="1" x14ac:dyDescent="0.25">
      <c r="A114" s="5">
        <v>16</v>
      </c>
      <c r="B114" s="108" t="s">
        <v>1902</v>
      </c>
      <c r="C114" s="161" t="s">
        <v>1679</v>
      </c>
      <c r="D114" s="59" t="s">
        <v>0</v>
      </c>
      <c r="E114" s="1"/>
      <c r="H114" s="114">
        <v>16</v>
      </c>
      <c r="I114" s="109" t="s">
        <v>1933</v>
      </c>
      <c r="J114" s="161" t="s">
        <v>1709</v>
      </c>
      <c r="K114" s="59" t="s">
        <v>0</v>
      </c>
      <c r="L114" s="1"/>
    </row>
    <row r="115" spans="1:12" ht="15.95" customHeight="1" x14ac:dyDescent="0.25">
      <c r="A115" s="5">
        <v>17</v>
      </c>
      <c r="B115" s="108" t="s">
        <v>1903</v>
      </c>
      <c r="C115" s="161" t="s">
        <v>1680</v>
      </c>
      <c r="D115" s="162" t="s">
        <v>0</v>
      </c>
      <c r="E115" s="1"/>
      <c r="H115" s="114">
        <v>17</v>
      </c>
      <c r="I115" s="120" t="s">
        <v>1934</v>
      </c>
      <c r="J115" s="55" t="s">
        <v>1997</v>
      </c>
      <c r="K115" s="63" t="s">
        <v>0</v>
      </c>
      <c r="L115" s="1"/>
    </row>
    <row r="116" spans="1:12" ht="15.95" customHeight="1" x14ac:dyDescent="0.25">
      <c r="A116" s="5">
        <v>18</v>
      </c>
      <c r="B116" s="107" t="s">
        <v>1904</v>
      </c>
      <c r="C116" s="161" t="s">
        <v>1686</v>
      </c>
      <c r="D116" s="162" t="s">
        <v>1</v>
      </c>
      <c r="E116" s="1"/>
      <c r="H116" s="114">
        <v>18</v>
      </c>
      <c r="I116" s="120" t="s">
        <v>1935</v>
      </c>
      <c r="J116" s="161" t="s">
        <v>1701</v>
      </c>
      <c r="K116" s="162" t="s">
        <v>0</v>
      </c>
      <c r="L116" s="1"/>
    </row>
    <row r="117" spans="1:12" ht="15.95" customHeight="1" x14ac:dyDescent="0.25">
      <c r="A117" s="5">
        <v>19</v>
      </c>
      <c r="B117" s="108" t="s">
        <v>1905</v>
      </c>
      <c r="C117" s="161" t="s">
        <v>1687</v>
      </c>
      <c r="D117" s="162" t="s">
        <v>1</v>
      </c>
      <c r="E117" s="1"/>
      <c r="H117" s="114">
        <v>19</v>
      </c>
      <c r="I117" s="138" t="s">
        <v>1936</v>
      </c>
      <c r="J117" s="161" t="s">
        <v>1703</v>
      </c>
      <c r="K117" s="162" t="s">
        <v>0</v>
      </c>
      <c r="L117" s="1"/>
    </row>
    <row r="118" spans="1:12" ht="15.95" customHeight="1" x14ac:dyDescent="0.25">
      <c r="A118" s="5">
        <v>20</v>
      </c>
      <c r="B118" s="108" t="s">
        <v>1906</v>
      </c>
      <c r="C118" s="161" t="s">
        <v>1688</v>
      </c>
      <c r="D118" s="59" t="s">
        <v>1</v>
      </c>
      <c r="E118" s="1"/>
      <c r="H118" s="114">
        <v>20</v>
      </c>
      <c r="I118" s="120" t="s">
        <v>1937</v>
      </c>
      <c r="J118" s="161" t="s">
        <v>1706</v>
      </c>
      <c r="K118" s="162" t="s">
        <v>0</v>
      </c>
      <c r="L118" s="1"/>
    </row>
    <row r="119" spans="1:12" ht="15.95" customHeight="1" x14ac:dyDescent="0.25">
      <c r="A119" s="5">
        <v>21</v>
      </c>
      <c r="B119" s="108" t="s">
        <v>1907</v>
      </c>
      <c r="C119" s="161" t="s">
        <v>1689</v>
      </c>
      <c r="D119" s="59" t="s">
        <v>1</v>
      </c>
      <c r="E119" s="1"/>
      <c r="H119" s="114">
        <v>21</v>
      </c>
      <c r="I119" s="120" t="s">
        <v>1938</v>
      </c>
      <c r="J119" s="161" t="s">
        <v>1723</v>
      </c>
      <c r="K119" s="59" t="s">
        <v>1</v>
      </c>
      <c r="L119" s="1"/>
    </row>
    <row r="120" spans="1:12" ht="15.95" customHeight="1" x14ac:dyDescent="0.25">
      <c r="A120" s="5">
        <v>22</v>
      </c>
      <c r="B120" s="108" t="s">
        <v>1908</v>
      </c>
      <c r="C120" s="161" t="s">
        <v>1690</v>
      </c>
      <c r="D120" s="162" t="s">
        <v>1</v>
      </c>
      <c r="E120" s="1"/>
      <c r="H120" s="114">
        <v>22</v>
      </c>
      <c r="I120" s="139" t="s">
        <v>1939</v>
      </c>
      <c r="J120" s="161" t="s">
        <v>1774</v>
      </c>
      <c r="K120" s="59" t="s">
        <v>0</v>
      </c>
      <c r="L120" s="1"/>
    </row>
    <row r="121" spans="1:12" ht="15.95" customHeight="1" x14ac:dyDescent="0.25">
      <c r="A121" s="5">
        <v>23</v>
      </c>
      <c r="B121" s="108" t="s">
        <v>1909</v>
      </c>
      <c r="C121" s="161" t="s">
        <v>1670</v>
      </c>
      <c r="D121" s="162" t="s">
        <v>0</v>
      </c>
      <c r="E121" s="1"/>
      <c r="H121" s="114">
        <v>23</v>
      </c>
      <c r="I121" s="134" t="s">
        <v>1940</v>
      </c>
      <c r="J121" s="161" t="s">
        <v>1713</v>
      </c>
      <c r="K121" s="162" t="s">
        <v>1</v>
      </c>
      <c r="L121" s="1"/>
    </row>
    <row r="122" spans="1:12" ht="15.95" customHeight="1" x14ac:dyDescent="0.25">
      <c r="A122" s="5">
        <v>24</v>
      </c>
      <c r="B122" s="108" t="s">
        <v>1910</v>
      </c>
      <c r="C122" s="161" t="s">
        <v>1691</v>
      </c>
      <c r="D122" s="59" t="s">
        <v>1</v>
      </c>
      <c r="E122" s="1"/>
      <c r="H122" s="114">
        <v>24</v>
      </c>
      <c r="I122" s="168" t="s">
        <v>2000</v>
      </c>
      <c r="J122" s="55" t="s">
        <v>2001</v>
      </c>
      <c r="K122" s="162" t="s">
        <v>0</v>
      </c>
      <c r="L122" s="1"/>
    </row>
    <row r="123" spans="1:12" ht="15.95" customHeight="1" x14ac:dyDescent="0.25">
      <c r="A123" s="5">
        <v>25</v>
      </c>
      <c r="B123" s="108" t="s">
        <v>1911</v>
      </c>
      <c r="C123" s="164" t="s">
        <v>1671</v>
      </c>
      <c r="D123" s="59" t="s">
        <v>0</v>
      </c>
      <c r="E123" s="1"/>
      <c r="H123" s="114">
        <v>25</v>
      </c>
      <c r="I123" s="134" t="s">
        <v>1941</v>
      </c>
      <c r="J123" s="161" t="s">
        <v>1698</v>
      </c>
      <c r="K123" s="59" t="s">
        <v>0</v>
      </c>
      <c r="L123" s="1"/>
    </row>
    <row r="124" spans="1:12" ht="15.95" customHeight="1" x14ac:dyDescent="0.25">
      <c r="A124" s="5">
        <v>26</v>
      </c>
      <c r="B124" s="108" t="s">
        <v>1912</v>
      </c>
      <c r="C124" s="165" t="s">
        <v>1681</v>
      </c>
      <c r="D124" s="59" t="s">
        <v>0</v>
      </c>
      <c r="E124" s="1"/>
      <c r="H124" s="114">
        <v>26</v>
      </c>
      <c r="I124" s="134" t="s">
        <v>1942</v>
      </c>
      <c r="J124" s="161" t="s">
        <v>1707</v>
      </c>
      <c r="K124" s="59" t="s">
        <v>0</v>
      </c>
      <c r="L124" s="1"/>
    </row>
    <row r="125" spans="1:12" ht="15.95" customHeight="1" x14ac:dyDescent="0.25">
      <c r="A125" s="5">
        <v>27</v>
      </c>
      <c r="B125" s="108" t="s">
        <v>1913</v>
      </c>
      <c r="C125" s="161" t="s">
        <v>1682</v>
      </c>
      <c r="D125" s="166" t="s">
        <v>0</v>
      </c>
      <c r="E125" s="1"/>
      <c r="H125" s="114">
        <v>27</v>
      </c>
      <c r="I125" s="109" t="s">
        <v>1943</v>
      </c>
      <c r="J125" s="164" t="s">
        <v>1710</v>
      </c>
      <c r="K125" s="59" t="s">
        <v>1</v>
      </c>
      <c r="L125" s="1"/>
    </row>
    <row r="126" spans="1:12" ht="15.95" customHeight="1" x14ac:dyDescent="0.25">
      <c r="A126" s="5">
        <v>28</v>
      </c>
      <c r="B126" s="108" t="s">
        <v>1914</v>
      </c>
      <c r="C126" s="164" t="s">
        <v>1683</v>
      </c>
      <c r="D126" s="167" t="s">
        <v>0</v>
      </c>
      <c r="E126" s="119"/>
      <c r="H126" s="114">
        <v>28</v>
      </c>
      <c r="I126" s="107" t="s">
        <v>1944</v>
      </c>
      <c r="J126" s="165" t="s">
        <v>1714</v>
      </c>
      <c r="K126" s="166" t="s">
        <v>1</v>
      </c>
      <c r="L126" s="1"/>
    </row>
    <row r="127" spans="1:12" ht="15.75" x14ac:dyDescent="0.25">
      <c r="A127" s="5">
        <v>29</v>
      </c>
      <c r="B127" s="108" t="s">
        <v>1915</v>
      </c>
      <c r="C127" s="158" t="s">
        <v>1672</v>
      </c>
      <c r="D127" s="159" t="s">
        <v>0</v>
      </c>
      <c r="E127" s="1"/>
      <c r="H127" s="114">
        <v>29</v>
      </c>
      <c r="I127" s="109" t="s">
        <v>1945</v>
      </c>
      <c r="J127" s="161" t="s">
        <v>1719</v>
      </c>
      <c r="K127" s="63" t="s">
        <v>1</v>
      </c>
      <c r="L127" s="1"/>
    </row>
    <row r="128" spans="1:12" ht="15.75" x14ac:dyDescent="0.25">
      <c r="A128" s="5">
        <v>30</v>
      </c>
      <c r="B128" s="137" t="s">
        <v>1916</v>
      </c>
      <c r="C128" s="158" t="s">
        <v>1692</v>
      </c>
      <c r="D128" s="159" t="s">
        <v>1</v>
      </c>
      <c r="E128" s="1"/>
      <c r="H128" s="114">
        <v>30</v>
      </c>
      <c r="I128" s="132" t="s">
        <v>2002</v>
      </c>
      <c r="J128" s="161" t="s">
        <v>2003</v>
      </c>
      <c r="K128" s="63" t="s">
        <v>0</v>
      </c>
      <c r="L128" s="1"/>
    </row>
    <row r="129" spans="1:12" ht="15.75" x14ac:dyDescent="0.25">
      <c r="A129" s="5">
        <v>31</v>
      </c>
      <c r="B129" t="s">
        <v>1917</v>
      </c>
      <c r="C129" s="48" t="s">
        <v>1696</v>
      </c>
      <c r="D129" s="59" t="s">
        <v>1</v>
      </c>
      <c r="E129" s="1"/>
      <c r="H129" s="9"/>
      <c r="I129" s="10"/>
      <c r="J129" s="2"/>
      <c r="K129" s="3"/>
      <c r="L129" s="1"/>
    </row>
    <row r="130" spans="1:12" x14ac:dyDescent="0.25">
      <c r="A130" s="9"/>
      <c r="B130" s="1"/>
      <c r="C130" s="1"/>
      <c r="D130" s="1"/>
      <c r="E130" s="1"/>
    </row>
    <row r="131" spans="1:12" x14ac:dyDescent="0.25">
      <c r="A131" s="209" t="s">
        <v>8</v>
      </c>
      <c r="B131" s="209"/>
      <c r="C131" s="22" t="s">
        <v>9</v>
      </c>
      <c r="H131" s="6" t="s">
        <v>8</v>
      </c>
      <c r="I131" s="6"/>
      <c r="J131" s="22" t="s">
        <v>1184</v>
      </c>
    </row>
    <row r="132" spans="1:12" x14ac:dyDescent="0.25">
      <c r="B132" s="17" t="s">
        <v>10</v>
      </c>
      <c r="C132" s="23">
        <f>COUNTIF(D99:D129,"L")</f>
        <v>19</v>
      </c>
      <c r="D132" s="208" t="s">
        <v>2416</v>
      </c>
      <c r="E132" s="208"/>
      <c r="I132" s="17" t="s">
        <v>10</v>
      </c>
      <c r="J132" s="23">
        <f>COUNTIF(K99:K129,"L")</f>
        <v>18</v>
      </c>
      <c r="K132" s="208" t="s">
        <v>2416</v>
      </c>
      <c r="L132" s="208"/>
    </row>
    <row r="133" spans="1:12" x14ac:dyDescent="0.25">
      <c r="B133" s="17" t="s">
        <v>11</v>
      </c>
      <c r="C133" s="23">
        <f>COUNTIF(D99:D129,"P")</f>
        <v>12</v>
      </c>
      <c r="D133" s="208" t="s">
        <v>12</v>
      </c>
      <c r="E133" s="208"/>
      <c r="I133" s="17" t="s">
        <v>11</v>
      </c>
      <c r="J133" s="23">
        <f>COUNTIF(K99:K129,"P")</f>
        <v>12</v>
      </c>
      <c r="K133" s="18" t="s">
        <v>12</v>
      </c>
      <c r="L133" s="18"/>
    </row>
    <row r="134" spans="1:12" x14ac:dyDescent="0.25">
      <c r="B134" s="30" t="s">
        <v>20</v>
      </c>
      <c r="C134" s="29">
        <f>C132+C133</f>
        <v>31</v>
      </c>
      <c r="D134" s="18"/>
      <c r="E134" s="18"/>
      <c r="I134" s="30" t="s">
        <v>20</v>
      </c>
      <c r="J134" s="29">
        <f>J132+J133</f>
        <v>30</v>
      </c>
      <c r="K134" s="18"/>
      <c r="L134" s="18"/>
    </row>
    <row r="135" spans="1:12" hidden="1" x14ac:dyDescent="0.25"/>
    <row r="138" spans="1:12" x14ac:dyDescent="0.25">
      <c r="D138" s="208" t="s">
        <v>13</v>
      </c>
      <c r="E138" s="208"/>
      <c r="K138" s="18" t="s">
        <v>2422</v>
      </c>
      <c r="L138" s="190"/>
    </row>
    <row r="139" spans="1:12" hidden="1" x14ac:dyDescent="0.25">
      <c r="D139" t="s">
        <v>14</v>
      </c>
      <c r="K139" t="s">
        <v>14</v>
      </c>
    </row>
    <row r="140" spans="1:12" hidden="1" x14ac:dyDescent="0.25"/>
    <row r="141" spans="1:12" ht="15.75" x14ac:dyDescent="0.25">
      <c r="A141" s="210" t="s">
        <v>670</v>
      </c>
      <c r="B141" s="210"/>
      <c r="C141" s="210"/>
      <c r="D141" s="210"/>
      <c r="E141" s="210"/>
      <c r="H141" s="210" t="s">
        <v>670</v>
      </c>
      <c r="I141" s="210"/>
      <c r="J141" s="210"/>
      <c r="K141" s="210"/>
      <c r="L141" s="210"/>
    </row>
    <row r="142" spans="1:12" ht="15.75" x14ac:dyDescent="0.25">
      <c r="A142" s="210" t="s">
        <v>2415</v>
      </c>
      <c r="B142" s="210"/>
      <c r="C142" s="210"/>
      <c r="D142" s="210"/>
      <c r="E142" s="210"/>
      <c r="H142" s="210" t="s">
        <v>2415</v>
      </c>
      <c r="I142" s="210"/>
      <c r="J142" s="210"/>
      <c r="K142" s="210"/>
      <c r="L142" s="210"/>
    </row>
    <row r="143" spans="1:12" ht="15.75" x14ac:dyDescent="0.25">
      <c r="A143" s="210" t="s">
        <v>2421</v>
      </c>
      <c r="B143" s="210"/>
      <c r="C143" s="210"/>
      <c r="D143" s="210"/>
      <c r="E143" s="210"/>
      <c r="H143" s="210" t="s">
        <v>1549</v>
      </c>
      <c r="I143" s="210"/>
      <c r="J143" s="210"/>
      <c r="K143" s="210"/>
      <c r="L143" s="210"/>
    </row>
    <row r="144" spans="1:12" x14ac:dyDescent="0.25">
      <c r="A144" s="6"/>
      <c r="B144" s="6"/>
      <c r="C144" s="6"/>
      <c r="D144" s="6"/>
      <c r="H144" s="6"/>
      <c r="I144" s="6"/>
      <c r="J144" s="6"/>
      <c r="K144" s="6"/>
    </row>
    <row r="145" spans="1:16" ht="15.95" customHeight="1" x14ac:dyDescent="0.25">
      <c r="A145" s="13" t="s">
        <v>2</v>
      </c>
      <c r="B145" s="13" t="s">
        <v>3</v>
      </c>
      <c r="C145" s="13" t="s">
        <v>4</v>
      </c>
      <c r="D145" s="13" t="s">
        <v>5</v>
      </c>
      <c r="E145" s="13" t="s">
        <v>6</v>
      </c>
      <c r="H145" s="13" t="s">
        <v>2</v>
      </c>
      <c r="I145" s="13" t="s">
        <v>3</v>
      </c>
      <c r="J145" s="13" t="s">
        <v>4</v>
      </c>
      <c r="K145" s="13" t="s">
        <v>5</v>
      </c>
      <c r="L145" s="13" t="s">
        <v>6</v>
      </c>
    </row>
    <row r="146" spans="1:16" ht="15.95" customHeight="1" x14ac:dyDescent="0.25">
      <c r="A146" s="10">
        <v>1</v>
      </c>
      <c r="B146" s="107" t="s">
        <v>1946</v>
      </c>
      <c r="C146" s="158" t="s">
        <v>1744</v>
      </c>
      <c r="D146" s="159" t="s">
        <v>1</v>
      </c>
      <c r="E146" s="1"/>
      <c r="H146" s="10">
        <v>1</v>
      </c>
      <c r="I146" s="107" t="s">
        <v>1973</v>
      </c>
      <c r="J146" s="158" t="s">
        <v>1750</v>
      </c>
      <c r="K146" s="159" t="s">
        <v>0</v>
      </c>
      <c r="L146" s="1"/>
    </row>
    <row r="147" spans="1:16" ht="15.95" customHeight="1" x14ac:dyDescent="0.25">
      <c r="A147" s="5">
        <v>2</v>
      </c>
      <c r="B147" s="107" t="s">
        <v>1947</v>
      </c>
      <c r="C147" s="48" t="s">
        <v>1736</v>
      </c>
      <c r="D147" s="59" t="s">
        <v>1</v>
      </c>
      <c r="E147" s="1"/>
      <c r="H147" s="5">
        <v>2</v>
      </c>
      <c r="I147" s="107" t="s">
        <v>1974</v>
      </c>
      <c r="J147" s="48" t="s">
        <v>1722</v>
      </c>
      <c r="K147" s="59" t="s">
        <v>1</v>
      </c>
      <c r="L147" s="1"/>
    </row>
    <row r="148" spans="1:16" ht="15.95" customHeight="1" x14ac:dyDescent="0.25">
      <c r="A148" s="10">
        <v>3</v>
      </c>
      <c r="B148" s="107" t="s">
        <v>1948</v>
      </c>
      <c r="C148" s="48" t="s">
        <v>1727</v>
      </c>
      <c r="D148" s="160" t="s">
        <v>0</v>
      </c>
      <c r="E148" s="1"/>
      <c r="H148" s="10">
        <v>3</v>
      </c>
      <c r="I148" s="107" t="s">
        <v>1975</v>
      </c>
      <c r="J148" s="48" t="s">
        <v>1752</v>
      </c>
      <c r="K148" s="160" t="s">
        <v>1</v>
      </c>
      <c r="L148" s="1"/>
    </row>
    <row r="149" spans="1:16" ht="15.95" customHeight="1" x14ac:dyDescent="0.25">
      <c r="A149" s="5">
        <v>4</v>
      </c>
      <c r="B149" s="107" t="s">
        <v>1949</v>
      </c>
      <c r="C149" s="161" t="s">
        <v>1740</v>
      </c>
      <c r="D149" s="59" t="s">
        <v>1</v>
      </c>
      <c r="E149" s="1"/>
      <c r="H149" s="5">
        <v>4</v>
      </c>
      <c r="I149" s="107" t="s">
        <v>1976</v>
      </c>
      <c r="J149" s="161" t="s">
        <v>1746</v>
      </c>
      <c r="K149" s="59" t="s">
        <v>0</v>
      </c>
      <c r="L149" s="1"/>
    </row>
    <row r="150" spans="1:16" ht="15.95" customHeight="1" x14ac:dyDescent="0.25">
      <c r="A150" s="10">
        <v>5</v>
      </c>
      <c r="B150" s="107" t="s">
        <v>1950</v>
      </c>
      <c r="C150" s="161" t="s">
        <v>1735</v>
      </c>
      <c r="D150" s="159" t="s">
        <v>1</v>
      </c>
      <c r="E150" s="1"/>
      <c r="H150" s="10">
        <v>5</v>
      </c>
      <c r="I150" s="107" t="s">
        <v>1977</v>
      </c>
      <c r="J150" s="161" t="s">
        <v>1753</v>
      </c>
      <c r="K150" s="159" t="s">
        <v>1</v>
      </c>
      <c r="L150" s="1"/>
    </row>
    <row r="151" spans="1:16" ht="15.95" customHeight="1" x14ac:dyDescent="0.25">
      <c r="A151" s="5">
        <v>6</v>
      </c>
      <c r="B151" s="107" t="s">
        <v>1951</v>
      </c>
      <c r="C151" s="161" t="s">
        <v>1745</v>
      </c>
      <c r="D151" s="162" t="s">
        <v>1</v>
      </c>
      <c r="E151" s="1"/>
      <c r="H151" s="5">
        <v>6</v>
      </c>
      <c r="I151" s="108" t="s">
        <v>1978</v>
      </c>
      <c r="J151" s="161" t="s">
        <v>1754</v>
      </c>
      <c r="K151" s="162" t="s">
        <v>1</v>
      </c>
      <c r="L151" s="1"/>
    </row>
    <row r="152" spans="1:16" ht="15.95" customHeight="1" x14ac:dyDescent="0.25">
      <c r="A152" s="10">
        <v>7</v>
      </c>
      <c r="B152" s="107" t="s">
        <v>1952</v>
      </c>
      <c r="C152" s="161" t="s">
        <v>1738</v>
      </c>
      <c r="D152" s="160" t="s">
        <v>1</v>
      </c>
      <c r="E152" s="1"/>
      <c r="H152" s="10">
        <v>7</v>
      </c>
      <c r="I152" s="108" t="s">
        <v>1979</v>
      </c>
      <c r="J152" s="161" t="s">
        <v>1755</v>
      </c>
      <c r="K152" s="160" t="s">
        <v>1</v>
      </c>
      <c r="L152" s="1"/>
    </row>
    <row r="153" spans="1:16" ht="15.95" customHeight="1" x14ac:dyDescent="0.25">
      <c r="A153" s="5">
        <v>8</v>
      </c>
      <c r="B153" s="107" t="s">
        <v>1953</v>
      </c>
      <c r="C153" s="161" t="s">
        <v>1742</v>
      </c>
      <c r="D153" s="59" t="s">
        <v>1</v>
      </c>
      <c r="E153" s="1"/>
      <c r="H153" s="5">
        <v>8</v>
      </c>
      <c r="I153" s="108" t="s">
        <v>1980</v>
      </c>
      <c r="J153" s="161" t="s">
        <v>1748</v>
      </c>
      <c r="K153" s="59" t="s">
        <v>0</v>
      </c>
      <c r="L153" s="1"/>
    </row>
    <row r="154" spans="1:16" ht="15.95" customHeight="1" x14ac:dyDescent="0.25">
      <c r="A154" s="10">
        <v>9</v>
      </c>
      <c r="B154" s="107" t="s">
        <v>1954</v>
      </c>
      <c r="C154" s="161" t="s">
        <v>1737</v>
      </c>
      <c r="D154" s="159" t="s">
        <v>1</v>
      </c>
      <c r="E154" s="1"/>
      <c r="H154" s="10">
        <v>9</v>
      </c>
      <c r="I154" s="108" t="s">
        <v>1981</v>
      </c>
      <c r="J154" s="161" t="s">
        <v>1751</v>
      </c>
      <c r="K154" s="159" t="s">
        <v>0</v>
      </c>
      <c r="L154" s="1"/>
    </row>
    <row r="155" spans="1:16" ht="15.95" customHeight="1" x14ac:dyDescent="0.25">
      <c r="A155" s="5">
        <v>10</v>
      </c>
      <c r="B155" s="108" t="s">
        <v>1955</v>
      </c>
      <c r="C155" s="161" t="s">
        <v>1726</v>
      </c>
      <c r="D155" s="59" t="s">
        <v>0</v>
      </c>
      <c r="E155" s="1"/>
      <c r="H155" s="5">
        <v>10</v>
      </c>
      <c r="I155" s="108" t="s">
        <v>1982</v>
      </c>
      <c r="J155" s="161" t="s">
        <v>1757</v>
      </c>
      <c r="K155" s="59" t="s">
        <v>1</v>
      </c>
      <c r="L155" s="1"/>
    </row>
    <row r="156" spans="1:16" ht="15.95" customHeight="1" x14ac:dyDescent="0.25">
      <c r="A156" s="10">
        <v>11</v>
      </c>
      <c r="B156" s="107" t="s">
        <v>1956</v>
      </c>
      <c r="C156" s="163" t="s">
        <v>1731</v>
      </c>
      <c r="D156" s="159" t="s">
        <v>0</v>
      </c>
      <c r="E156" s="1"/>
      <c r="H156" s="10">
        <v>11</v>
      </c>
      <c r="I156" s="111" t="s">
        <v>1983</v>
      </c>
      <c r="J156" s="163" t="s">
        <v>1747</v>
      </c>
      <c r="K156" s="159" t="s">
        <v>0</v>
      </c>
      <c r="L156" s="1"/>
    </row>
    <row r="157" spans="1:16" ht="15.95" customHeight="1" x14ac:dyDescent="0.25">
      <c r="A157" s="5">
        <v>12</v>
      </c>
      <c r="B157" s="107" t="s">
        <v>1957</v>
      </c>
      <c r="C157" s="161" t="s">
        <v>1684</v>
      </c>
      <c r="D157" s="162" t="s">
        <v>1</v>
      </c>
      <c r="E157" s="1"/>
      <c r="H157" s="5">
        <v>12</v>
      </c>
      <c r="I157" s="107" t="s">
        <v>1984</v>
      </c>
      <c r="J157" s="161" t="s">
        <v>1758</v>
      </c>
      <c r="K157" s="162" t="s">
        <v>1</v>
      </c>
      <c r="L157" s="1"/>
    </row>
    <row r="158" spans="1:16" ht="15.95" customHeight="1" x14ac:dyDescent="0.25">
      <c r="A158" s="10">
        <v>13</v>
      </c>
      <c r="B158" s="107" t="s">
        <v>1958</v>
      </c>
      <c r="C158" s="161" t="s">
        <v>1739</v>
      </c>
      <c r="D158" s="159" t="s">
        <v>1</v>
      </c>
      <c r="E158" s="1"/>
      <c r="H158" s="10">
        <v>13</v>
      </c>
      <c r="I158" s="107" t="s">
        <v>1985</v>
      </c>
      <c r="J158" s="161" t="s">
        <v>1769</v>
      </c>
      <c r="K158" s="159" t="s">
        <v>1</v>
      </c>
      <c r="L158" s="1"/>
      <c r="P158" t="s">
        <v>1530</v>
      </c>
    </row>
    <row r="159" spans="1:16" ht="15.95" customHeight="1" x14ac:dyDescent="0.25">
      <c r="A159" s="5">
        <v>14</v>
      </c>
      <c r="B159" s="107" t="s">
        <v>1959</v>
      </c>
      <c r="C159" s="161" t="s">
        <v>1729</v>
      </c>
      <c r="D159" s="162" t="s">
        <v>0</v>
      </c>
      <c r="E159" s="1"/>
      <c r="H159" s="5">
        <v>14</v>
      </c>
      <c r="I159" s="107" t="s">
        <v>1986</v>
      </c>
      <c r="J159" s="161" t="s">
        <v>1749</v>
      </c>
      <c r="K159" s="162" t="s">
        <v>0</v>
      </c>
      <c r="L159" s="1"/>
    </row>
    <row r="160" spans="1:16" ht="15.95" customHeight="1" x14ac:dyDescent="0.25">
      <c r="A160" s="10">
        <v>15</v>
      </c>
      <c r="B160" s="107" t="s">
        <v>1960</v>
      </c>
      <c r="C160" s="161" t="s">
        <v>1730</v>
      </c>
      <c r="D160" s="59" t="s">
        <v>0</v>
      </c>
      <c r="E160" s="1"/>
      <c r="H160" s="10">
        <v>15</v>
      </c>
      <c r="I160" s="107" t="s">
        <v>1987</v>
      </c>
      <c r="J160" s="161" t="s">
        <v>1759</v>
      </c>
      <c r="K160" s="59" t="s">
        <v>1</v>
      </c>
      <c r="L160" s="1"/>
    </row>
    <row r="161" spans="1:12" ht="15.95" customHeight="1" x14ac:dyDescent="0.25">
      <c r="A161" s="5">
        <v>16</v>
      </c>
      <c r="B161" s="107" t="s">
        <v>1961</v>
      </c>
      <c r="C161" s="161" t="s">
        <v>1724</v>
      </c>
      <c r="D161" s="59" t="s">
        <v>0</v>
      </c>
      <c r="E161" s="1"/>
      <c r="H161" s="5">
        <v>16</v>
      </c>
      <c r="I161" s="107" t="s">
        <v>1988</v>
      </c>
      <c r="J161" s="161" t="s">
        <v>1760</v>
      </c>
      <c r="K161" s="59" t="s">
        <v>1</v>
      </c>
      <c r="L161" s="1"/>
    </row>
    <row r="162" spans="1:12" ht="15.95" customHeight="1" x14ac:dyDescent="0.25">
      <c r="A162" s="10">
        <v>17</v>
      </c>
      <c r="B162" s="107" t="s">
        <v>1962</v>
      </c>
      <c r="C162" s="161" t="s">
        <v>1756</v>
      </c>
      <c r="D162" s="162" t="s">
        <v>1</v>
      </c>
      <c r="E162" s="1"/>
      <c r="H162" s="10">
        <v>17</v>
      </c>
      <c r="I162" s="107" t="s">
        <v>1989</v>
      </c>
      <c r="J162" s="161" t="s">
        <v>1761</v>
      </c>
      <c r="K162" s="162" t="s">
        <v>1</v>
      </c>
      <c r="L162" s="1"/>
    </row>
    <row r="163" spans="1:12" ht="15.95" customHeight="1" x14ac:dyDescent="0.25">
      <c r="A163" s="5">
        <v>18</v>
      </c>
      <c r="B163" s="107" t="s">
        <v>1963</v>
      </c>
      <c r="C163" s="161" t="s">
        <v>1728</v>
      </c>
      <c r="D163" s="162" t="s">
        <v>0</v>
      </c>
      <c r="E163" s="1"/>
      <c r="H163" s="5">
        <v>18</v>
      </c>
      <c r="I163" s="107" t="s">
        <v>1990</v>
      </c>
      <c r="J163" s="161" t="s">
        <v>1762</v>
      </c>
      <c r="K163" s="162" t="s">
        <v>1</v>
      </c>
      <c r="L163" s="1"/>
    </row>
    <row r="164" spans="1:12" ht="15.95" customHeight="1" x14ac:dyDescent="0.25">
      <c r="A164" s="10">
        <v>19</v>
      </c>
      <c r="B164" s="107" t="s">
        <v>1964</v>
      </c>
      <c r="C164" s="161" t="s">
        <v>1725</v>
      </c>
      <c r="D164" s="162" t="s">
        <v>0</v>
      </c>
      <c r="E164" s="1"/>
      <c r="H164" s="10">
        <v>19</v>
      </c>
      <c r="I164" s="107" t="s">
        <v>1991</v>
      </c>
      <c r="J164" s="161" t="s">
        <v>1763</v>
      </c>
      <c r="K164" s="162" t="s">
        <v>1</v>
      </c>
      <c r="L164" s="1"/>
    </row>
    <row r="165" spans="1:12" ht="15.95" customHeight="1" x14ac:dyDescent="0.25">
      <c r="A165" s="5">
        <v>20</v>
      </c>
      <c r="B165" s="107" t="s">
        <v>1965</v>
      </c>
      <c r="C165" s="161" t="s">
        <v>1801</v>
      </c>
      <c r="D165" s="59" t="s">
        <v>1</v>
      </c>
      <c r="E165" s="1"/>
      <c r="H165" s="5">
        <v>20</v>
      </c>
      <c r="I165" s="107" t="s">
        <v>1992</v>
      </c>
      <c r="J165" s="161" t="s">
        <v>1764</v>
      </c>
      <c r="K165" s="59" t="s">
        <v>1</v>
      </c>
      <c r="L165" s="1"/>
    </row>
    <row r="166" spans="1:12" ht="15.95" customHeight="1" x14ac:dyDescent="0.25">
      <c r="A166" s="10">
        <v>21</v>
      </c>
      <c r="B166" s="107" t="s">
        <v>1966</v>
      </c>
      <c r="C166" s="161" t="s">
        <v>1773</v>
      </c>
      <c r="D166" s="59" t="s">
        <v>1</v>
      </c>
      <c r="E166" s="1"/>
      <c r="H166" s="10">
        <v>21</v>
      </c>
      <c r="I166" s="107" t="s">
        <v>1993</v>
      </c>
      <c r="J166" s="161" t="s">
        <v>1765</v>
      </c>
      <c r="K166" s="59" t="s">
        <v>1</v>
      </c>
      <c r="L166" s="1"/>
    </row>
    <row r="167" spans="1:12" ht="15.95" customHeight="1" x14ac:dyDescent="0.25">
      <c r="A167" s="5">
        <v>22</v>
      </c>
      <c r="B167" s="107" t="s">
        <v>1967</v>
      </c>
      <c r="C167" s="161" t="s">
        <v>1743</v>
      </c>
      <c r="D167" s="162" t="s">
        <v>1</v>
      </c>
      <c r="E167" s="1"/>
      <c r="H167" s="5">
        <v>22</v>
      </c>
      <c r="I167" s="107" t="s">
        <v>1994</v>
      </c>
      <c r="J167" s="161" t="s">
        <v>1766</v>
      </c>
      <c r="K167" s="162" t="s">
        <v>1</v>
      </c>
      <c r="L167" s="1"/>
    </row>
    <row r="168" spans="1:12" ht="15.95" customHeight="1" x14ac:dyDescent="0.25">
      <c r="A168" s="10">
        <v>23</v>
      </c>
      <c r="B168" s="107" t="s">
        <v>1968</v>
      </c>
      <c r="C168" s="161" t="s">
        <v>1734</v>
      </c>
      <c r="D168" s="162" t="s">
        <v>1</v>
      </c>
      <c r="E168" s="1"/>
      <c r="H168" s="10">
        <v>23</v>
      </c>
      <c r="I168" s="107" t="s">
        <v>1995</v>
      </c>
      <c r="J168" s="161" t="s">
        <v>1767</v>
      </c>
      <c r="K168" s="162" t="s">
        <v>1</v>
      </c>
      <c r="L168" s="1"/>
    </row>
    <row r="169" spans="1:12" ht="15.95" customHeight="1" x14ac:dyDescent="0.25">
      <c r="A169" s="5">
        <v>24</v>
      </c>
      <c r="B169" s="109" t="s">
        <v>1969</v>
      </c>
      <c r="C169" s="161" t="s">
        <v>1733</v>
      </c>
      <c r="D169" s="59" t="s">
        <v>1</v>
      </c>
      <c r="E169" s="1"/>
      <c r="H169" s="5">
        <v>24</v>
      </c>
      <c r="I169" s="107" t="s">
        <v>1996</v>
      </c>
      <c r="J169" s="161" t="s">
        <v>1768</v>
      </c>
      <c r="K169" s="59" t="s">
        <v>1</v>
      </c>
      <c r="L169" s="1"/>
    </row>
    <row r="170" spans="1:12" ht="15.95" customHeight="1" x14ac:dyDescent="0.25">
      <c r="A170" s="10">
        <v>25</v>
      </c>
      <c r="B170" s="110" t="s">
        <v>1970</v>
      </c>
      <c r="C170" s="164" t="s">
        <v>1772</v>
      </c>
      <c r="D170" s="59" t="s">
        <v>0</v>
      </c>
      <c r="E170" s="1"/>
      <c r="H170" s="10">
        <v>25</v>
      </c>
      <c r="I170" s="132" t="s">
        <v>1998</v>
      </c>
      <c r="J170" s="164" t="s">
        <v>1770</v>
      </c>
      <c r="K170" s="59" t="s">
        <v>1</v>
      </c>
      <c r="L170" s="1"/>
    </row>
    <row r="171" spans="1:12" ht="15.95" customHeight="1" x14ac:dyDescent="0.25">
      <c r="A171" s="5">
        <v>26</v>
      </c>
      <c r="B171" s="188" t="s">
        <v>1971</v>
      </c>
      <c r="C171" s="189" t="s">
        <v>1732</v>
      </c>
      <c r="D171" s="59" t="s">
        <v>1</v>
      </c>
      <c r="E171" s="1"/>
      <c r="H171" s="5"/>
      <c r="I171" s="5"/>
      <c r="K171" s="3"/>
      <c r="L171" s="1"/>
    </row>
    <row r="172" spans="1:12" ht="15.95" customHeight="1" x14ac:dyDescent="0.25">
      <c r="A172" s="10">
        <v>27</v>
      </c>
      <c r="B172" s="188" t="s">
        <v>1972</v>
      </c>
      <c r="C172" s="164" t="s">
        <v>1741</v>
      </c>
      <c r="D172" s="166" t="s">
        <v>1</v>
      </c>
      <c r="E172" s="135"/>
      <c r="H172" s="10"/>
      <c r="I172" s="10"/>
      <c r="J172" s="2"/>
      <c r="K172" s="3"/>
      <c r="L172" s="1"/>
    </row>
    <row r="173" spans="1:12" ht="15.95" customHeight="1" x14ac:dyDescent="0.25">
      <c r="A173" s="5"/>
      <c r="B173" s="107"/>
      <c r="C173" s="158"/>
      <c r="D173" s="159"/>
      <c r="E173" s="1"/>
      <c r="H173" s="5"/>
      <c r="I173" s="10"/>
      <c r="J173" s="2"/>
      <c r="K173" s="3"/>
      <c r="L173" s="1"/>
    </row>
    <row r="174" spans="1:12" ht="15.95" hidden="1" customHeight="1" x14ac:dyDescent="0.25">
      <c r="A174" s="10"/>
      <c r="B174" s="1"/>
      <c r="C174" s="1"/>
      <c r="D174" s="1"/>
      <c r="E174" s="1"/>
      <c r="H174" s="99">
        <v>29</v>
      </c>
      <c r="I174" s="99"/>
      <c r="J174" s="100"/>
      <c r="K174" s="101"/>
      <c r="L174" s="102"/>
    </row>
    <row r="175" spans="1:12" ht="15.95" hidden="1" customHeight="1" x14ac:dyDescent="0.25">
      <c r="A175" s="5"/>
      <c r="B175" s="1"/>
      <c r="C175" s="1"/>
      <c r="D175" s="1"/>
      <c r="E175" s="1"/>
      <c r="H175" s="5">
        <v>30</v>
      </c>
      <c r="I175" s="10"/>
      <c r="J175" s="2"/>
      <c r="K175" s="3"/>
      <c r="L175" s="1"/>
    </row>
    <row r="176" spans="1:12" hidden="1" x14ac:dyDescent="0.25">
      <c r="A176" s="10"/>
      <c r="B176" s="1"/>
      <c r="C176" s="1"/>
      <c r="D176" s="1"/>
      <c r="E176" s="1"/>
      <c r="H176" s="10"/>
      <c r="I176" s="10"/>
      <c r="J176" s="2"/>
      <c r="K176" s="3"/>
      <c r="L176" s="1"/>
    </row>
    <row r="178" spans="1:12" x14ac:dyDescent="0.25">
      <c r="A178" s="209" t="s">
        <v>8</v>
      </c>
      <c r="B178" s="209"/>
      <c r="C178" s="22" t="s">
        <v>9</v>
      </c>
      <c r="H178" s="209" t="s">
        <v>8</v>
      </c>
      <c r="I178" s="209"/>
      <c r="J178" s="22" t="s">
        <v>9</v>
      </c>
    </row>
    <row r="179" spans="1:12" x14ac:dyDescent="0.25">
      <c r="B179" s="17" t="s">
        <v>10</v>
      </c>
      <c r="C179" s="21">
        <f>COUNTIF(D146:D175,"L")</f>
        <v>9</v>
      </c>
      <c r="D179" s="208" t="s">
        <v>2416</v>
      </c>
      <c r="E179" s="208"/>
      <c r="I179" s="17" t="s">
        <v>10</v>
      </c>
      <c r="J179" s="21">
        <f>COUNTIF(K146:K176,"L")</f>
        <v>6</v>
      </c>
      <c r="K179" s="208" t="s">
        <v>2416</v>
      </c>
      <c r="L179" s="208"/>
    </row>
    <row r="180" spans="1:12" x14ac:dyDescent="0.25">
      <c r="B180" s="17" t="s">
        <v>11</v>
      </c>
      <c r="C180" s="23">
        <f>COUNTIF(D146:D175,"P")</f>
        <v>18</v>
      </c>
      <c r="D180" s="208" t="s">
        <v>12</v>
      </c>
      <c r="E180" s="208"/>
      <c r="I180" s="17" t="s">
        <v>11</v>
      </c>
      <c r="J180" s="23">
        <f>COUNTIF(K146:K176,"P")</f>
        <v>19</v>
      </c>
      <c r="K180" s="208" t="s">
        <v>12</v>
      </c>
      <c r="L180" s="208"/>
    </row>
    <row r="181" spans="1:12" x14ac:dyDescent="0.25">
      <c r="B181" s="30" t="s">
        <v>20</v>
      </c>
      <c r="C181" s="29">
        <f>C179+C180</f>
        <v>27</v>
      </c>
      <c r="D181" s="18"/>
      <c r="E181" s="18"/>
      <c r="I181" s="30" t="s">
        <v>20</v>
      </c>
      <c r="J181" s="29">
        <f>J179+J180</f>
        <v>25</v>
      </c>
      <c r="K181" s="18"/>
      <c r="L181" s="18"/>
    </row>
    <row r="184" spans="1:12" x14ac:dyDescent="0.25">
      <c r="D184" s="208" t="s">
        <v>13</v>
      </c>
      <c r="E184" s="208"/>
      <c r="K184" s="208" t="s">
        <v>13</v>
      </c>
      <c r="L184" s="208"/>
    </row>
    <row r="185" spans="1:12" x14ac:dyDescent="0.25">
      <c r="D185" t="s">
        <v>14</v>
      </c>
      <c r="K185" t="s">
        <v>14</v>
      </c>
    </row>
    <row r="190" spans="1:12" x14ac:dyDescent="0.25">
      <c r="B190" s="67" t="s">
        <v>1527</v>
      </c>
      <c r="C190" s="68">
        <f>J181+C181+J134+C134+J87+C87+J41+C41</f>
        <v>229</v>
      </c>
    </row>
    <row r="193" spans="2:3" ht="15.75" x14ac:dyDescent="0.25">
      <c r="B193" s="77" t="s">
        <v>32</v>
      </c>
      <c r="C193" s="78">
        <f>J179+C179+J132+C132+J85+C85+J39+C39</f>
        <v>115</v>
      </c>
    </row>
    <row r="194" spans="2:3" ht="15.75" x14ac:dyDescent="0.25">
      <c r="B194" s="77" t="s">
        <v>33</v>
      </c>
      <c r="C194" s="78">
        <f>J180+C180+J133+C133+J86+C86+J40+C40</f>
        <v>114</v>
      </c>
    </row>
    <row r="195" spans="2:3" ht="15.75" x14ac:dyDescent="0.25">
      <c r="B195" s="77"/>
      <c r="C195" s="78">
        <f>C193+C194</f>
        <v>229</v>
      </c>
    </row>
  </sheetData>
  <sortState xmlns:xlrd2="http://schemas.microsoft.com/office/spreadsheetml/2017/richdata2" ref="I52:L80">
    <sortCondition ref="J52:J80"/>
  </sortState>
  <mergeCells count="48">
    <mergeCell ref="A47:E47"/>
    <mergeCell ref="G47:L47"/>
    <mergeCell ref="A1:E1"/>
    <mergeCell ref="H1:M1"/>
    <mergeCell ref="A2:E2"/>
    <mergeCell ref="H2:M2"/>
    <mergeCell ref="A3:E3"/>
    <mergeCell ref="H3:M3"/>
    <mergeCell ref="A38:B38"/>
    <mergeCell ref="D39:E39"/>
    <mergeCell ref="K39:L39"/>
    <mergeCell ref="D40:E40"/>
    <mergeCell ref="D44:E44"/>
    <mergeCell ref="A95:E95"/>
    <mergeCell ref="G95:L95"/>
    <mergeCell ref="A48:E48"/>
    <mergeCell ref="G48:L48"/>
    <mergeCell ref="A49:E49"/>
    <mergeCell ref="H49:L49"/>
    <mergeCell ref="A84:B84"/>
    <mergeCell ref="D85:E85"/>
    <mergeCell ref="K85:L85"/>
    <mergeCell ref="D86:E86"/>
    <mergeCell ref="K86:L86"/>
    <mergeCell ref="D90:E90"/>
    <mergeCell ref="A94:E94"/>
    <mergeCell ref="G94:L94"/>
    <mergeCell ref="A143:E143"/>
    <mergeCell ref="H143:L143"/>
    <mergeCell ref="A96:E96"/>
    <mergeCell ref="H96:L96"/>
    <mergeCell ref="A131:B131"/>
    <mergeCell ref="D132:E132"/>
    <mergeCell ref="K132:L132"/>
    <mergeCell ref="D133:E133"/>
    <mergeCell ref="D138:E138"/>
    <mergeCell ref="A141:E141"/>
    <mergeCell ref="H141:L141"/>
    <mergeCell ref="A142:E142"/>
    <mergeCell ref="H142:L142"/>
    <mergeCell ref="D184:E184"/>
    <mergeCell ref="K184:L184"/>
    <mergeCell ref="A178:B178"/>
    <mergeCell ref="H178:I178"/>
    <mergeCell ref="D179:E179"/>
    <mergeCell ref="K179:L179"/>
    <mergeCell ref="D180:E180"/>
    <mergeCell ref="K180:L180"/>
  </mergeCells>
  <pageMargins left="0.51181102362204722" right="0.31496062992125984" top="0.55118110236220474" bottom="0.23622047244094491" header="0.31496062992125984" footer="0.31496062992125984"/>
  <pageSetup paperSize="5" scale="80" orientation="landscape" horizontalDpi="4294967293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B88DC-A166-404C-970F-3A2BBA41ED6E}">
  <dimension ref="A1:P193"/>
  <sheetViews>
    <sheetView topLeftCell="B184" zoomScale="99" zoomScaleNormal="99" workbookViewId="0">
      <selection activeCell="J114" sqref="J114"/>
    </sheetView>
  </sheetViews>
  <sheetFormatPr defaultRowHeight="15" x14ac:dyDescent="0.25"/>
  <cols>
    <col min="1" max="1" width="5.140625" customWidth="1"/>
    <col min="2" max="2" width="22.7109375" customWidth="1"/>
    <col min="3" max="3" width="40" customWidth="1"/>
    <col min="4" max="4" width="9" customWidth="1"/>
    <col min="5" max="5" width="16.85546875" customWidth="1"/>
    <col min="6" max="6" width="3.7109375" customWidth="1"/>
    <col min="7" max="7" width="3.7109375" style="15" customWidth="1"/>
    <col min="8" max="8" width="6.42578125" customWidth="1"/>
    <col min="9" max="9" width="22.28515625" customWidth="1"/>
    <col min="10" max="10" width="40" customWidth="1"/>
    <col min="11" max="11" width="9" customWidth="1"/>
    <col min="12" max="12" width="16.85546875" customWidth="1"/>
  </cols>
  <sheetData>
    <row r="1" spans="1:13" ht="15.75" x14ac:dyDescent="0.25">
      <c r="A1" s="210" t="s">
        <v>670</v>
      </c>
      <c r="B1" s="210"/>
      <c r="C1" s="210"/>
      <c r="D1" s="210"/>
      <c r="E1" s="210"/>
      <c r="H1" s="210" t="s">
        <v>670</v>
      </c>
      <c r="I1" s="210"/>
      <c r="J1" s="210"/>
      <c r="K1" s="210"/>
      <c r="L1" s="210"/>
      <c r="M1" s="210"/>
    </row>
    <row r="2" spans="1:13" ht="15.75" x14ac:dyDescent="0.25">
      <c r="A2" s="210" t="s">
        <v>2015</v>
      </c>
      <c r="B2" s="210"/>
      <c r="C2" s="210"/>
      <c r="D2" s="210"/>
      <c r="E2" s="210"/>
      <c r="H2" s="210" t="s">
        <v>2015</v>
      </c>
      <c r="I2" s="210"/>
      <c r="J2" s="210"/>
      <c r="K2" s="210"/>
      <c r="L2" s="210"/>
      <c r="M2" s="210"/>
    </row>
    <row r="3" spans="1:13" ht="15.75" x14ac:dyDescent="0.25">
      <c r="A3" s="210" t="s">
        <v>15</v>
      </c>
      <c r="B3" s="210"/>
      <c r="C3" s="210"/>
      <c r="D3" s="210"/>
      <c r="E3" s="210"/>
      <c r="H3" s="210" t="s">
        <v>16</v>
      </c>
      <c r="I3" s="210"/>
      <c r="J3" s="210"/>
      <c r="K3" s="210"/>
      <c r="L3" s="210"/>
      <c r="M3" s="210"/>
    </row>
    <row r="4" spans="1:13" x14ac:dyDescent="0.25">
      <c r="A4" s="6"/>
      <c r="B4" s="6"/>
      <c r="C4" s="6"/>
      <c r="D4" s="6"/>
    </row>
    <row r="5" spans="1:13" s="14" customFormat="1" ht="15.75" x14ac:dyDescent="0.25">
      <c r="A5" s="13" t="s">
        <v>2</v>
      </c>
      <c r="B5" s="13" t="s">
        <v>3</v>
      </c>
      <c r="C5" s="13" t="s">
        <v>4</v>
      </c>
      <c r="D5" s="13" t="s">
        <v>5</v>
      </c>
      <c r="E5" s="13" t="s">
        <v>6</v>
      </c>
      <c r="G5" s="16"/>
      <c r="H5" s="13" t="s">
        <v>2</v>
      </c>
      <c r="I5" s="13" t="s">
        <v>3</v>
      </c>
      <c r="J5" s="13" t="s">
        <v>7</v>
      </c>
      <c r="K5" s="13" t="s">
        <v>5</v>
      </c>
      <c r="L5" s="13" t="s">
        <v>6</v>
      </c>
    </row>
    <row r="6" spans="1:13" x14ac:dyDescent="0.25">
      <c r="A6" s="10">
        <v>1</v>
      </c>
      <c r="B6" s="107" t="s">
        <v>1336</v>
      </c>
      <c r="C6" s="7" t="s">
        <v>1186</v>
      </c>
      <c r="D6" s="8" t="s">
        <v>0</v>
      </c>
      <c r="E6" s="1"/>
      <c r="H6" s="5">
        <v>1</v>
      </c>
      <c r="I6" s="107" t="s">
        <v>1364</v>
      </c>
      <c r="J6" s="2" t="s">
        <v>1207</v>
      </c>
      <c r="K6" s="11" t="s">
        <v>1</v>
      </c>
      <c r="L6" s="1"/>
    </row>
    <row r="7" spans="1:13" x14ac:dyDescent="0.25">
      <c r="A7" s="5">
        <v>2</v>
      </c>
      <c r="B7" s="107" t="s">
        <v>1472</v>
      </c>
      <c r="C7" s="2" t="s">
        <v>1148</v>
      </c>
      <c r="D7" s="3" t="s">
        <v>0</v>
      </c>
      <c r="E7" s="1"/>
      <c r="H7" s="5">
        <v>2</v>
      </c>
      <c r="I7" s="107" t="s">
        <v>1470</v>
      </c>
      <c r="J7" s="2" t="s">
        <v>1153</v>
      </c>
      <c r="K7" s="11" t="s">
        <v>1</v>
      </c>
      <c r="L7" s="1"/>
    </row>
    <row r="8" spans="1:13" x14ac:dyDescent="0.25">
      <c r="A8" s="10">
        <v>3</v>
      </c>
      <c r="B8" s="108" t="s">
        <v>1552</v>
      </c>
      <c r="C8" s="1" t="s">
        <v>1551</v>
      </c>
      <c r="D8" s="5" t="s">
        <v>0</v>
      </c>
      <c r="E8" s="1"/>
      <c r="H8" s="5">
        <v>3</v>
      </c>
      <c r="I8" s="107" t="s">
        <v>1471</v>
      </c>
      <c r="J8" s="4" t="s">
        <v>1280</v>
      </c>
      <c r="K8" s="12" t="s">
        <v>1</v>
      </c>
      <c r="L8" s="1"/>
    </row>
    <row r="9" spans="1:13" x14ac:dyDescent="0.25">
      <c r="A9" s="5">
        <v>4</v>
      </c>
      <c r="B9" s="107" t="s">
        <v>1337</v>
      </c>
      <c r="C9" s="2" t="s">
        <v>1323</v>
      </c>
      <c r="D9" s="3" t="s">
        <v>0</v>
      </c>
      <c r="E9" s="1"/>
      <c r="H9" s="5">
        <v>4</v>
      </c>
      <c r="I9" s="107" t="s">
        <v>1365</v>
      </c>
      <c r="J9" s="2" t="s">
        <v>1208</v>
      </c>
      <c r="K9" s="11" t="s">
        <v>1</v>
      </c>
      <c r="L9" s="1"/>
    </row>
    <row r="10" spans="1:13" x14ac:dyDescent="0.25">
      <c r="A10" s="10">
        <v>5</v>
      </c>
      <c r="B10" s="107" t="s">
        <v>1338</v>
      </c>
      <c r="C10" s="2" t="s">
        <v>1187</v>
      </c>
      <c r="D10" s="3" t="s">
        <v>1</v>
      </c>
      <c r="E10" s="1"/>
      <c r="H10" s="5">
        <v>5</v>
      </c>
      <c r="I10" s="107" t="s">
        <v>1366</v>
      </c>
      <c r="J10" s="2" t="s">
        <v>1209</v>
      </c>
      <c r="K10" s="11" t="s">
        <v>0</v>
      </c>
      <c r="L10" s="1"/>
    </row>
    <row r="11" spans="1:13" x14ac:dyDescent="0.25">
      <c r="A11" s="5">
        <v>6</v>
      </c>
      <c r="B11" s="107" t="s">
        <v>1339</v>
      </c>
      <c r="C11" s="2" t="s">
        <v>1188</v>
      </c>
      <c r="D11" s="3" t="s">
        <v>1</v>
      </c>
      <c r="E11" s="1"/>
      <c r="H11" s="5">
        <v>6</v>
      </c>
      <c r="I11" s="107" t="s">
        <v>1367</v>
      </c>
      <c r="J11" s="2" t="s">
        <v>1210</v>
      </c>
      <c r="K11" s="11" t="s">
        <v>0</v>
      </c>
      <c r="L11" s="1"/>
    </row>
    <row r="12" spans="1:13" x14ac:dyDescent="0.25">
      <c r="A12" s="10">
        <v>7</v>
      </c>
      <c r="B12" s="107" t="s">
        <v>1340</v>
      </c>
      <c r="C12" s="2" t="s">
        <v>1189</v>
      </c>
      <c r="D12" s="3" t="s">
        <v>0</v>
      </c>
      <c r="E12" s="1"/>
      <c r="H12" s="5">
        <v>7</v>
      </c>
      <c r="I12" s="107" t="s">
        <v>1368</v>
      </c>
      <c r="J12" s="2" t="s">
        <v>1174</v>
      </c>
      <c r="K12" s="11" t="s">
        <v>0</v>
      </c>
      <c r="L12" s="1"/>
    </row>
    <row r="13" spans="1:13" x14ac:dyDescent="0.25">
      <c r="A13" s="5">
        <v>8</v>
      </c>
      <c r="B13" s="107" t="s">
        <v>1341</v>
      </c>
      <c r="C13" s="2" t="s">
        <v>1180</v>
      </c>
      <c r="D13" s="3" t="s">
        <v>1</v>
      </c>
      <c r="E13" s="1"/>
      <c r="H13" s="5">
        <v>8</v>
      </c>
      <c r="I13" s="40" t="s">
        <v>1369</v>
      </c>
      <c r="J13" s="1" t="s">
        <v>1185</v>
      </c>
      <c r="K13" s="114" t="s">
        <v>0</v>
      </c>
      <c r="L13" s="1"/>
    </row>
    <row r="14" spans="1:13" x14ac:dyDescent="0.25">
      <c r="A14" s="10">
        <v>9</v>
      </c>
      <c r="B14" s="107" t="s">
        <v>1342</v>
      </c>
      <c r="C14" s="2" t="s">
        <v>1183</v>
      </c>
      <c r="D14" s="3" t="s">
        <v>1</v>
      </c>
      <c r="E14" s="1"/>
      <c r="H14" s="5">
        <v>9</v>
      </c>
      <c r="I14" s="107" t="s">
        <v>1370</v>
      </c>
      <c r="J14" s="2" t="s">
        <v>1211</v>
      </c>
      <c r="K14" s="11" t="s">
        <v>1</v>
      </c>
      <c r="L14" s="1"/>
    </row>
    <row r="15" spans="1:13" x14ac:dyDescent="0.25">
      <c r="A15" s="5">
        <v>10</v>
      </c>
      <c r="B15" s="107" t="s">
        <v>1345</v>
      </c>
      <c r="C15" s="2" t="s">
        <v>1192</v>
      </c>
      <c r="D15" s="3" t="s">
        <v>0</v>
      </c>
      <c r="E15" s="1"/>
      <c r="H15" s="5">
        <v>10</v>
      </c>
      <c r="I15" s="107" t="s">
        <v>1371</v>
      </c>
      <c r="J15" s="2" t="s">
        <v>1212</v>
      </c>
      <c r="K15" s="11" t="s">
        <v>0</v>
      </c>
      <c r="L15" s="1"/>
    </row>
    <row r="16" spans="1:13" x14ac:dyDescent="0.25">
      <c r="A16" s="10">
        <v>11</v>
      </c>
      <c r="B16" s="107" t="s">
        <v>1474</v>
      </c>
      <c r="C16" s="2" t="s">
        <v>1152</v>
      </c>
      <c r="D16" s="3" t="s">
        <v>0</v>
      </c>
      <c r="E16" s="1"/>
      <c r="H16" s="5">
        <v>11</v>
      </c>
      <c r="I16" s="107" t="s">
        <v>1372</v>
      </c>
      <c r="J16" s="4" t="s">
        <v>1213</v>
      </c>
      <c r="K16" s="12" t="s">
        <v>1</v>
      </c>
      <c r="L16" s="1"/>
    </row>
    <row r="17" spans="1:12" x14ac:dyDescent="0.25">
      <c r="A17" s="5">
        <v>12</v>
      </c>
      <c r="B17" s="107" t="s">
        <v>1475</v>
      </c>
      <c r="C17" s="2" t="s">
        <v>1281</v>
      </c>
      <c r="D17" s="5" t="s">
        <v>0</v>
      </c>
      <c r="E17" s="1"/>
      <c r="H17" s="5">
        <v>12</v>
      </c>
      <c r="I17" s="107" t="s">
        <v>1373</v>
      </c>
      <c r="J17" s="2" t="s">
        <v>1214</v>
      </c>
      <c r="K17" s="11" t="s">
        <v>0</v>
      </c>
      <c r="L17" s="1"/>
    </row>
    <row r="18" spans="1:12" x14ac:dyDescent="0.25">
      <c r="A18" s="10">
        <v>13</v>
      </c>
      <c r="B18" s="107" t="s">
        <v>1346</v>
      </c>
      <c r="C18" s="2" t="s">
        <v>1182</v>
      </c>
      <c r="D18" s="3" t="s">
        <v>1</v>
      </c>
      <c r="E18" s="1"/>
      <c r="H18" s="5">
        <v>13</v>
      </c>
      <c r="I18" s="107" t="s">
        <v>1374</v>
      </c>
      <c r="J18" s="2" t="s">
        <v>1175</v>
      </c>
      <c r="K18" s="11" t="s">
        <v>0</v>
      </c>
      <c r="L18" s="1"/>
    </row>
    <row r="19" spans="1:12" x14ac:dyDescent="0.25">
      <c r="A19" s="5">
        <v>14</v>
      </c>
      <c r="B19" s="107" t="s">
        <v>1347</v>
      </c>
      <c r="C19" s="2" t="s">
        <v>1193</v>
      </c>
      <c r="D19" s="3" t="s">
        <v>1</v>
      </c>
      <c r="E19" s="1"/>
      <c r="H19" s="5">
        <v>14</v>
      </c>
      <c r="I19" s="107" t="s">
        <v>1375</v>
      </c>
      <c r="J19" s="2" t="s">
        <v>1215</v>
      </c>
      <c r="K19" s="11" t="s">
        <v>0</v>
      </c>
      <c r="L19" s="1"/>
    </row>
    <row r="20" spans="1:12" x14ac:dyDescent="0.25">
      <c r="A20" s="10">
        <v>15</v>
      </c>
      <c r="B20" s="107" t="s">
        <v>1348</v>
      </c>
      <c r="C20" s="25" t="s">
        <v>1194</v>
      </c>
      <c r="D20" s="3" t="s">
        <v>1</v>
      </c>
      <c r="E20" s="1"/>
      <c r="H20" s="5">
        <v>15</v>
      </c>
      <c r="I20" s="107" t="s">
        <v>1376</v>
      </c>
      <c r="J20" s="2" t="s">
        <v>1216</v>
      </c>
      <c r="K20" s="11" t="s">
        <v>0</v>
      </c>
      <c r="L20" s="1"/>
    </row>
    <row r="21" spans="1:12" x14ac:dyDescent="0.25">
      <c r="A21" s="5">
        <v>16</v>
      </c>
      <c r="B21" s="108" t="s">
        <v>1476</v>
      </c>
      <c r="C21" s="4" t="s">
        <v>1283</v>
      </c>
      <c r="D21" s="5" t="s">
        <v>0</v>
      </c>
      <c r="E21" s="1"/>
      <c r="H21" s="5">
        <v>16</v>
      </c>
      <c r="I21" s="107" t="s">
        <v>1377</v>
      </c>
      <c r="J21" s="2" t="s">
        <v>1217</v>
      </c>
      <c r="K21" s="11" t="s">
        <v>0</v>
      </c>
      <c r="L21" s="1"/>
    </row>
    <row r="22" spans="1:12" x14ac:dyDescent="0.25">
      <c r="A22" s="10">
        <v>17</v>
      </c>
      <c r="B22" s="107" t="s">
        <v>1349</v>
      </c>
      <c r="C22" s="4" t="s">
        <v>1195</v>
      </c>
      <c r="D22" s="3" t="s">
        <v>0</v>
      </c>
      <c r="E22" s="1"/>
      <c r="H22" s="5">
        <v>17</v>
      </c>
      <c r="I22" s="107" t="s">
        <v>1378</v>
      </c>
      <c r="J22" s="2" t="s">
        <v>1218</v>
      </c>
      <c r="K22" s="11" t="s">
        <v>0</v>
      </c>
      <c r="L22" s="1"/>
    </row>
    <row r="23" spans="1:12" x14ac:dyDescent="0.25">
      <c r="A23" s="5">
        <v>18</v>
      </c>
      <c r="B23" s="107" t="s">
        <v>1350</v>
      </c>
      <c r="C23" s="2" t="s">
        <v>1196</v>
      </c>
      <c r="D23" s="3" t="s">
        <v>1</v>
      </c>
      <c r="E23" s="1"/>
      <c r="H23" s="5">
        <v>18</v>
      </c>
      <c r="I23" s="107" t="s">
        <v>1379</v>
      </c>
      <c r="J23" s="2" t="s">
        <v>1219</v>
      </c>
      <c r="K23" s="11" t="s">
        <v>0</v>
      </c>
      <c r="L23" s="1"/>
    </row>
    <row r="24" spans="1:12" x14ac:dyDescent="0.25">
      <c r="A24" s="10">
        <v>19</v>
      </c>
      <c r="B24" s="108" t="s">
        <v>1351</v>
      </c>
      <c r="C24" s="2" t="s">
        <v>1197</v>
      </c>
      <c r="D24" s="3" t="s">
        <v>0</v>
      </c>
      <c r="E24" s="1"/>
      <c r="H24" s="5">
        <v>19</v>
      </c>
      <c r="I24" s="107" t="s">
        <v>1380</v>
      </c>
      <c r="J24" s="2" t="s">
        <v>1220</v>
      </c>
      <c r="K24" s="3" t="s">
        <v>1</v>
      </c>
      <c r="L24" s="1"/>
    </row>
    <row r="25" spans="1:12" x14ac:dyDescent="0.25">
      <c r="A25" s="5">
        <v>20</v>
      </c>
      <c r="B25" s="107" t="s">
        <v>1352</v>
      </c>
      <c r="C25" s="2" t="s">
        <v>1198</v>
      </c>
      <c r="D25" s="3" t="s">
        <v>0</v>
      </c>
      <c r="E25" s="1"/>
      <c r="H25" s="5">
        <v>20</v>
      </c>
      <c r="I25" s="107" t="s">
        <v>1381</v>
      </c>
      <c r="J25" s="2" t="s">
        <v>1221</v>
      </c>
      <c r="K25" s="11" t="s">
        <v>1</v>
      </c>
      <c r="L25" s="1"/>
    </row>
    <row r="26" spans="1:12" x14ac:dyDescent="0.25">
      <c r="A26" s="10">
        <v>21</v>
      </c>
      <c r="B26" s="107" t="s">
        <v>1353</v>
      </c>
      <c r="C26" s="2" t="s">
        <v>1199</v>
      </c>
      <c r="D26" s="3" t="s">
        <v>0</v>
      </c>
      <c r="E26" s="1"/>
      <c r="H26" s="5">
        <v>21</v>
      </c>
      <c r="I26" s="107" t="s">
        <v>1383</v>
      </c>
      <c r="J26" s="2" t="s">
        <v>1176</v>
      </c>
      <c r="K26" s="11" t="s">
        <v>0</v>
      </c>
      <c r="L26" s="1"/>
    </row>
    <row r="27" spans="1:12" x14ac:dyDescent="0.25">
      <c r="A27" s="5">
        <v>22</v>
      </c>
      <c r="B27" s="107" t="s">
        <v>1354</v>
      </c>
      <c r="C27" s="2" t="s">
        <v>1200</v>
      </c>
      <c r="D27" s="3" t="s">
        <v>1</v>
      </c>
      <c r="E27" s="1"/>
      <c r="H27" s="5">
        <v>22</v>
      </c>
      <c r="I27" s="107" t="s">
        <v>1384</v>
      </c>
      <c r="J27" s="2" t="s">
        <v>1223</v>
      </c>
      <c r="K27" s="11" t="s">
        <v>1</v>
      </c>
      <c r="L27" s="1"/>
    </row>
    <row r="28" spans="1:12" x14ac:dyDescent="0.25">
      <c r="A28" s="10">
        <v>23</v>
      </c>
      <c r="B28" s="107" t="s">
        <v>1355</v>
      </c>
      <c r="C28" s="2" t="s">
        <v>1324</v>
      </c>
      <c r="D28" s="3" t="s">
        <v>1</v>
      </c>
      <c r="E28" s="1"/>
      <c r="H28" s="5">
        <v>23</v>
      </c>
      <c r="I28" s="107" t="s">
        <v>1385</v>
      </c>
      <c r="J28" s="28" t="s">
        <v>1528</v>
      </c>
      <c r="K28" s="11" t="s">
        <v>1</v>
      </c>
      <c r="L28" s="1"/>
    </row>
    <row r="29" spans="1:12" x14ac:dyDescent="0.25">
      <c r="A29" s="5">
        <v>24</v>
      </c>
      <c r="B29" s="107" t="s">
        <v>1356</v>
      </c>
      <c r="C29" s="2" t="s">
        <v>1179</v>
      </c>
      <c r="D29" s="3" t="s">
        <v>0</v>
      </c>
      <c r="E29" s="1"/>
      <c r="H29" s="5">
        <v>24</v>
      </c>
      <c r="I29" s="108" t="s">
        <v>1386</v>
      </c>
      <c r="J29" s="2" t="s">
        <v>1524</v>
      </c>
      <c r="K29" s="3" t="s">
        <v>0</v>
      </c>
      <c r="L29" s="1"/>
    </row>
    <row r="30" spans="1:12" x14ac:dyDescent="0.25">
      <c r="A30" s="10">
        <v>25</v>
      </c>
      <c r="B30" s="148" t="s">
        <v>1488</v>
      </c>
      <c r="C30" s="146" t="s">
        <v>1294</v>
      </c>
      <c r="D30" s="145" t="s">
        <v>0</v>
      </c>
      <c r="E30" s="1"/>
      <c r="H30" s="5">
        <v>25</v>
      </c>
      <c r="I30" s="107" t="s">
        <v>1388</v>
      </c>
      <c r="J30" s="4" t="s">
        <v>1225</v>
      </c>
      <c r="K30" s="12" t="s">
        <v>0</v>
      </c>
      <c r="L30" s="1"/>
    </row>
    <row r="31" spans="1:12" x14ac:dyDescent="0.25">
      <c r="A31" s="5">
        <v>26</v>
      </c>
      <c r="B31" s="107" t="s">
        <v>1358</v>
      </c>
      <c r="C31" s="2" t="s">
        <v>1202</v>
      </c>
      <c r="D31" s="3" t="s">
        <v>0</v>
      </c>
      <c r="E31" s="1"/>
      <c r="H31" s="5">
        <v>26</v>
      </c>
      <c r="I31" s="109" t="s">
        <v>1389</v>
      </c>
      <c r="J31" s="2" t="s">
        <v>1177</v>
      </c>
      <c r="K31" s="3" t="s">
        <v>0</v>
      </c>
      <c r="L31" s="1"/>
    </row>
    <row r="32" spans="1:12" x14ac:dyDescent="0.25">
      <c r="A32" s="10">
        <v>27</v>
      </c>
      <c r="B32" s="107" t="s">
        <v>1361</v>
      </c>
      <c r="C32" s="2" t="s">
        <v>1204</v>
      </c>
      <c r="D32" s="3" t="s">
        <v>0</v>
      </c>
      <c r="E32" s="1"/>
      <c r="H32" s="5">
        <v>27</v>
      </c>
      <c r="I32" s="107" t="s">
        <v>1493</v>
      </c>
      <c r="J32" s="2" t="s">
        <v>1298</v>
      </c>
      <c r="K32" s="11" t="s">
        <v>0</v>
      </c>
      <c r="L32" s="1"/>
    </row>
    <row r="33" spans="1:13" x14ac:dyDescent="0.25">
      <c r="A33" s="5">
        <v>28</v>
      </c>
      <c r="B33" s="109" t="s">
        <v>1362</v>
      </c>
      <c r="C33" s="2" t="s">
        <v>1205</v>
      </c>
      <c r="D33" s="3" t="s">
        <v>1</v>
      </c>
      <c r="E33" s="1"/>
      <c r="H33" s="5">
        <v>28</v>
      </c>
      <c r="I33" s="109" t="s">
        <v>1390</v>
      </c>
      <c r="J33" s="2" t="s">
        <v>1178</v>
      </c>
      <c r="K33" s="3" t="s">
        <v>1</v>
      </c>
      <c r="L33" s="1"/>
    </row>
    <row r="34" spans="1:13" x14ac:dyDescent="0.25">
      <c r="A34" s="10">
        <v>29</v>
      </c>
      <c r="B34" s="132" t="s">
        <v>1363</v>
      </c>
      <c r="C34" s="2" t="s">
        <v>1206</v>
      </c>
      <c r="D34" s="3" t="s">
        <v>0</v>
      </c>
      <c r="E34" s="1"/>
      <c r="H34" s="5">
        <v>29</v>
      </c>
      <c r="I34" s="109" t="s">
        <v>1391</v>
      </c>
      <c r="J34" s="118" t="s">
        <v>1226</v>
      </c>
      <c r="K34" s="131" t="s">
        <v>1</v>
      </c>
      <c r="L34" s="1"/>
    </row>
    <row r="35" spans="1:13" x14ac:dyDescent="0.25">
      <c r="A35" s="5"/>
      <c r="B35" s="5"/>
      <c r="H35" s="5">
        <v>30</v>
      </c>
      <c r="I35" s="132" t="s">
        <v>2395</v>
      </c>
      <c r="J35" s="2" t="s">
        <v>2010</v>
      </c>
      <c r="K35" s="9" t="s">
        <v>0</v>
      </c>
      <c r="L35" s="1"/>
    </row>
    <row r="36" spans="1:13" x14ac:dyDescent="0.25">
      <c r="A36" s="10"/>
      <c r="B36" s="10"/>
      <c r="C36" s="2"/>
      <c r="D36" s="3"/>
      <c r="E36" s="1"/>
      <c r="H36" s="5"/>
      <c r="I36" s="40"/>
      <c r="J36" s="40"/>
      <c r="K36" s="10"/>
      <c r="L36" s="1"/>
    </row>
    <row r="37" spans="1:13" x14ac:dyDescent="0.25">
      <c r="H37" s="18"/>
    </row>
    <row r="38" spans="1:13" x14ac:dyDescent="0.25">
      <c r="A38" s="209" t="s">
        <v>8</v>
      </c>
      <c r="B38" s="209"/>
      <c r="C38" s="22" t="s">
        <v>9</v>
      </c>
      <c r="H38" s="6" t="s">
        <v>21</v>
      </c>
      <c r="I38" s="6"/>
      <c r="J38" s="22" t="s">
        <v>9</v>
      </c>
    </row>
    <row r="39" spans="1:13" x14ac:dyDescent="0.25">
      <c r="B39" s="17" t="s">
        <v>10</v>
      </c>
      <c r="C39" s="21">
        <f>COUNTIF(D6:D36,"L")</f>
        <v>18</v>
      </c>
      <c r="D39" s="208" t="s">
        <v>2017</v>
      </c>
      <c r="E39" s="208"/>
      <c r="F39" s="20"/>
      <c r="G39" s="32"/>
      <c r="I39" s="17" t="s">
        <v>10</v>
      </c>
      <c r="J39" s="23">
        <f>COUNTIF(K6:K36,"L")</f>
        <v>18</v>
      </c>
      <c r="K39" s="208" t="s">
        <v>2017</v>
      </c>
      <c r="L39" s="208"/>
    </row>
    <row r="40" spans="1:13" x14ac:dyDescent="0.25">
      <c r="B40" s="17" t="s">
        <v>11</v>
      </c>
      <c r="C40" s="23">
        <f>COUNTIF(D6:D36,"P")</f>
        <v>11</v>
      </c>
      <c r="D40" s="208" t="s">
        <v>12</v>
      </c>
      <c r="E40" s="208"/>
      <c r="F40" s="20"/>
      <c r="I40" s="17" t="s">
        <v>11</v>
      </c>
      <c r="J40" s="23">
        <f>COUNTIF(K6:K36,"P")</f>
        <v>12</v>
      </c>
      <c r="K40" s="18" t="s">
        <v>12</v>
      </c>
      <c r="L40" s="18"/>
      <c r="M40" s="19"/>
    </row>
    <row r="41" spans="1:13" x14ac:dyDescent="0.25">
      <c r="B41" s="30" t="s">
        <v>20</v>
      </c>
      <c r="C41" s="29">
        <f>C39+C40</f>
        <v>29</v>
      </c>
      <c r="D41" s="18"/>
      <c r="E41" s="18"/>
      <c r="F41" s="18"/>
      <c r="I41" s="30" t="s">
        <v>20</v>
      </c>
      <c r="J41" s="29">
        <f>J39+J40</f>
        <v>30</v>
      </c>
      <c r="K41" s="18"/>
      <c r="L41" s="18"/>
      <c r="M41" s="19"/>
    </row>
    <row r="42" spans="1:13" x14ac:dyDescent="0.25">
      <c r="M42" s="18"/>
    </row>
    <row r="43" spans="1:13" x14ac:dyDescent="0.25">
      <c r="K43" s="19" t="s">
        <v>13</v>
      </c>
      <c r="L43" s="19"/>
    </row>
    <row r="44" spans="1:13" x14ac:dyDescent="0.25">
      <c r="D44" s="208" t="s">
        <v>13</v>
      </c>
      <c r="E44" s="208"/>
      <c r="F44" s="20"/>
      <c r="K44" t="s">
        <v>14</v>
      </c>
    </row>
    <row r="45" spans="1:13" x14ac:dyDescent="0.25">
      <c r="D45" t="s">
        <v>14</v>
      </c>
      <c r="M45" s="19"/>
    </row>
    <row r="47" spans="1:13" ht="15.75" x14ac:dyDescent="0.25">
      <c r="A47" s="210" t="s">
        <v>670</v>
      </c>
      <c r="B47" s="210"/>
      <c r="C47" s="210"/>
      <c r="D47" s="210"/>
      <c r="E47" s="210"/>
      <c r="G47" s="211" t="s">
        <v>670</v>
      </c>
      <c r="H47" s="210"/>
      <c r="I47" s="210"/>
      <c r="J47" s="210"/>
      <c r="K47" s="210"/>
      <c r="L47" s="210"/>
    </row>
    <row r="48" spans="1:13" ht="15.75" x14ac:dyDescent="0.25">
      <c r="A48" s="210" t="s">
        <v>2015</v>
      </c>
      <c r="B48" s="210"/>
      <c r="C48" s="210"/>
      <c r="D48" s="210"/>
      <c r="E48" s="210"/>
      <c r="G48" s="211" t="s">
        <v>2015</v>
      </c>
      <c r="H48" s="210"/>
      <c r="I48" s="210"/>
      <c r="J48" s="210"/>
      <c r="K48" s="210"/>
      <c r="L48" s="210"/>
    </row>
    <row r="49" spans="1:12" ht="15.75" x14ac:dyDescent="0.25">
      <c r="A49" s="210" t="s">
        <v>17</v>
      </c>
      <c r="B49" s="210"/>
      <c r="C49" s="210"/>
      <c r="D49" s="210"/>
      <c r="E49" s="210"/>
      <c r="H49" s="210" t="s">
        <v>18</v>
      </c>
      <c r="I49" s="210"/>
      <c r="J49" s="210"/>
      <c r="K49" s="210"/>
      <c r="L49" s="210"/>
    </row>
    <row r="50" spans="1:12" x14ac:dyDescent="0.25">
      <c r="A50" s="6"/>
      <c r="B50" s="6"/>
      <c r="C50" s="6"/>
      <c r="D50" s="6"/>
      <c r="H50" s="6"/>
      <c r="I50" s="6"/>
      <c r="J50" s="6"/>
      <c r="K50" s="6"/>
    </row>
    <row r="51" spans="1:12" ht="15.95" customHeight="1" x14ac:dyDescent="0.25">
      <c r="A51" s="13" t="s">
        <v>2</v>
      </c>
      <c r="B51" s="13" t="s">
        <v>3</v>
      </c>
      <c r="C51" s="13" t="s">
        <v>7</v>
      </c>
      <c r="D51" s="13" t="s">
        <v>5</v>
      </c>
      <c r="E51" s="13" t="s">
        <v>6</v>
      </c>
      <c r="H51" s="13" t="s">
        <v>2</v>
      </c>
      <c r="I51" s="13" t="s">
        <v>3</v>
      </c>
      <c r="J51" s="13" t="s">
        <v>7</v>
      </c>
      <c r="K51" s="13" t="s">
        <v>5</v>
      </c>
      <c r="L51" s="13" t="s">
        <v>6</v>
      </c>
    </row>
    <row r="52" spans="1:12" ht="15.95" customHeight="1" x14ac:dyDescent="0.25">
      <c r="A52" s="9">
        <v>1</v>
      </c>
      <c r="B52" s="107" t="s">
        <v>1392</v>
      </c>
      <c r="C52" s="2" t="s">
        <v>1227</v>
      </c>
      <c r="D52" s="3" t="s">
        <v>1</v>
      </c>
      <c r="E52" s="1"/>
      <c r="H52" s="9">
        <v>1</v>
      </c>
      <c r="I52" s="107" t="s">
        <v>1417</v>
      </c>
      <c r="J52" s="2" t="s">
        <v>1166</v>
      </c>
      <c r="K52" s="5" t="s">
        <v>0</v>
      </c>
      <c r="L52" s="1"/>
    </row>
    <row r="53" spans="1:12" ht="15.95" customHeight="1" x14ac:dyDescent="0.25">
      <c r="A53" s="9">
        <v>2</v>
      </c>
      <c r="B53" s="107" t="s">
        <v>1393</v>
      </c>
      <c r="C53" s="2" t="s">
        <v>1228</v>
      </c>
      <c r="D53" s="3" t="s">
        <v>0</v>
      </c>
      <c r="E53" s="1"/>
      <c r="H53" s="9">
        <v>2</v>
      </c>
      <c r="I53" s="108" t="s">
        <v>1494</v>
      </c>
      <c r="J53" s="4" t="s">
        <v>1526</v>
      </c>
      <c r="K53" s="9" t="s">
        <v>1</v>
      </c>
      <c r="L53" s="1"/>
    </row>
    <row r="54" spans="1:12" ht="15.95" customHeight="1" x14ac:dyDescent="0.25">
      <c r="A54" s="9">
        <v>3</v>
      </c>
      <c r="B54" s="108" t="s">
        <v>1394</v>
      </c>
      <c r="C54" s="2" t="s">
        <v>1229</v>
      </c>
      <c r="D54" s="3" t="s">
        <v>1</v>
      </c>
      <c r="E54" s="1"/>
      <c r="H54" s="9">
        <v>3</v>
      </c>
      <c r="I54" s="107" t="s">
        <v>1419</v>
      </c>
      <c r="J54" s="2" t="s">
        <v>1247</v>
      </c>
      <c r="K54" s="5" t="s">
        <v>1</v>
      </c>
      <c r="L54" s="1"/>
    </row>
    <row r="55" spans="1:12" ht="15.95" customHeight="1" x14ac:dyDescent="0.25">
      <c r="A55" s="9">
        <v>4</v>
      </c>
      <c r="B55" s="107" t="s">
        <v>1395</v>
      </c>
      <c r="C55" s="2" t="s">
        <v>1170</v>
      </c>
      <c r="D55" s="3" t="s">
        <v>0</v>
      </c>
      <c r="E55" s="1"/>
      <c r="H55" s="9">
        <v>4</v>
      </c>
      <c r="I55" s="108" t="s">
        <v>2392</v>
      </c>
      <c r="J55" s="173" t="s">
        <v>2012</v>
      </c>
      <c r="K55" s="174" t="s">
        <v>1</v>
      </c>
      <c r="L55" s="9" t="s">
        <v>1544</v>
      </c>
    </row>
    <row r="56" spans="1:12" ht="15.95" customHeight="1" x14ac:dyDescent="0.25">
      <c r="A56" s="9">
        <v>5</v>
      </c>
      <c r="B56" s="108" t="s">
        <v>1396</v>
      </c>
      <c r="C56" s="2" t="s">
        <v>1230</v>
      </c>
      <c r="D56" s="3" t="s">
        <v>1</v>
      </c>
      <c r="E56" s="1"/>
      <c r="H56" s="9">
        <v>5</v>
      </c>
      <c r="I56" s="107" t="s">
        <v>1421</v>
      </c>
      <c r="J56" s="2" t="s">
        <v>1248</v>
      </c>
      <c r="K56" s="5" t="s">
        <v>1</v>
      </c>
      <c r="L56" s="1"/>
    </row>
    <row r="57" spans="1:12" ht="15.95" customHeight="1" x14ac:dyDescent="0.25">
      <c r="A57" s="9">
        <v>6</v>
      </c>
      <c r="B57" s="108" t="s">
        <v>1535</v>
      </c>
      <c r="C57" s="2" t="s">
        <v>1282</v>
      </c>
      <c r="D57" s="3" t="s">
        <v>1</v>
      </c>
      <c r="E57" s="1"/>
      <c r="H57" s="9">
        <v>6</v>
      </c>
      <c r="I57" s="107" t="s">
        <v>1422</v>
      </c>
      <c r="J57" s="4" t="s">
        <v>1165</v>
      </c>
      <c r="K57" s="5" t="s">
        <v>0</v>
      </c>
      <c r="L57" s="1"/>
    </row>
    <row r="58" spans="1:12" ht="15.95" customHeight="1" x14ac:dyDescent="0.25">
      <c r="A58" s="9">
        <v>7</v>
      </c>
      <c r="B58" s="108" t="s">
        <v>1477</v>
      </c>
      <c r="C58" s="2" t="s">
        <v>1284</v>
      </c>
      <c r="D58" s="3" t="s">
        <v>1</v>
      </c>
      <c r="E58" s="1"/>
      <c r="H58" s="9">
        <v>7</v>
      </c>
      <c r="I58" s="107" t="s">
        <v>1423</v>
      </c>
      <c r="J58" s="2" t="s">
        <v>1249</v>
      </c>
      <c r="K58" s="5" t="s">
        <v>0</v>
      </c>
      <c r="L58" s="1"/>
    </row>
    <row r="59" spans="1:12" ht="15.95" customHeight="1" x14ac:dyDescent="0.25">
      <c r="A59" s="9">
        <v>8</v>
      </c>
      <c r="B59" s="108" t="s">
        <v>1469</v>
      </c>
      <c r="C59" s="4" t="s">
        <v>1525</v>
      </c>
      <c r="D59" s="3" t="s">
        <v>0</v>
      </c>
      <c r="E59" s="1"/>
      <c r="H59" s="9">
        <v>8</v>
      </c>
      <c r="I59" s="107" t="s">
        <v>1424</v>
      </c>
      <c r="J59" s="4" t="s">
        <v>1250</v>
      </c>
      <c r="K59" s="5" t="s">
        <v>0</v>
      </c>
      <c r="L59" s="1"/>
    </row>
    <row r="60" spans="1:12" ht="15.95" customHeight="1" x14ac:dyDescent="0.25">
      <c r="A60" s="9">
        <v>9</v>
      </c>
      <c r="B60" s="108" t="s">
        <v>1398</v>
      </c>
      <c r="C60" s="2" t="s">
        <v>1232</v>
      </c>
      <c r="D60" s="3" t="s">
        <v>1</v>
      </c>
      <c r="E60" s="1"/>
      <c r="H60" s="9">
        <v>9</v>
      </c>
      <c r="I60" s="107" t="s">
        <v>1425</v>
      </c>
      <c r="J60" s="2" t="s">
        <v>1251</v>
      </c>
      <c r="K60" s="5" t="s">
        <v>1</v>
      </c>
      <c r="L60" s="1"/>
    </row>
    <row r="61" spans="1:12" ht="15.95" customHeight="1" x14ac:dyDescent="0.25">
      <c r="A61" s="9">
        <v>10</v>
      </c>
      <c r="B61" s="107" t="s">
        <v>1399</v>
      </c>
      <c r="C61" s="2" t="s">
        <v>1169</v>
      </c>
      <c r="D61" s="3" t="s">
        <v>0</v>
      </c>
      <c r="E61" s="1"/>
      <c r="H61" s="9">
        <v>10</v>
      </c>
      <c r="I61" s="107" t="s">
        <v>1426</v>
      </c>
      <c r="J61" s="2" t="s">
        <v>1163</v>
      </c>
      <c r="K61" s="5" t="s">
        <v>0</v>
      </c>
      <c r="L61" s="1"/>
    </row>
    <row r="62" spans="1:12" ht="15.95" customHeight="1" x14ac:dyDescent="0.25">
      <c r="A62" s="9">
        <v>11</v>
      </c>
      <c r="B62" s="107" t="s">
        <v>1400</v>
      </c>
      <c r="C62" s="2" t="s">
        <v>1171</v>
      </c>
      <c r="D62" s="3" t="s">
        <v>0</v>
      </c>
      <c r="E62" s="1"/>
      <c r="H62" s="9">
        <v>11</v>
      </c>
      <c r="I62" s="107" t="s">
        <v>1428</v>
      </c>
      <c r="J62" s="2" t="s">
        <v>1252</v>
      </c>
      <c r="K62" s="5" t="s">
        <v>0</v>
      </c>
      <c r="L62" s="1"/>
    </row>
    <row r="63" spans="1:12" ht="15.95" customHeight="1" x14ac:dyDescent="0.25">
      <c r="A63" s="9">
        <v>12</v>
      </c>
      <c r="B63" s="108" t="s">
        <v>1478</v>
      </c>
      <c r="C63" s="2" t="s">
        <v>1285</v>
      </c>
      <c r="D63" s="3" t="s">
        <v>0</v>
      </c>
      <c r="E63" s="1"/>
      <c r="H63" s="9">
        <v>12</v>
      </c>
      <c r="I63" s="107" t="s">
        <v>1429</v>
      </c>
      <c r="J63" s="2" t="s">
        <v>1253</v>
      </c>
      <c r="K63" s="5" t="s">
        <v>0</v>
      </c>
      <c r="L63" s="1"/>
    </row>
    <row r="64" spans="1:12" ht="15.95" customHeight="1" x14ac:dyDescent="0.25">
      <c r="A64" s="9">
        <v>13</v>
      </c>
      <c r="B64" s="134" t="s">
        <v>1401</v>
      </c>
      <c r="C64" s="55" t="s">
        <v>1233</v>
      </c>
      <c r="D64" s="63" t="s">
        <v>0</v>
      </c>
      <c r="E64" s="1"/>
      <c r="H64" s="9">
        <v>13</v>
      </c>
      <c r="I64" s="107" t="s">
        <v>1431</v>
      </c>
      <c r="J64" s="2" t="s">
        <v>1254</v>
      </c>
      <c r="K64" s="5" t="s">
        <v>1</v>
      </c>
      <c r="L64" s="1"/>
    </row>
    <row r="65" spans="1:12" ht="15.95" customHeight="1" x14ac:dyDescent="0.25">
      <c r="A65" s="9">
        <v>14</v>
      </c>
      <c r="B65" s="108" t="s">
        <v>1403</v>
      </c>
      <c r="C65" s="103" t="s">
        <v>1529</v>
      </c>
      <c r="D65" s="5" t="s">
        <v>0</v>
      </c>
      <c r="E65" s="1"/>
      <c r="H65" s="9">
        <v>14</v>
      </c>
      <c r="I65" s="108" t="s">
        <v>1433</v>
      </c>
      <c r="J65" s="2" t="s">
        <v>1256</v>
      </c>
      <c r="K65" s="5" t="s">
        <v>0</v>
      </c>
      <c r="L65" s="1"/>
    </row>
    <row r="66" spans="1:12" ht="15.95" customHeight="1" x14ac:dyDescent="0.25">
      <c r="A66" s="9">
        <v>15</v>
      </c>
      <c r="B66" s="108" t="s">
        <v>1404</v>
      </c>
      <c r="C66" s="2" t="s">
        <v>1173</v>
      </c>
      <c r="D66" s="3" t="s">
        <v>1</v>
      </c>
      <c r="E66" s="1"/>
      <c r="H66" s="9">
        <v>15</v>
      </c>
      <c r="I66" s="107" t="s">
        <v>1430</v>
      </c>
      <c r="J66" s="4" t="s">
        <v>1553</v>
      </c>
      <c r="K66" s="5" t="s">
        <v>0</v>
      </c>
      <c r="L66" s="5"/>
    </row>
    <row r="67" spans="1:12" ht="15.95" customHeight="1" x14ac:dyDescent="0.25">
      <c r="A67" s="9">
        <v>16</v>
      </c>
      <c r="B67" s="108" t="s">
        <v>1406</v>
      </c>
      <c r="C67" s="2" t="s">
        <v>1235</v>
      </c>
      <c r="D67" s="3" t="s">
        <v>1</v>
      </c>
      <c r="E67" s="1"/>
      <c r="H67" s="9">
        <v>16</v>
      </c>
      <c r="I67" s="108" t="s">
        <v>1483</v>
      </c>
      <c r="J67" s="2" t="s">
        <v>1151</v>
      </c>
      <c r="K67" s="5" t="s">
        <v>1</v>
      </c>
      <c r="L67" s="1"/>
    </row>
    <row r="68" spans="1:12" ht="15.95" customHeight="1" x14ac:dyDescent="0.25">
      <c r="A68" s="9">
        <v>17</v>
      </c>
      <c r="B68" s="107" t="s">
        <v>1407</v>
      </c>
      <c r="C68" s="2" t="s">
        <v>1236</v>
      </c>
      <c r="D68" s="3" t="s">
        <v>0</v>
      </c>
      <c r="E68" s="1"/>
      <c r="H68" s="9">
        <v>17</v>
      </c>
      <c r="I68" s="108" t="s">
        <v>1484</v>
      </c>
      <c r="J68" s="2" t="s">
        <v>1147</v>
      </c>
      <c r="K68" s="3" t="s">
        <v>1</v>
      </c>
      <c r="L68" s="1"/>
    </row>
    <row r="69" spans="1:12" ht="15.95" customHeight="1" x14ac:dyDescent="0.25">
      <c r="A69" s="9">
        <v>18</v>
      </c>
      <c r="B69" s="107" t="s">
        <v>1408</v>
      </c>
      <c r="C69" s="2" t="s">
        <v>1237</v>
      </c>
      <c r="D69" s="3" t="s">
        <v>0</v>
      </c>
      <c r="E69" s="1"/>
      <c r="H69" s="9">
        <v>18</v>
      </c>
      <c r="I69" s="107" t="s">
        <v>1435</v>
      </c>
      <c r="J69" s="2" t="s">
        <v>1257</v>
      </c>
      <c r="K69" s="5" t="s">
        <v>1</v>
      </c>
      <c r="L69" s="1"/>
    </row>
    <row r="70" spans="1:12" ht="15.95" customHeight="1" x14ac:dyDescent="0.25">
      <c r="A70" s="9">
        <v>19</v>
      </c>
      <c r="B70" s="108" t="s">
        <v>1479</v>
      </c>
      <c r="C70" s="2" t="s">
        <v>1286</v>
      </c>
      <c r="D70" s="3" t="s">
        <v>1</v>
      </c>
      <c r="E70" s="1"/>
      <c r="H70" s="9">
        <v>19</v>
      </c>
      <c r="I70" s="111" t="s">
        <v>1436</v>
      </c>
      <c r="J70" s="2" t="s">
        <v>1258</v>
      </c>
      <c r="K70" s="5" t="s">
        <v>1</v>
      </c>
      <c r="L70" s="1"/>
    </row>
    <row r="71" spans="1:12" ht="15.95" customHeight="1" x14ac:dyDescent="0.25">
      <c r="A71" s="9">
        <v>20</v>
      </c>
      <c r="B71" s="108" t="s">
        <v>1480</v>
      </c>
      <c r="C71" s="2" t="s">
        <v>1287</v>
      </c>
      <c r="D71" s="3" t="s">
        <v>1</v>
      </c>
      <c r="E71" s="1"/>
      <c r="H71" s="9">
        <v>20</v>
      </c>
      <c r="I71" s="108" t="s">
        <v>1485</v>
      </c>
      <c r="J71" s="2" t="s">
        <v>1290</v>
      </c>
      <c r="K71" s="5" t="s">
        <v>1</v>
      </c>
      <c r="L71" s="1"/>
    </row>
    <row r="72" spans="1:12" ht="15.95" customHeight="1" x14ac:dyDescent="0.25">
      <c r="A72" s="9">
        <v>21</v>
      </c>
      <c r="B72" s="108" t="s">
        <v>1482</v>
      </c>
      <c r="C72" s="2" t="s">
        <v>1289</v>
      </c>
      <c r="D72" s="3" t="s">
        <v>0</v>
      </c>
      <c r="E72" s="1"/>
      <c r="H72" s="9">
        <v>21</v>
      </c>
      <c r="I72" s="108" t="s">
        <v>1486</v>
      </c>
      <c r="J72" s="4" t="s">
        <v>1291</v>
      </c>
      <c r="K72" s="5" t="s">
        <v>0</v>
      </c>
      <c r="L72" s="1"/>
    </row>
    <row r="73" spans="1:12" ht="15.95" customHeight="1" x14ac:dyDescent="0.25">
      <c r="A73" s="9">
        <v>22</v>
      </c>
      <c r="B73" s="107" t="s">
        <v>1411</v>
      </c>
      <c r="C73" s="4" t="s">
        <v>1240</v>
      </c>
      <c r="D73" s="5" t="s">
        <v>0</v>
      </c>
      <c r="E73" s="1"/>
      <c r="H73" s="9">
        <v>22</v>
      </c>
      <c r="I73" s="108" t="s">
        <v>1487</v>
      </c>
      <c r="J73" s="2" t="s">
        <v>1292</v>
      </c>
      <c r="K73" s="3" t="s">
        <v>0</v>
      </c>
      <c r="L73" s="1"/>
    </row>
    <row r="74" spans="1:12" ht="15.95" customHeight="1" x14ac:dyDescent="0.25">
      <c r="A74" s="9">
        <v>23</v>
      </c>
      <c r="B74" s="107" t="s">
        <v>1412</v>
      </c>
      <c r="C74" s="2" t="s">
        <v>1241</v>
      </c>
      <c r="D74" s="3" t="s">
        <v>0</v>
      </c>
      <c r="E74" s="1"/>
      <c r="H74" s="9">
        <v>23</v>
      </c>
      <c r="I74" s="107" t="s">
        <v>1437</v>
      </c>
      <c r="J74" s="2" t="s">
        <v>1259</v>
      </c>
      <c r="K74" s="3" t="s">
        <v>0</v>
      </c>
      <c r="L74" s="1"/>
    </row>
    <row r="75" spans="1:12" ht="15.95" customHeight="1" x14ac:dyDescent="0.25">
      <c r="A75" s="9">
        <v>24</v>
      </c>
      <c r="B75" s="107" t="s">
        <v>1413</v>
      </c>
      <c r="C75" s="2" t="s">
        <v>1242</v>
      </c>
      <c r="D75" s="3" t="s">
        <v>0</v>
      </c>
      <c r="E75" s="1"/>
      <c r="H75" s="9">
        <v>24</v>
      </c>
      <c r="I75" s="107" t="s">
        <v>1438</v>
      </c>
      <c r="J75" s="2" t="s">
        <v>1161</v>
      </c>
      <c r="K75" s="5" t="s">
        <v>0</v>
      </c>
      <c r="L75" s="1"/>
    </row>
    <row r="76" spans="1:12" ht="15.95" customHeight="1" x14ac:dyDescent="0.25">
      <c r="A76" s="9">
        <v>25</v>
      </c>
      <c r="B76" s="109" t="s">
        <v>1414</v>
      </c>
      <c r="C76" s="2" t="s">
        <v>1243</v>
      </c>
      <c r="D76" s="3" t="s">
        <v>1</v>
      </c>
      <c r="E76" s="1"/>
      <c r="H76" s="9">
        <v>25</v>
      </c>
      <c r="I76" s="109" t="s">
        <v>1440</v>
      </c>
      <c r="J76" s="2" t="s">
        <v>1261</v>
      </c>
      <c r="K76" s="5" t="s">
        <v>1</v>
      </c>
      <c r="L76" s="1"/>
    </row>
    <row r="77" spans="1:12" ht="15.95" customHeight="1" x14ac:dyDescent="0.25">
      <c r="A77" s="9">
        <v>26</v>
      </c>
      <c r="B77" s="107" t="s">
        <v>1415</v>
      </c>
      <c r="C77" s="2" t="s">
        <v>1244</v>
      </c>
      <c r="D77" s="3" t="s">
        <v>0</v>
      </c>
      <c r="E77" s="1"/>
      <c r="H77" s="9">
        <v>26</v>
      </c>
      <c r="I77" s="107" t="s">
        <v>1441</v>
      </c>
      <c r="J77" s="2" t="s">
        <v>1164</v>
      </c>
      <c r="K77" s="5" t="s">
        <v>0</v>
      </c>
      <c r="L77" s="1"/>
    </row>
    <row r="78" spans="1:12" ht="15.95" customHeight="1" x14ac:dyDescent="0.25">
      <c r="A78" s="9">
        <v>27</v>
      </c>
      <c r="B78" s="107" t="s">
        <v>1492</v>
      </c>
      <c r="C78" s="2" t="s">
        <v>1297</v>
      </c>
      <c r="D78" s="3" t="s">
        <v>1</v>
      </c>
      <c r="E78" s="1"/>
      <c r="H78" s="9">
        <v>27</v>
      </c>
      <c r="I78" s="107" t="s">
        <v>1442</v>
      </c>
      <c r="J78" s="4" t="s">
        <v>1262</v>
      </c>
      <c r="K78" s="5" t="s">
        <v>1</v>
      </c>
      <c r="L78" s="1"/>
    </row>
    <row r="79" spans="1:12" ht="15.95" customHeight="1" x14ac:dyDescent="0.25">
      <c r="A79" s="9">
        <v>28</v>
      </c>
      <c r="B79" s="109" t="s">
        <v>1416</v>
      </c>
      <c r="C79" s="2" t="s">
        <v>1245</v>
      </c>
      <c r="D79" s="3" t="s">
        <v>1</v>
      </c>
      <c r="E79" s="1"/>
      <c r="H79" s="9">
        <v>28</v>
      </c>
      <c r="I79" s="107" t="s">
        <v>1443</v>
      </c>
      <c r="J79" s="2" t="s">
        <v>1162</v>
      </c>
      <c r="K79" s="5" t="s">
        <v>0</v>
      </c>
      <c r="L79" s="1"/>
    </row>
    <row r="80" spans="1:12" ht="15.95" customHeight="1" x14ac:dyDescent="0.25">
      <c r="A80" s="9"/>
      <c r="B80" s="1"/>
      <c r="C80" s="1"/>
      <c r="D80" s="1"/>
      <c r="E80" s="1"/>
      <c r="H80" s="9"/>
      <c r="I80" s="1"/>
      <c r="J80" s="1"/>
      <c r="K80" s="1"/>
      <c r="L80" s="1"/>
    </row>
    <row r="81" spans="1:12" x14ac:dyDescent="0.25">
      <c r="A81" s="9"/>
      <c r="B81" s="132"/>
      <c r="C81" s="2"/>
      <c r="D81" s="3"/>
      <c r="E81" s="1"/>
      <c r="H81" s="9"/>
      <c r="I81" s="5"/>
      <c r="J81" s="2"/>
      <c r="K81" s="5"/>
      <c r="L81" s="1"/>
    </row>
    <row r="82" spans="1:12" hidden="1" x14ac:dyDescent="0.25">
      <c r="A82" s="9">
        <v>31</v>
      </c>
      <c r="B82" s="10"/>
      <c r="C82" s="27"/>
      <c r="D82" s="5"/>
      <c r="E82" s="1"/>
      <c r="H82" s="9"/>
      <c r="I82" s="1"/>
      <c r="J82" s="1"/>
      <c r="K82" s="5"/>
      <c r="L82" s="1"/>
    </row>
    <row r="83" spans="1:12" hidden="1" x14ac:dyDescent="0.25">
      <c r="A83" s="9">
        <v>32</v>
      </c>
      <c r="B83" s="1"/>
      <c r="C83" s="1"/>
      <c r="D83" s="1"/>
      <c r="E83" s="1"/>
    </row>
    <row r="84" spans="1:12" x14ac:dyDescent="0.25">
      <c r="A84" s="209" t="s">
        <v>8</v>
      </c>
      <c r="B84" s="209"/>
      <c r="C84" s="22" t="s">
        <v>9</v>
      </c>
      <c r="H84" s="6" t="s">
        <v>8</v>
      </c>
      <c r="I84" s="6"/>
      <c r="J84" s="22" t="s">
        <v>9</v>
      </c>
    </row>
    <row r="85" spans="1:12" x14ac:dyDescent="0.25">
      <c r="B85" s="17" t="s">
        <v>10</v>
      </c>
      <c r="C85" s="23">
        <f>COUNTIF(D52:D82,"L")</f>
        <v>15</v>
      </c>
      <c r="D85" s="208" t="s">
        <v>2017</v>
      </c>
      <c r="E85" s="208"/>
      <c r="I85" s="17" t="s">
        <v>10</v>
      </c>
      <c r="J85" s="23">
        <f>COUNTIF(K52:K83,"L")</f>
        <v>15</v>
      </c>
      <c r="K85" s="208" t="s">
        <v>2017</v>
      </c>
      <c r="L85" s="208"/>
    </row>
    <row r="86" spans="1:12" x14ac:dyDescent="0.25">
      <c r="B86" s="17" t="s">
        <v>11</v>
      </c>
      <c r="C86" s="23">
        <f>COUNTIF(D52:D82,"P")</f>
        <v>13</v>
      </c>
      <c r="D86" s="208" t="s">
        <v>12</v>
      </c>
      <c r="E86" s="208"/>
      <c r="I86" s="17" t="s">
        <v>11</v>
      </c>
      <c r="J86" s="23">
        <f>COUNTIF(K52:K82,"P")</f>
        <v>13</v>
      </c>
      <c r="K86" s="208" t="s">
        <v>12</v>
      </c>
      <c r="L86" s="208"/>
    </row>
    <row r="87" spans="1:12" x14ac:dyDescent="0.25">
      <c r="B87" s="30" t="s">
        <v>20</v>
      </c>
      <c r="C87" s="29">
        <f>C85+C86</f>
        <v>28</v>
      </c>
      <c r="D87" s="18"/>
      <c r="E87" s="18"/>
      <c r="I87" s="30" t="s">
        <v>20</v>
      </c>
      <c r="J87" s="29">
        <f>J85+J86</f>
        <v>28</v>
      </c>
      <c r="K87" s="18"/>
      <c r="L87" s="18"/>
    </row>
    <row r="90" spans="1:12" x14ac:dyDescent="0.25">
      <c r="D90" s="208" t="s">
        <v>13</v>
      </c>
      <c r="E90" s="208"/>
      <c r="K90" s="18" t="s">
        <v>13</v>
      </c>
      <c r="L90" s="18"/>
    </row>
    <row r="91" spans="1:12" x14ac:dyDescent="0.25">
      <c r="D91" t="s">
        <v>14</v>
      </c>
      <c r="K91" t="s">
        <v>14</v>
      </c>
    </row>
    <row r="92" spans="1:12" hidden="1" x14ac:dyDescent="0.25">
      <c r="G92" s="15" t="s">
        <v>1184</v>
      </c>
    </row>
    <row r="93" spans="1:12" ht="15.75" x14ac:dyDescent="0.25">
      <c r="A93" s="210" t="s">
        <v>670</v>
      </c>
      <c r="B93" s="210"/>
      <c r="C93" s="210"/>
      <c r="D93" s="210"/>
      <c r="E93" s="210"/>
      <c r="G93" s="211" t="s">
        <v>670</v>
      </c>
      <c r="H93" s="210"/>
      <c r="I93" s="210"/>
      <c r="J93" s="210"/>
      <c r="K93" s="210"/>
      <c r="L93" s="210"/>
    </row>
    <row r="94" spans="1:12" ht="15.75" x14ac:dyDescent="0.25">
      <c r="A94" s="210" t="s">
        <v>2015</v>
      </c>
      <c r="B94" s="210"/>
      <c r="C94" s="210"/>
      <c r="D94" s="210"/>
      <c r="E94" s="210"/>
      <c r="G94" s="211" t="s">
        <v>2015</v>
      </c>
      <c r="H94" s="210"/>
      <c r="I94" s="210"/>
      <c r="J94" s="210"/>
      <c r="K94" s="210"/>
      <c r="L94" s="210"/>
    </row>
    <row r="95" spans="1:12" ht="15.75" x14ac:dyDescent="0.25">
      <c r="A95" s="210" t="s">
        <v>29</v>
      </c>
      <c r="B95" s="210"/>
      <c r="C95" s="210"/>
      <c r="D95" s="210"/>
      <c r="E95" s="210"/>
      <c r="H95" s="210" t="s">
        <v>2019</v>
      </c>
      <c r="I95" s="210"/>
      <c r="J95" s="210"/>
      <c r="K95" s="210"/>
      <c r="L95" s="210"/>
    </row>
    <row r="96" spans="1:12" ht="7.5" customHeight="1" x14ac:dyDescent="0.25">
      <c r="A96" s="6"/>
      <c r="B96" s="6"/>
      <c r="C96" s="6"/>
      <c r="D96" s="6"/>
      <c r="H96" s="6"/>
      <c r="I96" s="6"/>
      <c r="J96" s="6"/>
      <c r="K96" s="6"/>
    </row>
    <row r="97" spans="1:12" ht="15.95" customHeight="1" x14ac:dyDescent="0.25">
      <c r="A97" s="13" t="s">
        <v>2</v>
      </c>
      <c r="B97" s="13" t="s">
        <v>3</v>
      </c>
      <c r="C97" s="13" t="s">
        <v>7</v>
      </c>
      <c r="D97" s="13" t="s">
        <v>5</v>
      </c>
      <c r="E97" s="13" t="s">
        <v>6</v>
      </c>
      <c r="H97" s="13" t="s">
        <v>2</v>
      </c>
      <c r="I97" s="13" t="s">
        <v>3</v>
      </c>
      <c r="J97" s="13" t="s">
        <v>7</v>
      </c>
      <c r="K97" s="13" t="s">
        <v>5</v>
      </c>
      <c r="L97" s="13" t="s">
        <v>6</v>
      </c>
    </row>
    <row r="98" spans="1:12" ht="15.95" customHeight="1" x14ac:dyDescent="0.25">
      <c r="A98" s="5">
        <v>1</v>
      </c>
      <c r="B98" s="107" t="s">
        <v>1444</v>
      </c>
      <c r="C98" s="2" t="s">
        <v>1157</v>
      </c>
      <c r="D98" s="3" t="s">
        <v>1</v>
      </c>
      <c r="E98" s="1"/>
      <c r="H98" s="114">
        <v>1</v>
      </c>
      <c r="I98" s="120" t="s">
        <v>1418</v>
      </c>
      <c r="J98" s="55" t="s">
        <v>1246</v>
      </c>
      <c r="K98" s="63" t="s">
        <v>1</v>
      </c>
      <c r="L98" s="1"/>
    </row>
    <row r="99" spans="1:12" ht="15.95" customHeight="1" x14ac:dyDescent="0.25">
      <c r="A99" s="5">
        <v>2</v>
      </c>
      <c r="B99" s="107" t="s">
        <v>1445</v>
      </c>
      <c r="C99" s="2" t="s">
        <v>1263</v>
      </c>
      <c r="D99" s="3" t="s">
        <v>1</v>
      </c>
      <c r="E99" s="1"/>
      <c r="H99" s="114">
        <v>2</v>
      </c>
      <c r="I99" s="138" t="s">
        <v>1555</v>
      </c>
      <c r="J99" s="55" t="s">
        <v>1554</v>
      </c>
      <c r="K99" s="5" t="s">
        <v>1</v>
      </c>
      <c r="L99" s="1"/>
    </row>
    <row r="100" spans="1:12" ht="15.95" customHeight="1" x14ac:dyDescent="0.25">
      <c r="A100" s="5">
        <v>3</v>
      </c>
      <c r="B100" s="107" t="s">
        <v>1446</v>
      </c>
      <c r="C100" s="112" t="s">
        <v>1264</v>
      </c>
      <c r="D100" s="113" t="s">
        <v>1</v>
      </c>
      <c r="E100" s="1"/>
      <c r="H100" s="114">
        <v>3</v>
      </c>
      <c r="I100" s="120" t="s">
        <v>1420</v>
      </c>
      <c r="J100" s="55" t="s">
        <v>1160</v>
      </c>
      <c r="K100" s="63" t="s">
        <v>0</v>
      </c>
      <c r="L100" s="1"/>
    </row>
    <row r="101" spans="1:12" ht="15.95" customHeight="1" x14ac:dyDescent="0.25">
      <c r="A101" s="5">
        <v>4</v>
      </c>
      <c r="B101" s="107" t="s">
        <v>1447</v>
      </c>
      <c r="C101" s="25" t="s">
        <v>1265</v>
      </c>
      <c r="D101" s="26" t="s">
        <v>1</v>
      </c>
      <c r="E101" s="1"/>
      <c r="H101" s="114">
        <v>4</v>
      </c>
      <c r="I101" s="120" t="s">
        <v>1473</v>
      </c>
      <c r="J101" s="55" t="s">
        <v>1149</v>
      </c>
      <c r="K101" s="63" t="s">
        <v>0</v>
      </c>
      <c r="L101" s="1"/>
    </row>
    <row r="102" spans="1:12" ht="15.95" customHeight="1" x14ac:dyDescent="0.25">
      <c r="A102" s="5">
        <v>5</v>
      </c>
      <c r="B102" s="107" t="s">
        <v>1448</v>
      </c>
      <c r="C102" s="4" t="s">
        <v>1154</v>
      </c>
      <c r="D102" s="5" t="s">
        <v>0</v>
      </c>
      <c r="E102" s="1"/>
      <c r="H102" s="114">
        <v>5</v>
      </c>
      <c r="I102" s="109" t="s">
        <v>1499</v>
      </c>
      <c r="J102" s="55" t="s">
        <v>1531</v>
      </c>
      <c r="K102" s="63" t="s">
        <v>1</v>
      </c>
      <c r="L102" s="1"/>
    </row>
    <row r="103" spans="1:12" ht="15.95" customHeight="1" x14ac:dyDescent="0.25">
      <c r="A103" s="5">
        <v>6</v>
      </c>
      <c r="B103" s="107" t="s">
        <v>1449</v>
      </c>
      <c r="C103" s="4" t="s">
        <v>1266</v>
      </c>
      <c r="D103" s="5" t="s">
        <v>0</v>
      </c>
      <c r="E103" s="1"/>
      <c r="H103" s="114">
        <v>6</v>
      </c>
      <c r="I103" s="120" t="s">
        <v>1343</v>
      </c>
      <c r="J103" s="55" t="s">
        <v>1190</v>
      </c>
      <c r="K103" s="63" t="s">
        <v>0</v>
      </c>
      <c r="L103" s="1"/>
    </row>
    <row r="104" spans="1:12" ht="15.95" customHeight="1" x14ac:dyDescent="0.25">
      <c r="A104" s="5">
        <v>7</v>
      </c>
      <c r="B104" s="107" t="s">
        <v>1450</v>
      </c>
      <c r="C104" s="2" t="s">
        <v>1325</v>
      </c>
      <c r="D104" s="3" t="s">
        <v>0</v>
      </c>
      <c r="E104" s="1"/>
      <c r="H104" s="114">
        <v>7</v>
      </c>
      <c r="I104" s="120" t="s">
        <v>1344</v>
      </c>
      <c r="J104" s="55" t="s">
        <v>1191</v>
      </c>
      <c r="K104" s="63" t="s">
        <v>1</v>
      </c>
      <c r="L104" s="1"/>
    </row>
    <row r="105" spans="1:12" ht="15.95" customHeight="1" x14ac:dyDescent="0.25">
      <c r="A105" s="5">
        <v>8</v>
      </c>
      <c r="B105" s="108" t="s">
        <v>1468</v>
      </c>
      <c r="C105" s="4" t="s">
        <v>1328</v>
      </c>
      <c r="D105" s="5" t="s">
        <v>0</v>
      </c>
      <c r="E105" s="1"/>
      <c r="H105" s="114">
        <v>8</v>
      </c>
      <c r="I105" s="120" t="s">
        <v>1397</v>
      </c>
      <c r="J105" s="55" t="s">
        <v>1231</v>
      </c>
      <c r="K105" s="63" t="s">
        <v>1</v>
      </c>
      <c r="L105" s="1"/>
    </row>
    <row r="106" spans="1:12" ht="15.95" customHeight="1" x14ac:dyDescent="0.25">
      <c r="A106" s="5">
        <v>9</v>
      </c>
      <c r="B106" s="4" t="s">
        <v>1030</v>
      </c>
      <c r="C106" s="4" t="s">
        <v>792</v>
      </c>
      <c r="D106" s="133" t="s">
        <v>0</v>
      </c>
      <c r="E106" s="4"/>
      <c r="H106" s="114">
        <v>9</v>
      </c>
      <c r="I106" s="149" t="s">
        <v>1538</v>
      </c>
      <c r="J106" s="150" t="s">
        <v>1537</v>
      </c>
      <c r="K106" s="141" t="s">
        <v>1</v>
      </c>
      <c r="L106" s="1"/>
    </row>
    <row r="107" spans="1:12" ht="15.95" customHeight="1" x14ac:dyDescent="0.25">
      <c r="A107" s="5">
        <v>10</v>
      </c>
      <c r="B107" s="108" t="s">
        <v>1452</v>
      </c>
      <c r="C107" s="2" t="s">
        <v>1159</v>
      </c>
      <c r="D107" s="3" t="s">
        <v>1</v>
      </c>
      <c r="E107" s="1"/>
      <c r="H107" s="114">
        <v>10</v>
      </c>
      <c r="I107" s="120" t="s">
        <v>1427</v>
      </c>
      <c r="J107" s="55" t="s">
        <v>1167</v>
      </c>
      <c r="K107" s="63" t="s">
        <v>1</v>
      </c>
      <c r="L107" s="1"/>
    </row>
    <row r="108" spans="1:12" ht="15.95" customHeight="1" x14ac:dyDescent="0.25">
      <c r="A108" s="5">
        <v>11</v>
      </c>
      <c r="B108" s="108" t="s">
        <v>1453</v>
      </c>
      <c r="C108" s="4" t="s">
        <v>1268</v>
      </c>
      <c r="D108" s="5" t="s">
        <v>0</v>
      </c>
      <c r="E108" s="1"/>
      <c r="H108" s="114">
        <v>11</v>
      </c>
      <c r="I108" s="120" t="s">
        <v>1402</v>
      </c>
      <c r="J108" s="55" t="s">
        <v>1172</v>
      </c>
      <c r="K108" s="63" t="s">
        <v>1</v>
      </c>
      <c r="L108" s="1"/>
    </row>
    <row r="109" spans="1:12" ht="15.95" customHeight="1" x14ac:dyDescent="0.25">
      <c r="A109" s="5">
        <v>12</v>
      </c>
      <c r="B109" s="108" t="s">
        <v>1454</v>
      </c>
      <c r="C109" s="4" t="s">
        <v>1269</v>
      </c>
      <c r="D109" s="3" t="s">
        <v>1</v>
      </c>
      <c r="E109" s="1"/>
      <c r="H109" s="114">
        <v>12</v>
      </c>
      <c r="I109" s="138" t="s">
        <v>1451</v>
      </c>
      <c r="J109" s="55" t="s">
        <v>1267</v>
      </c>
      <c r="K109" s="63" t="s">
        <v>1</v>
      </c>
      <c r="L109" s="1"/>
    </row>
    <row r="110" spans="1:12" ht="15.95" customHeight="1" x14ac:dyDescent="0.25">
      <c r="A110" s="5">
        <v>13</v>
      </c>
      <c r="B110" s="108" t="s">
        <v>1455</v>
      </c>
      <c r="C110" s="2" t="s">
        <v>1270</v>
      </c>
      <c r="D110" s="3" t="s">
        <v>1</v>
      </c>
      <c r="E110" s="1"/>
      <c r="H110" s="114">
        <v>13</v>
      </c>
      <c r="I110" s="120" t="s">
        <v>1405</v>
      </c>
      <c r="J110" s="55" t="s">
        <v>1234</v>
      </c>
      <c r="K110" s="63" t="s">
        <v>1</v>
      </c>
      <c r="L110" s="1"/>
    </row>
    <row r="111" spans="1:12" ht="15.95" customHeight="1" x14ac:dyDescent="0.25">
      <c r="A111" s="5">
        <v>14</v>
      </c>
      <c r="B111" s="108" t="s">
        <v>1456</v>
      </c>
      <c r="C111" s="4" t="s">
        <v>1155</v>
      </c>
      <c r="D111" s="5" t="s">
        <v>0</v>
      </c>
      <c r="E111" s="1"/>
      <c r="H111" s="114">
        <v>14</v>
      </c>
      <c r="I111" s="109" t="s">
        <v>1505</v>
      </c>
      <c r="J111" s="55" t="s">
        <v>1532</v>
      </c>
      <c r="K111" s="63" t="s">
        <v>1</v>
      </c>
      <c r="L111" s="1"/>
    </row>
    <row r="112" spans="1:12" ht="15.95" customHeight="1" x14ac:dyDescent="0.25">
      <c r="A112" s="5">
        <v>15</v>
      </c>
      <c r="B112" s="108" t="s">
        <v>1457</v>
      </c>
      <c r="C112" s="4" t="s">
        <v>1271</v>
      </c>
      <c r="D112" s="5" t="s">
        <v>0</v>
      </c>
      <c r="E112" s="1"/>
      <c r="H112" s="114">
        <v>15</v>
      </c>
      <c r="I112" s="120" t="s">
        <v>1432</v>
      </c>
      <c r="J112" s="55" t="s">
        <v>1255</v>
      </c>
      <c r="K112" s="63" t="s">
        <v>1</v>
      </c>
      <c r="L112" s="1"/>
    </row>
    <row r="113" spans="1:12" ht="15.95" customHeight="1" x14ac:dyDescent="0.25">
      <c r="A113" s="5">
        <v>16</v>
      </c>
      <c r="B113" s="108" t="s">
        <v>1458</v>
      </c>
      <c r="C113" s="4" t="s">
        <v>1272</v>
      </c>
      <c r="D113" s="5" t="s">
        <v>1</v>
      </c>
      <c r="E113" s="1"/>
      <c r="H113" s="114">
        <v>16</v>
      </c>
      <c r="I113" s="120" t="s">
        <v>1409</v>
      </c>
      <c r="J113" s="55" t="s">
        <v>1238</v>
      </c>
      <c r="K113" s="63" t="s">
        <v>0</v>
      </c>
      <c r="L113" s="1"/>
    </row>
    <row r="114" spans="1:12" ht="15.95" customHeight="1" x14ac:dyDescent="0.25">
      <c r="A114" s="5">
        <v>17</v>
      </c>
      <c r="B114" s="108" t="s">
        <v>1459</v>
      </c>
      <c r="C114" s="2" t="s">
        <v>1326</v>
      </c>
      <c r="D114" s="3" t="s">
        <v>0</v>
      </c>
      <c r="E114" s="1"/>
      <c r="H114" s="114">
        <v>17</v>
      </c>
      <c r="I114" s="109" t="s">
        <v>1509</v>
      </c>
      <c r="J114" s="55" t="s">
        <v>1533</v>
      </c>
      <c r="K114" s="63" t="s">
        <v>0</v>
      </c>
      <c r="L114" s="1"/>
    </row>
    <row r="115" spans="1:12" ht="15.95" customHeight="1" x14ac:dyDescent="0.25">
      <c r="A115" s="5">
        <v>18</v>
      </c>
      <c r="B115" s="107" t="s">
        <v>1460</v>
      </c>
      <c r="C115" s="2" t="s">
        <v>1158</v>
      </c>
      <c r="D115" s="3" t="s">
        <v>1</v>
      </c>
      <c r="E115" s="1"/>
      <c r="H115" s="114">
        <v>18</v>
      </c>
      <c r="I115" s="120" t="s">
        <v>1410</v>
      </c>
      <c r="J115" s="55" t="s">
        <v>1239</v>
      </c>
      <c r="K115" s="63" t="s">
        <v>0</v>
      </c>
      <c r="L115" s="1"/>
    </row>
    <row r="116" spans="1:12" ht="15.95" customHeight="1" x14ac:dyDescent="0.25">
      <c r="A116" s="5">
        <v>19</v>
      </c>
      <c r="B116" s="108" t="s">
        <v>1461</v>
      </c>
      <c r="C116" s="4" t="s">
        <v>1156</v>
      </c>
      <c r="D116" s="5" t="s">
        <v>0</v>
      </c>
      <c r="E116" s="1"/>
      <c r="H116" s="114">
        <v>19</v>
      </c>
      <c r="I116" s="120" t="s">
        <v>1434</v>
      </c>
      <c r="J116" s="55" t="s">
        <v>1168</v>
      </c>
      <c r="K116" s="63" t="s">
        <v>1</v>
      </c>
      <c r="L116" s="1"/>
    </row>
    <row r="117" spans="1:12" ht="15.95" customHeight="1" x14ac:dyDescent="0.25">
      <c r="A117" s="5">
        <v>20</v>
      </c>
      <c r="B117" s="108" t="s">
        <v>1462</v>
      </c>
      <c r="C117" s="2" t="s">
        <v>1274</v>
      </c>
      <c r="D117" s="3" t="s">
        <v>1</v>
      </c>
      <c r="E117" s="1"/>
      <c r="H117" s="114">
        <v>20</v>
      </c>
      <c r="I117" s="138" t="s">
        <v>1481</v>
      </c>
      <c r="J117" s="55" t="s">
        <v>1288</v>
      </c>
      <c r="K117" s="63" t="s">
        <v>1</v>
      </c>
      <c r="L117" s="1"/>
    </row>
    <row r="118" spans="1:12" ht="15.95" customHeight="1" x14ac:dyDescent="0.25">
      <c r="A118" s="5">
        <v>21</v>
      </c>
      <c r="B118" s="108" t="s">
        <v>1536</v>
      </c>
      <c r="C118" s="2" t="s">
        <v>1293</v>
      </c>
      <c r="D118" s="3" t="s">
        <v>0</v>
      </c>
      <c r="E118" s="1"/>
      <c r="H118" s="114">
        <v>21</v>
      </c>
      <c r="I118" s="120" t="s">
        <v>1382</v>
      </c>
      <c r="J118" s="55" t="s">
        <v>1222</v>
      </c>
      <c r="K118" s="63" t="s">
        <v>1</v>
      </c>
      <c r="L118" s="1"/>
    </row>
    <row r="119" spans="1:12" ht="15.95" customHeight="1" x14ac:dyDescent="0.25">
      <c r="A119" s="5">
        <v>22</v>
      </c>
      <c r="B119" s="108" t="s">
        <v>1489</v>
      </c>
      <c r="C119" s="105" t="s">
        <v>1329</v>
      </c>
      <c r="D119" s="5" t="s">
        <v>0</v>
      </c>
      <c r="E119" s="1"/>
      <c r="H119" s="114">
        <v>22</v>
      </c>
      <c r="I119" s="134" t="s">
        <v>1459</v>
      </c>
      <c r="J119" s="55" t="s">
        <v>1273</v>
      </c>
      <c r="K119" s="63" t="s">
        <v>1</v>
      </c>
      <c r="L119" s="1"/>
    </row>
    <row r="120" spans="1:12" ht="15.95" customHeight="1" x14ac:dyDescent="0.25">
      <c r="A120" s="5">
        <v>23</v>
      </c>
      <c r="B120" s="108" t="s">
        <v>1463</v>
      </c>
      <c r="C120" s="2" t="s">
        <v>1275</v>
      </c>
      <c r="D120" s="3" t="s">
        <v>0</v>
      </c>
      <c r="E120" s="1"/>
      <c r="H120" s="114">
        <v>23</v>
      </c>
      <c r="I120" s="139" t="s">
        <v>1357</v>
      </c>
      <c r="J120" s="140" t="s">
        <v>1201</v>
      </c>
      <c r="K120" s="63" t="s">
        <v>1</v>
      </c>
      <c r="L120" s="1"/>
    </row>
    <row r="121" spans="1:12" ht="15.95" customHeight="1" x14ac:dyDescent="0.25">
      <c r="A121" s="5">
        <v>24</v>
      </c>
      <c r="B121" s="108" t="s">
        <v>1464</v>
      </c>
      <c r="C121" s="2" t="s">
        <v>1327</v>
      </c>
      <c r="D121" s="3" t="s">
        <v>1</v>
      </c>
      <c r="E121" s="1"/>
      <c r="H121" s="114">
        <v>24</v>
      </c>
      <c r="I121" s="134" t="s">
        <v>1359</v>
      </c>
      <c r="J121" s="55" t="s">
        <v>1203</v>
      </c>
      <c r="K121" s="63" t="s">
        <v>1</v>
      </c>
      <c r="L121" s="1"/>
    </row>
    <row r="122" spans="1:12" ht="15.95" customHeight="1" x14ac:dyDescent="0.25">
      <c r="A122" s="5">
        <v>25</v>
      </c>
      <c r="B122" s="108" t="s">
        <v>1465</v>
      </c>
      <c r="C122" s="2" t="s">
        <v>1276</v>
      </c>
      <c r="D122" s="3" t="s">
        <v>1</v>
      </c>
      <c r="E122" s="1"/>
      <c r="H122" s="114">
        <v>25</v>
      </c>
      <c r="I122" s="134" t="s">
        <v>1360</v>
      </c>
      <c r="J122" s="55" t="s">
        <v>1181</v>
      </c>
      <c r="K122" s="63" t="s">
        <v>1</v>
      </c>
      <c r="L122" s="1"/>
    </row>
    <row r="123" spans="1:12" ht="15.95" customHeight="1" x14ac:dyDescent="0.25">
      <c r="A123" s="5">
        <v>26</v>
      </c>
      <c r="B123" s="108" t="s">
        <v>1466</v>
      </c>
      <c r="C123" s="2" t="s">
        <v>1277</v>
      </c>
      <c r="D123" s="3" t="s">
        <v>1</v>
      </c>
      <c r="E123" s="1"/>
      <c r="H123" s="114">
        <v>26</v>
      </c>
      <c r="I123" s="134" t="s">
        <v>1439</v>
      </c>
      <c r="J123" s="55" t="s">
        <v>1260</v>
      </c>
      <c r="K123" s="63" t="s">
        <v>1</v>
      </c>
      <c r="L123" s="1"/>
    </row>
    <row r="124" spans="1:12" ht="15.95" customHeight="1" x14ac:dyDescent="0.25">
      <c r="A124" s="5">
        <v>27</v>
      </c>
      <c r="B124" s="108" t="s">
        <v>1490</v>
      </c>
      <c r="C124" s="2" t="s">
        <v>1295</v>
      </c>
      <c r="D124" s="5" t="s">
        <v>1</v>
      </c>
      <c r="E124" s="1"/>
      <c r="H124" s="114">
        <v>27</v>
      </c>
      <c r="I124" s="109" t="s">
        <v>1491</v>
      </c>
      <c r="J124" s="116" t="s">
        <v>1150</v>
      </c>
      <c r="K124" s="3" t="s">
        <v>0</v>
      </c>
      <c r="L124" s="1"/>
    </row>
    <row r="125" spans="1:12" ht="15.95" customHeight="1" x14ac:dyDescent="0.25">
      <c r="A125" s="5">
        <v>28</v>
      </c>
      <c r="B125" s="108" t="s">
        <v>1467</v>
      </c>
      <c r="C125" s="2" t="s">
        <v>1278</v>
      </c>
      <c r="D125" s="3" t="s">
        <v>1</v>
      </c>
      <c r="E125" s="119"/>
      <c r="H125" s="114">
        <v>28</v>
      </c>
      <c r="I125" s="109" t="s">
        <v>1523</v>
      </c>
      <c r="J125" s="55" t="s">
        <v>1534</v>
      </c>
      <c r="K125" s="65" t="s">
        <v>1</v>
      </c>
      <c r="L125" s="1"/>
    </row>
    <row r="126" spans="1:12" x14ac:dyDescent="0.25">
      <c r="A126" s="5">
        <v>29</v>
      </c>
      <c r="B126" s="108" t="s">
        <v>1490</v>
      </c>
      <c r="C126" s="2" t="s">
        <v>1296</v>
      </c>
      <c r="D126" s="3" t="s">
        <v>1</v>
      </c>
      <c r="E126" s="1"/>
      <c r="H126" s="114">
        <v>29</v>
      </c>
      <c r="I126" s="120" t="s">
        <v>1387</v>
      </c>
      <c r="J126" s="55" t="s">
        <v>1224</v>
      </c>
      <c r="K126" s="63" t="s">
        <v>1</v>
      </c>
      <c r="L126" s="1"/>
    </row>
    <row r="127" spans="1:12" x14ac:dyDescent="0.25">
      <c r="A127" s="9">
        <v>30</v>
      </c>
      <c r="B127" s="137" t="s">
        <v>1467</v>
      </c>
      <c r="C127" s="56" t="s">
        <v>1279</v>
      </c>
      <c r="D127" s="64" t="s">
        <v>0</v>
      </c>
      <c r="E127" s="1"/>
      <c r="H127" s="9"/>
      <c r="I127" s="5"/>
      <c r="J127" s="1"/>
      <c r="K127" s="1"/>
      <c r="L127" s="1"/>
    </row>
    <row r="128" spans="1:12" hidden="1" x14ac:dyDescent="0.25">
      <c r="A128" s="5"/>
      <c r="E128" s="1"/>
      <c r="H128" s="9"/>
      <c r="I128" s="10"/>
      <c r="J128" s="2"/>
      <c r="K128" s="3"/>
      <c r="L128" s="1"/>
    </row>
    <row r="129" spans="1:12" hidden="1" x14ac:dyDescent="0.25">
      <c r="A129" s="1"/>
      <c r="B129" s="1"/>
      <c r="C129" s="1"/>
      <c r="D129" s="9"/>
      <c r="E129" s="1"/>
    </row>
    <row r="130" spans="1:12" x14ac:dyDescent="0.25">
      <c r="A130" s="209" t="s">
        <v>8</v>
      </c>
      <c r="B130" s="209"/>
      <c r="C130" s="22" t="s">
        <v>9</v>
      </c>
      <c r="H130" s="6" t="s">
        <v>8</v>
      </c>
      <c r="I130" s="6"/>
      <c r="J130" s="22" t="s">
        <v>1184</v>
      </c>
    </row>
    <row r="131" spans="1:12" x14ac:dyDescent="0.25">
      <c r="B131" s="17" t="s">
        <v>10</v>
      </c>
      <c r="C131" s="23">
        <f>COUNTIF(D98:D127,"L")</f>
        <v>14</v>
      </c>
      <c r="D131" s="208" t="s">
        <v>2017</v>
      </c>
      <c r="E131" s="208"/>
      <c r="I131" s="17" t="s">
        <v>10</v>
      </c>
      <c r="J131" s="23">
        <f>COUNTIF(K98:K128,"L")</f>
        <v>7</v>
      </c>
      <c r="K131" s="208" t="s">
        <v>2017</v>
      </c>
      <c r="L131" s="208"/>
    </row>
    <row r="132" spans="1:12" x14ac:dyDescent="0.25">
      <c r="B132" s="17" t="s">
        <v>11</v>
      </c>
      <c r="C132" s="23">
        <f>COUNTIF(D98:D127,"P")</f>
        <v>16</v>
      </c>
      <c r="D132" s="208" t="s">
        <v>12</v>
      </c>
      <c r="E132" s="208"/>
      <c r="I132" s="17" t="s">
        <v>11</v>
      </c>
      <c r="J132" s="23">
        <f>COUNTIF(K98:K128,"P")</f>
        <v>22</v>
      </c>
      <c r="K132" s="18" t="s">
        <v>12</v>
      </c>
      <c r="L132" s="18"/>
    </row>
    <row r="133" spans="1:12" x14ac:dyDescent="0.25">
      <c r="B133" s="30" t="s">
        <v>20</v>
      </c>
      <c r="C133" s="29">
        <f>C131+C132</f>
        <v>30</v>
      </c>
      <c r="D133" s="18"/>
      <c r="E133" s="18"/>
      <c r="I133" s="30" t="s">
        <v>20</v>
      </c>
      <c r="J133" s="29">
        <f>J131+J132</f>
        <v>29</v>
      </c>
      <c r="K133" s="18"/>
      <c r="L133" s="18"/>
    </row>
    <row r="136" spans="1:12" x14ac:dyDescent="0.25">
      <c r="D136" s="208" t="s">
        <v>13</v>
      </c>
      <c r="E136" s="208"/>
      <c r="K136" s="18" t="s">
        <v>13</v>
      </c>
      <c r="L136" s="18"/>
    </row>
    <row r="137" spans="1:12" x14ac:dyDescent="0.25">
      <c r="D137" t="s">
        <v>14</v>
      </c>
      <c r="K137" t="s">
        <v>14</v>
      </c>
    </row>
    <row r="138" spans="1:12" hidden="1" x14ac:dyDescent="0.25"/>
    <row r="139" spans="1:12" ht="15.75" x14ac:dyDescent="0.25">
      <c r="A139" s="210" t="s">
        <v>670</v>
      </c>
      <c r="B139" s="210"/>
      <c r="C139" s="210"/>
      <c r="D139" s="210"/>
      <c r="E139" s="210"/>
      <c r="H139" s="210" t="s">
        <v>670</v>
      </c>
      <c r="I139" s="210"/>
      <c r="J139" s="210"/>
      <c r="K139" s="210"/>
      <c r="L139" s="210"/>
    </row>
    <row r="140" spans="1:12" ht="15.75" x14ac:dyDescent="0.25">
      <c r="A140" s="210" t="s">
        <v>2015</v>
      </c>
      <c r="B140" s="210"/>
      <c r="C140" s="210"/>
      <c r="D140" s="210"/>
      <c r="E140" s="210"/>
      <c r="H140" s="210" t="s">
        <v>2015</v>
      </c>
      <c r="I140" s="210"/>
      <c r="J140" s="210"/>
      <c r="K140" s="210"/>
      <c r="L140" s="210"/>
    </row>
    <row r="141" spans="1:12" ht="15.75" x14ac:dyDescent="0.25">
      <c r="A141" s="210" t="s">
        <v>1548</v>
      </c>
      <c r="B141" s="210"/>
      <c r="C141" s="210"/>
      <c r="D141" s="210"/>
      <c r="E141" s="210"/>
      <c r="H141" s="210"/>
      <c r="I141" s="210"/>
      <c r="J141" s="210"/>
      <c r="K141" s="210"/>
      <c r="L141" s="210"/>
    </row>
    <row r="142" spans="1:12" x14ac:dyDescent="0.25">
      <c r="A142" s="6"/>
      <c r="B142" s="6"/>
      <c r="C142" s="6"/>
      <c r="D142" s="6"/>
      <c r="H142" s="6"/>
      <c r="I142" s="6"/>
      <c r="J142" s="6"/>
      <c r="K142" s="6"/>
    </row>
    <row r="143" spans="1:12" ht="15.95" customHeight="1" x14ac:dyDescent="0.25">
      <c r="A143" s="13" t="s">
        <v>2</v>
      </c>
      <c r="B143" s="13" t="s">
        <v>3</v>
      </c>
      <c r="C143" s="13" t="s">
        <v>4</v>
      </c>
      <c r="D143" s="13" t="s">
        <v>5</v>
      </c>
      <c r="E143" s="13" t="s">
        <v>6</v>
      </c>
      <c r="H143" s="13" t="s">
        <v>2</v>
      </c>
      <c r="I143" s="13" t="s">
        <v>3</v>
      </c>
      <c r="J143" s="13" t="s">
        <v>4</v>
      </c>
      <c r="K143" s="13" t="s">
        <v>5</v>
      </c>
      <c r="L143" s="13" t="s">
        <v>6</v>
      </c>
    </row>
    <row r="144" spans="1:12" ht="15.95" customHeight="1" x14ac:dyDescent="0.25">
      <c r="A144" s="10">
        <v>1</v>
      </c>
      <c r="B144" s="107" t="s">
        <v>1495</v>
      </c>
      <c r="C144" s="61" t="s">
        <v>1299</v>
      </c>
      <c r="D144" s="62" t="s">
        <v>0</v>
      </c>
      <c r="E144" s="1"/>
      <c r="H144" s="10">
        <v>1</v>
      </c>
      <c r="I144" s="121"/>
      <c r="J144" s="122"/>
      <c r="K144" s="123"/>
      <c r="L144" s="1"/>
    </row>
    <row r="145" spans="1:16" ht="15.95" customHeight="1" x14ac:dyDescent="0.25">
      <c r="A145" s="5">
        <v>2</v>
      </c>
      <c r="B145" s="107" t="s">
        <v>1496</v>
      </c>
      <c r="C145" s="56" t="s">
        <v>1300</v>
      </c>
      <c r="D145" s="64" t="s">
        <v>0</v>
      </c>
      <c r="E145" s="1"/>
      <c r="H145" s="5">
        <v>2</v>
      </c>
      <c r="I145" s="121"/>
      <c r="J145" s="122"/>
      <c r="K145" s="123"/>
      <c r="L145" s="1"/>
    </row>
    <row r="146" spans="1:16" ht="15.95" customHeight="1" x14ac:dyDescent="0.25">
      <c r="A146" s="10">
        <v>3</v>
      </c>
      <c r="B146" s="107" t="s">
        <v>1497</v>
      </c>
      <c r="C146" s="55" t="s">
        <v>1301</v>
      </c>
      <c r="D146" s="63" t="s">
        <v>1</v>
      </c>
      <c r="E146" s="1"/>
      <c r="H146" s="10">
        <v>3</v>
      </c>
      <c r="I146" s="121"/>
      <c r="J146" s="122"/>
      <c r="K146" s="123"/>
      <c r="L146" s="1"/>
    </row>
    <row r="147" spans="1:16" ht="15.95" customHeight="1" x14ac:dyDescent="0.25">
      <c r="A147" s="5">
        <v>4</v>
      </c>
      <c r="B147" s="107" t="s">
        <v>1498</v>
      </c>
      <c r="C147" s="55" t="s">
        <v>1302</v>
      </c>
      <c r="D147" s="63" t="s">
        <v>1</v>
      </c>
      <c r="E147" s="1"/>
      <c r="H147" s="5">
        <v>4</v>
      </c>
      <c r="I147" s="121"/>
      <c r="J147" s="122"/>
      <c r="K147" s="123"/>
      <c r="L147" s="1"/>
    </row>
    <row r="148" spans="1:16" ht="15.95" customHeight="1" x14ac:dyDescent="0.25">
      <c r="A148" s="10">
        <v>5</v>
      </c>
      <c r="B148" s="107" t="s">
        <v>1500</v>
      </c>
      <c r="C148" s="56" t="s">
        <v>1303</v>
      </c>
      <c r="D148" s="64" t="s">
        <v>1</v>
      </c>
      <c r="E148" s="1"/>
      <c r="H148" s="10">
        <v>5</v>
      </c>
      <c r="I148" s="121"/>
      <c r="J148" s="122"/>
      <c r="K148" s="124"/>
      <c r="L148" s="1"/>
    </row>
    <row r="149" spans="1:16" ht="15.95" customHeight="1" x14ac:dyDescent="0.25">
      <c r="A149" s="5">
        <v>6</v>
      </c>
      <c r="B149" s="107" t="s">
        <v>1501</v>
      </c>
      <c r="C149" s="55" t="s">
        <v>1304</v>
      </c>
      <c r="D149" s="63" t="s">
        <v>0</v>
      </c>
      <c r="E149" s="1"/>
      <c r="H149" s="5">
        <v>6</v>
      </c>
      <c r="I149" s="121"/>
      <c r="J149" s="122"/>
      <c r="K149" s="124"/>
      <c r="L149" s="1"/>
    </row>
    <row r="150" spans="1:16" ht="15.95" customHeight="1" x14ac:dyDescent="0.25">
      <c r="A150" s="10">
        <v>7</v>
      </c>
      <c r="B150" s="107" t="s">
        <v>1502</v>
      </c>
      <c r="C150" s="55" t="s">
        <v>1305</v>
      </c>
      <c r="D150" s="63" t="s">
        <v>1</v>
      </c>
      <c r="E150" s="1"/>
      <c r="H150" s="10">
        <v>7</v>
      </c>
      <c r="I150" s="125"/>
      <c r="J150" s="122"/>
      <c r="K150" s="123"/>
      <c r="L150" s="1"/>
    </row>
    <row r="151" spans="1:16" ht="15.95" customHeight="1" x14ac:dyDescent="0.25">
      <c r="A151" s="5">
        <v>8</v>
      </c>
      <c r="B151" s="107" t="s">
        <v>1503</v>
      </c>
      <c r="C151" s="55" t="s">
        <v>1306</v>
      </c>
      <c r="D151" s="63" t="s">
        <v>0</v>
      </c>
      <c r="E151" s="1"/>
      <c r="H151" s="5">
        <v>8</v>
      </c>
      <c r="I151" s="125"/>
      <c r="J151" s="122"/>
      <c r="K151" s="123"/>
      <c r="L151" s="1"/>
    </row>
    <row r="152" spans="1:16" ht="15.95" customHeight="1" x14ac:dyDescent="0.25">
      <c r="A152" s="10">
        <v>9</v>
      </c>
      <c r="B152" s="107" t="s">
        <v>1504</v>
      </c>
      <c r="C152" s="56" t="s">
        <v>1307</v>
      </c>
      <c r="D152" s="64" t="s">
        <v>1</v>
      </c>
      <c r="E152" s="1"/>
      <c r="H152" s="10">
        <v>9</v>
      </c>
      <c r="I152" s="125"/>
      <c r="J152" s="122"/>
      <c r="K152" s="123"/>
      <c r="L152" s="1"/>
    </row>
    <row r="153" spans="1:16" ht="15.95" customHeight="1" x14ac:dyDescent="0.25">
      <c r="A153" s="5">
        <v>10</v>
      </c>
      <c r="B153" s="107" t="s">
        <v>1506</v>
      </c>
      <c r="C153" s="55" t="s">
        <v>1308</v>
      </c>
      <c r="D153" s="63" t="s">
        <v>0</v>
      </c>
      <c r="E153" s="1"/>
      <c r="H153" s="5">
        <v>10</v>
      </c>
      <c r="I153" s="125"/>
      <c r="J153" s="122"/>
      <c r="K153" s="123"/>
      <c r="L153" s="1"/>
    </row>
    <row r="154" spans="1:16" ht="15.95" customHeight="1" x14ac:dyDescent="0.25">
      <c r="A154" s="10">
        <v>11</v>
      </c>
      <c r="B154" s="108" t="s">
        <v>1507</v>
      </c>
      <c r="C154" s="55" t="s">
        <v>1309</v>
      </c>
      <c r="D154" s="63" t="s">
        <v>1</v>
      </c>
      <c r="E154" s="1"/>
      <c r="H154" s="10">
        <v>11</v>
      </c>
      <c r="I154" s="125"/>
      <c r="J154" s="122"/>
      <c r="K154" s="123"/>
      <c r="L154" s="1"/>
    </row>
    <row r="155" spans="1:16" ht="15.95" customHeight="1" x14ac:dyDescent="0.25">
      <c r="A155" s="5">
        <v>12</v>
      </c>
      <c r="B155" s="107" t="s">
        <v>1508</v>
      </c>
      <c r="C155" s="55" t="s">
        <v>1310</v>
      </c>
      <c r="D155" s="63" t="s">
        <v>1</v>
      </c>
      <c r="E155" s="1"/>
      <c r="H155" s="5">
        <v>12</v>
      </c>
      <c r="I155" s="126"/>
      <c r="J155" s="127"/>
      <c r="K155" s="123"/>
      <c r="L155" s="1"/>
    </row>
    <row r="156" spans="1:16" ht="15.95" customHeight="1" x14ac:dyDescent="0.25">
      <c r="A156" s="10">
        <v>13</v>
      </c>
      <c r="B156" s="107" t="s">
        <v>1510</v>
      </c>
      <c r="C156" s="56" t="s">
        <v>1311</v>
      </c>
      <c r="D156" s="64" t="s">
        <v>0</v>
      </c>
      <c r="E156" s="1"/>
      <c r="H156" s="10">
        <v>13</v>
      </c>
      <c r="I156" s="121"/>
      <c r="J156" s="122"/>
      <c r="K156" s="123"/>
      <c r="L156" s="1"/>
      <c r="P156" t="s">
        <v>1530</v>
      </c>
    </row>
    <row r="157" spans="1:16" ht="15.95" customHeight="1" x14ac:dyDescent="0.25">
      <c r="A157" s="5">
        <v>14</v>
      </c>
      <c r="B157" s="107" t="s">
        <v>1511</v>
      </c>
      <c r="C157" s="55" t="s">
        <v>1312</v>
      </c>
      <c r="D157" s="63" t="s">
        <v>0</v>
      </c>
      <c r="E157" s="1"/>
      <c r="H157" s="5">
        <v>14</v>
      </c>
      <c r="I157" s="121"/>
      <c r="J157" s="122"/>
      <c r="K157" s="123"/>
      <c r="L157" s="1"/>
    </row>
    <row r="158" spans="1:16" ht="15.95" customHeight="1" x14ac:dyDescent="0.25">
      <c r="A158" s="10">
        <v>15</v>
      </c>
      <c r="B158" s="107" t="s">
        <v>1512</v>
      </c>
      <c r="C158" s="55" t="s">
        <v>1313</v>
      </c>
      <c r="D158" s="63" t="s">
        <v>0</v>
      </c>
      <c r="E158" s="1"/>
      <c r="H158" s="10">
        <v>15</v>
      </c>
      <c r="I158" s="121"/>
      <c r="J158" s="122"/>
      <c r="K158" s="123"/>
      <c r="L158" s="1"/>
    </row>
    <row r="159" spans="1:16" ht="15.95" customHeight="1" x14ac:dyDescent="0.25">
      <c r="A159" s="5">
        <v>16</v>
      </c>
      <c r="B159" s="107" t="s">
        <v>1513</v>
      </c>
      <c r="C159" s="56" t="s">
        <v>1314</v>
      </c>
      <c r="D159" s="64" t="s">
        <v>1</v>
      </c>
      <c r="E159" s="1"/>
      <c r="H159" s="5">
        <v>16</v>
      </c>
      <c r="I159" s="121"/>
      <c r="J159" s="122"/>
      <c r="K159" s="123"/>
      <c r="L159" s="1"/>
    </row>
    <row r="160" spans="1:16" ht="15.95" customHeight="1" x14ac:dyDescent="0.25">
      <c r="A160" s="10">
        <v>17</v>
      </c>
      <c r="B160" s="107" t="s">
        <v>1514</v>
      </c>
      <c r="C160" s="55" t="s">
        <v>1315</v>
      </c>
      <c r="D160" s="63" t="s">
        <v>1</v>
      </c>
      <c r="E160" s="1"/>
      <c r="H160" s="10">
        <v>17</v>
      </c>
      <c r="I160" s="121"/>
      <c r="J160" s="122"/>
      <c r="K160" s="123"/>
      <c r="L160" s="1"/>
    </row>
    <row r="161" spans="1:12" ht="15.95" customHeight="1" x14ac:dyDescent="0.25">
      <c r="A161" s="5">
        <v>18</v>
      </c>
      <c r="B161" s="107" t="s">
        <v>1515</v>
      </c>
      <c r="C161" s="56" t="s">
        <v>1316</v>
      </c>
      <c r="D161" s="64" t="s">
        <v>0</v>
      </c>
      <c r="E161" s="1"/>
      <c r="H161" s="5">
        <v>18</v>
      </c>
      <c r="I161" s="121"/>
      <c r="J161" s="122"/>
      <c r="K161" s="128"/>
      <c r="L161" s="1"/>
    </row>
    <row r="162" spans="1:12" ht="15.95" customHeight="1" x14ac:dyDescent="0.25">
      <c r="A162" s="10">
        <v>19</v>
      </c>
      <c r="B162" s="107" t="s">
        <v>1516</v>
      </c>
      <c r="C162" s="55" t="s">
        <v>1317</v>
      </c>
      <c r="D162" s="63" t="s">
        <v>1</v>
      </c>
      <c r="E162" s="1"/>
      <c r="H162" s="10">
        <v>19</v>
      </c>
      <c r="I162" s="121"/>
      <c r="J162" s="127"/>
      <c r="K162" s="128"/>
      <c r="L162" s="1"/>
    </row>
    <row r="163" spans="1:12" ht="15.95" customHeight="1" x14ac:dyDescent="0.25">
      <c r="A163" s="5">
        <v>20</v>
      </c>
      <c r="B163" s="107" t="s">
        <v>1517</v>
      </c>
      <c r="C163" s="56" t="s">
        <v>1318</v>
      </c>
      <c r="D163" s="64" t="s">
        <v>0</v>
      </c>
      <c r="E163" s="1"/>
      <c r="H163" s="5">
        <v>20</v>
      </c>
      <c r="I163" s="121"/>
      <c r="J163" s="129"/>
      <c r="K163" s="130"/>
      <c r="L163" s="1"/>
    </row>
    <row r="164" spans="1:12" ht="15.95" customHeight="1" x14ac:dyDescent="0.25">
      <c r="A164" s="10">
        <v>21</v>
      </c>
      <c r="B164" s="107" t="s">
        <v>1518</v>
      </c>
      <c r="C164" s="55" t="s">
        <v>1319</v>
      </c>
      <c r="D164" s="63" t="s">
        <v>1</v>
      </c>
      <c r="E164" s="1"/>
      <c r="H164" s="10">
        <v>21</v>
      </c>
      <c r="I164" s="121"/>
      <c r="J164" s="122"/>
      <c r="K164" s="123"/>
      <c r="L164" s="1"/>
    </row>
    <row r="165" spans="1:12" ht="15.95" customHeight="1" x14ac:dyDescent="0.25">
      <c r="A165" s="5">
        <v>22</v>
      </c>
      <c r="B165" s="107" t="s">
        <v>1519</v>
      </c>
      <c r="C165" s="56" t="s">
        <v>1320</v>
      </c>
      <c r="D165" s="64" t="s">
        <v>0</v>
      </c>
      <c r="E165" s="1"/>
      <c r="H165" s="5">
        <v>22</v>
      </c>
      <c r="I165" s="121"/>
      <c r="J165" s="122"/>
      <c r="K165" s="123"/>
      <c r="L165" s="1"/>
    </row>
    <row r="166" spans="1:12" ht="15.95" customHeight="1" x14ac:dyDescent="0.25">
      <c r="A166" s="10">
        <v>23</v>
      </c>
      <c r="B166" s="107" t="s">
        <v>1520</v>
      </c>
      <c r="C166" s="116" t="s">
        <v>1321</v>
      </c>
      <c r="D166" s="106" t="s">
        <v>1</v>
      </c>
      <c r="E166" s="1"/>
      <c r="H166" s="10">
        <v>23</v>
      </c>
      <c r="I166" s="10"/>
      <c r="J166" s="2"/>
      <c r="K166" s="3"/>
      <c r="L166" s="1"/>
    </row>
    <row r="167" spans="1:12" ht="15.95" customHeight="1" x14ac:dyDescent="0.25">
      <c r="A167" s="5">
        <v>24</v>
      </c>
      <c r="B167" s="107" t="s">
        <v>1521</v>
      </c>
      <c r="C167" s="55" t="s">
        <v>1322</v>
      </c>
      <c r="D167" s="63" t="s">
        <v>1</v>
      </c>
      <c r="E167" s="1"/>
      <c r="H167" s="5">
        <v>24</v>
      </c>
      <c r="I167" s="10"/>
      <c r="J167" s="2"/>
      <c r="K167" s="3"/>
      <c r="L167" s="1"/>
    </row>
    <row r="168" spans="1:12" ht="15.95" customHeight="1" x14ac:dyDescent="0.25">
      <c r="A168" s="10">
        <v>25</v>
      </c>
      <c r="B168" s="109" t="s">
        <v>1522</v>
      </c>
      <c r="C168" s="55" t="s">
        <v>1146</v>
      </c>
      <c r="D168" s="65" t="s">
        <v>1</v>
      </c>
      <c r="E168" s="1"/>
      <c r="H168" s="10">
        <v>25</v>
      </c>
      <c r="I168" s="10"/>
      <c r="J168" s="2"/>
      <c r="K168" s="3"/>
      <c r="L168" s="1"/>
    </row>
    <row r="169" spans="1:12" ht="15.95" customHeight="1" x14ac:dyDescent="0.25">
      <c r="A169" s="5"/>
      <c r="B169" s="110"/>
      <c r="C169" s="115"/>
      <c r="D169" s="63"/>
      <c r="E169" s="1"/>
      <c r="H169" s="5">
        <v>26</v>
      </c>
      <c r="I169" s="10"/>
      <c r="J169" s="2"/>
      <c r="K169" s="3"/>
      <c r="L169" s="1"/>
    </row>
    <row r="170" spans="1:12" ht="15.95" customHeight="1" x14ac:dyDescent="0.25">
      <c r="A170" s="10"/>
      <c r="B170" s="1"/>
      <c r="C170" s="1"/>
      <c r="D170" s="1"/>
      <c r="E170" s="1"/>
      <c r="H170" s="10">
        <v>27</v>
      </c>
      <c r="I170" s="10"/>
      <c r="J170" s="2"/>
      <c r="K170" s="3"/>
      <c r="L170" s="1"/>
    </row>
    <row r="171" spans="1:12" ht="15.95" customHeight="1" x14ac:dyDescent="0.25">
      <c r="A171" s="5"/>
      <c r="B171" s="1"/>
      <c r="C171" s="1"/>
      <c r="D171" s="1"/>
      <c r="E171" s="1"/>
      <c r="H171" s="5">
        <v>28</v>
      </c>
      <c r="I171" s="10"/>
      <c r="J171" s="2"/>
      <c r="K171" s="3"/>
      <c r="L171" s="1"/>
    </row>
    <row r="172" spans="1:12" ht="15.95" hidden="1" customHeight="1" x14ac:dyDescent="0.25">
      <c r="A172" s="10"/>
      <c r="B172" s="1"/>
      <c r="C172" s="1"/>
      <c r="D172" s="1"/>
      <c r="E172" s="1"/>
      <c r="H172" s="99">
        <v>29</v>
      </c>
      <c r="I172" s="99"/>
      <c r="J172" s="100"/>
      <c r="K172" s="101"/>
      <c r="L172" s="102"/>
    </row>
    <row r="173" spans="1:12" ht="15.95" hidden="1" customHeight="1" x14ac:dyDescent="0.25">
      <c r="A173" s="5"/>
      <c r="B173" s="1"/>
      <c r="C173" s="1"/>
      <c r="D173" s="1"/>
      <c r="E173" s="1"/>
      <c r="H173" s="5">
        <v>30</v>
      </c>
      <c r="I173" s="10"/>
      <c r="J173" s="2"/>
      <c r="K173" s="3"/>
      <c r="L173" s="1"/>
    </row>
    <row r="174" spans="1:12" hidden="1" x14ac:dyDescent="0.25">
      <c r="A174" s="10"/>
      <c r="B174" s="1"/>
      <c r="C174" s="1"/>
      <c r="D174" s="1"/>
      <c r="E174" s="1"/>
      <c r="H174" s="10"/>
      <c r="I174" s="10"/>
      <c r="J174" s="2"/>
      <c r="K174" s="3"/>
      <c r="L174" s="1"/>
    </row>
    <row r="176" spans="1:12" x14ac:dyDescent="0.25">
      <c r="A176" s="209" t="s">
        <v>8</v>
      </c>
      <c r="B176" s="209"/>
      <c r="C176" s="22" t="s">
        <v>9</v>
      </c>
      <c r="H176" s="209" t="s">
        <v>8</v>
      </c>
      <c r="I176" s="209"/>
      <c r="J176" s="22" t="s">
        <v>9</v>
      </c>
    </row>
    <row r="177" spans="2:12" x14ac:dyDescent="0.25">
      <c r="B177" s="17" t="s">
        <v>10</v>
      </c>
      <c r="C177" s="21">
        <f>COUNTIF(D144:D173,"L")</f>
        <v>11</v>
      </c>
      <c r="D177" s="208" t="s">
        <v>2017</v>
      </c>
      <c r="E177" s="208"/>
      <c r="I177" s="17" t="s">
        <v>10</v>
      </c>
      <c r="J177" s="21">
        <f>COUNTIF(K144:K174,"L")</f>
        <v>0</v>
      </c>
      <c r="K177" s="208" t="s">
        <v>2017</v>
      </c>
      <c r="L177" s="208"/>
    </row>
    <row r="178" spans="2:12" x14ac:dyDescent="0.25">
      <c r="B178" s="17" t="s">
        <v>11</v>
      </c>
      <c r="C178" s="23">
        <f>COUNTIF(D144:D173,"P")</f>
        <v>14</v>
      </c>
      <c r="D178" s="208" t="s">
        <v>12</v>
      </c>
      <c r="E178" s="208"/>
      <c r="I178" s="17" t="s">
        <v>11</v>
      </c>
      <c r="J178" s="23">
        <f>COUNTIF(K144:K174,"P")</f>
        <v>0</v>
      </c>
      <c r="K178" s="208" t="s">
        <v>12</v>
      </c>
      <c r="L178" s="208"/>
    </row>
    <row r="179" spans="2:12" x14ac:dyDescent="0.25">
      <c r="B179" s="30" t="s">
        <v>20</v>
      </c>
      <c r="C179" s="29">
        <f>C177+C178</f>
        <v>25</v>
      </c>
      <c r="D179" s="18"/>
      <c r="E179" s="18"/>
      <c r="I179" s="30" t="s">
        <v>20</v>
      </c>
      <c r="J179" s="29">
        <f>J177+J178</f>
        <v>0</v>
      </c>
      <c r="K179" s="18"/>
      <c r="L179" s="18"/>
    </row>
    <row r="182" spans="2:12" x14ac:dyDescent="0.25">
      <c r="D182" s="208" t="s">
        <v>13</v>
      </c>
      <c r="E182" s="208"/>
      <c r="K182" s="208" t="s">
        <v>13</v>
      </c>
      <c r="L182" s="208"/>
    </row>
    <row r="183" spans="2:12" x14ac:dyDescent="0.25">
      <c r="D183" t="s">
        <v>14</v>
      </c>
      <c r="K183" t="s">
        <v>14</v>
      </c>
    </row>
    <row r="188" spans="2:12" x14ac:dyDescent="0.25">
      <c r="B188" s="67" t="s">
        <v>2018</v>
      </c>
      <c r="C188" s="68">
        <f>J179+C179+J133+C133+J87+C87+J41+C41</f>
        <v>199</v>
      </c>
    </row>
    <row r="191" spans="2:12" ht="15.75" x14ac:dyDescent="0.25">
      <c r="B191" s="77" t="s">
        <v>32</v>
      </c>
      <c r="C191" s="78">
        <f>J177+C177+J131+C131+J85+C85+J39+C39</f>
        <v>98</v>
      </c>
    </row>
    <row r="192" spans="2:12" ht="15.75" x14ac:dyDescent="0.25">
      <c r="B192" s="77" t="s">
        <v>33</v>
      </c>
      <c r="C192" s="78">
        <f>J178+C178+J132+C132+J86+C86+J40+C40</f>
        <v>101</v>
      </c>
    </row>
    <row r="193" spans="2:3" ht="15.75" x14ac:dyDescent="0.25">
      <c r="B193" s="77"/>
      <c r="C193" s="78">
        <f>C191+C192</f>
        <v>199</v>
      </c>
    </row>
  </sheetData>
  <sortState xmlns:xlrd2="http://schemas.microsoft.com/office/spreadsheetml/2017/richdata2" ref="I52:K79">
    <sortCondition ref="J52:J79"/>
  </sortState>
  <mergeCells count="48">
    <mergeCell ref="A47:E47"/>
    <mergeCell ref="G47:L47"/>
    <mergeCell ref="A1:E1"/>
    <mergeCell ref="H1:M1"/>
    <mergeCell ref="A2:E2"/>
    <mergeCell ref="H2:M2"/>
    <mergeCell ref="A3:E3"/>
    <mergeCell ref="H3:M3"/>
    <mergeCell ref="A38:B38"/>
    <mergeCell ref="D39:E39"/>
    <mergeCell ref="K39:L39"/>
    <mergeCell ref="D40:E40"/>
    <mergeCell ref="D44:E44"/>
    <mergeCell ref="A94:E94"/>
    <mergeCell ref="G94:L94"/>
    <mergeCell ref="A48:E48"/>
    <mergeCell ref="G48:L48"/>
    <mergeCell ref="A49:E49"/>
    <mergeCell ref="H49:L49"/>
    <mergeCell ref="A84:B84"/>
    <mergeCell ref="D85:E85"/>
    <mergeCell ref="K85:L85"/>
    <mergeCell ref="D86:E86"/>
    <mergeCell ref="K86:L86"/>
    <mergeCell ref="D90:E90"/>
    <mergeCell ref="A93:E93"/>
    <mergeCell ref="G93:L93"/>
    <mergeCell ref="A141:E141"/>
    <mergeCell ref="H141:L141"/>
    <mergeCell ref="A95:E95"/>
    <mergeCell ref="H95:L95"/>
    <mergeCell ref="A130:B130"/>
    <mergeCell ref="D131:E131"/>
    <mergeCell ref="K131:L131"/>
    <mergeCell ref="D132:E132"/>
    <mergeCell ref="D136:E136"/>
    <mergeCell ref="A139:E139"/>
    <mergeCell ref="H139:L139"/>
    <mergeCell ref="A140:E140"/>
    <mergeCell ref="H140:L140"/>
    <mergeCell ref="D182:E182"/>
    <mergeCell ref="K182:L182"/>
    <mergeCell ref="A176:B176"/>
    <mergeCell ref="H176:I176"/>
    <mergeCell ref="D177:E177"/>
    <mergeCell ref="K177:L177"/>
    <mergeCell ref="D178:E178"/>
    <mergeCell ref="K178:L178"/>
  </mergeCells>
  <pageMargins left="0.51181102362204722" right="0.31496062992125984" top="0.74803149606299213" bottom="0.23622047244094491" header="0.31496062992125984" footer="0.31496062992125984"/>
  <pageSetup paperSize="5" scale="80" orientation="landscape" horizontalDpi="4294967293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3"/>
  <sheetViews>
    <sheetView topLeftCell="A42" zoomScale="95" zoomScaleNormal="95" workbookViewId="0">
      <selection activeCell="C6" sqref="C6"/>
    </sheetView>
  </sheetViews>
  <sheetFormatPr defaultRowHeight="15" x14ac:dyDescent="0.25"/>
  <cols>
    <col min="1" max="1" width="5.140625" customWidth="1"/>
    <col min="2" max="2" width="22.7109375" customWidth="1"/>
    <col min="3" max="3" width="40" customWidth="1"/>
    <col min="4" max="4" width="9" customWidth="1"/>
    <col min="5" max="5" width="16.85546875" customWidth="1"/>
    <col min="6" max="6" width="3.7109375" customWidth="1"/>
    <col min="7" max="7" width="3.7109375" style="15" customWidth="1"/>
    <col min="8" max="8" width="6.42578125" customWidth="1"/>
    <col min="9" max="9" width="22.28515625" customWidth="1"/>
    <col min="10" max="10" width="40" customWidth="1"/>
    <col min="11" max="11" width="9" customWidth="1"/>
    <col min="12" max="12" width="16.85546875" customWidth="1"/>
    <col min="13" max="13" width="28.5703125" customWidth="1"/>
  </cols>
  <sheetData>
    <row r="1" spans="1:13" ht="15.75" x14ac:dyDescent="0.25">
      <c r="A1" s="210" t="s">
        <v>670</v>
      </c>
      <c r="B1" s="210"/>
      <c r="C1" s="210"/>
      <c r="D1" s="210"/>
      <c r="E1" s="210"/>
      <c r="H1" s="210" t="s">
        <v>670</v>
      </c>
      <c r="I1" s="210"/>
      <c r="J1" s="210"/>
      <c r="K1" s="210"/>
      <c r="L1" s="210"/>
      <c r="M1" s="210"/>
    </row>
    <row r="2" spans="1:13" ht="15.75" x14ac:dyDescent="0.25">
      <c r="A2" s="210" t="s">
        <v>1546</v>
      </c>
      <c r="B2" s="210"/>
      <c r="C2" s="210"/>
      <c r="D2" s="210"/>
      <c r="E2" s="210"/>
      <c r="H2" s="210" t="s">
        <v>1546</v>
      </c>
      <c r="I2" s="210"/>
      <c r="J2" s="210"/>
      <c r="K2" s="210"/>
      <c r="L2" s="210"/>
      <c r="M2" s="210"/>
    </row>
    <row r="3" spans="1:13" ht="15.75" x14ac:dyDescent="0.25">
      <c r="A3" s="210" t="s">
        <v>15</v>
      </c>
      <c r="B3" s="210"/>
      <c r="C3" s="210"/>
      <c r="D3" s="210"/>
      <c r="E3" s="210"/>
      <c r="H3" s="210" t="s">
        <v>16</v>
      </c>
      <c r="I3" s="210"/>
      <c r="J3" s="210"/>
      <c r="K3" s="210"/>
      <c r="L3" s="210"/>
      <c r="M3" s="210"/>
    </row>
    <row r="4" spans="1:13" x14ac:dyDescent="0.25">
      <c r="A4" s="6"/>
      <c r="B4" s="6"/>
      <c r="C4" s="6"/>
      <c r="D4" s="6"/>
    </row>
    <row r="5" spans="1:13" s="14" customFormat="1" ht="15.75" x14ac:dyDescent="0.25">
      <c r="A5" s="13" t="s">
        <v>2</v>
      </c>
      <c r="B5" s="13" t="s">
        <v>3</v>
      </c>
      <c r="C5" s="13" t="s">
        <v>4</v>
      </c>
      <c r="D5" s="13" t="s">
        <v>5</v>
      </c>
      <c r="E5" s="13" t="s">
        <v>6</v>
      </c>
      <c r="G5" s="16"/>
      <c r="H5" s="13" t="s">
        <v>2</v>
      </c>
      <c r="I5" s="13" t="s">
        <v>3</v>
      </c>
      <c r="J5" s="13" t="s">
        <v>7</v>
      </c>
      <c r="K5" s="13" t="s">
        <v>5</v>
      </c>
      <c r="L5" s="13" t="s">
        <v>6</v>
      </c>
    </row>
    <row r="6" spans="1:13" x14ac:dyDescent="0.25">
      <c r="A6" s="10">
        <v>1</v>
      </c>
      <c r="B6" s="66" t="s">
        <v>910</v>
      </c>
      <c r="C6" s="7" t="s">
        <v>671</v>
      </c>
      <c r="D6" s="8" t="s">
        <v>1</v>
      </c>
      <c r="E6" s="1"/>
      <c r="H6" s="5">
        <v>1</v>
      </c>
      <c r="I6" s="66" t="s">
        <v>940</v>
      </c>
      <c r="J6" s="2" t="s">
        <v>701</v>
      </c>
      <c r="K6" s="11" t="s">
        <v>0</v>
      </c>
      <c r="L6" s="1"/>
    </row>
    <row r="7" spans="1:13" x14ac:dyDescent="0.25">
      <c r="A7" s="5">
        <v>2</v>
      </c>
      <c r="B7" s="10" t="s">
        <v>911</v>
      </c>
      <c r="C7" s="2" t="s">
        <v>672</v>
      </c>
      <c r="D7" s="3" t="s">
        <v>1</v>
      </c>
      <c r="E7" s="1"/>
      <c r="H7" s="5">
        <v>2</v>
      </c>
      <c r="I7" s="10" t="s">
        <v>941</v>
      </c>
      <c r="J7" s="2" t="s">
        <v>702</v>
      </c>
      <c r="K7" s="11" t="s">
        <v>1</v>
      </c>
      <c r="L7" s="1"/>
    </row>
    <row r="8" spans="1:13" x14ac:dyDescent="0.25">
      <c r="A8" s="10">
        <v>3</v>
      </c>
      <c r="B8" s="10" t="s">
        <v>912</v>
      </c>
      <c r="C8" s="2" t="s">
        <v>673</v>
      </c>
      <c r="D8" s="3" t="s">
        <v>1</v>
      </c>
      <c r="E8" s="1"/>
      <c r="H8" s="5">
        <v>3</v>
      </c>
      <c r="I8" s="10" t="s">
        <v>942</v>
      </c>
      <c r="J8" s="2" t="s">
        <v>703</v>
      </c>
      <c r="K8" s="11" t="s">
        <v>1</v>
      </c>
      <c r="L8" s="1"/>
    </row>
    <row r="9" spans="1:13" x14ac:dyDescent="0.25">
      <c r="A9" s="5">
        <v>4</v>
      </c>
      <c r="B9" s="10" t="s">
        <v>913</v>
      </c>
      <c r="C9" s="2" t="s">
        <v>674</v>
      </c>
      <c r="D9" s="3" t="s">
        <v>1</v>
      </c>
      <c r="E9" s="1"/>
      <c r="H9" s="5">
        <v>4</v>
      </c>
      <c r="I9" s="10" t="s">
        <v>943</v>
      </c>
      <c r="J9" s="2" t="s">
        <v>704</v>
      </c>
      <c r="K9" s="11" t="s">
        <v>0</v>
      </c>
      <c r="L9" s="1"/>
    </row>
    <row r="10" spans="1:13" x14ac:dyDescent="0.25">
      <c r="A10" s="10">
        <v>5</v>
      </c>
      <c r="B10" s="66" t="s">
        <v>914</v>
      </c>
      <c r="C10" s="2" t="s">
        <v>675</v>
      </c>
      <c r="D10" s="3" t="s">
        <v>1</v>
      </c>
      <c r="E10" s="1"/>
      <c r="H10" s="5">
        <v>5</v>
      </c>
      <c r="I10" s="10" t="s">
        <v>944</v>
      </c>
      <c r="J10" s="2" t="s">
        <v>705</v>
      </c>
      <c r="K10" s="11" t="s">
        <v>0</v>
      </c>
      <c r="L10" s="1"/>
    </row>
    <row r="11" spans="1:13" x14ac:dyDescent="0.25">
      <c r="A11" s="5">
        <v>6</v>
      </c>
      <c r="B11" s="10" t="s">
        <v>915</v>
      </c>
      <c r="C11" s="2" t="s">
        <v>676</v>
      </c>
      <c r="D11" s="3" t="s">
        <v>0</v>
      </c>
      <c r="E11" s="1"/>
      <c r="H11" s="5">
        <v>6</v>
      </c>
      <c r="I11" s="10" t="s">
        <v>945</v>
      </c>
      <c r="J11" s="2" t="s">
        <v>706</v>
      </c>
      <c r="K11" s="11" t="s">
        <v>0</v>
      </c>
      <c r="L11" s="1"/>
    </row>
    <row r="12" spans="1:13" x14ac:dyDescent="0.25">
      <c r="A12" s="10">
        <v>7</v>
      </c>
      <c r="B12" s="10" t="s">
        <v>916</v>
      </c>
      <c r="C12" s="2" t="s">
        <v>677</v>
      </c>
      <c r="D12" s="3" t="s">
        <v>0</v>
      </c>
      <c r="E12" s="1"/>
      <c r="H12" s="5">
        <v>7</v>
      </c>
      <c r="I12" s="10" t="s">
        <v>946</v>
      </c>
      <c r="J12" s="2" t="s">
        <v>707</v>
      </c>
      <c r="K12" s="11" t="s">
        <v>0</v>
      </c>
      <c r="L12" s="1"/>
    </row>
    <row r="13" spans="1:13" x14ac:dyDescent="0.25">
      <c r="A13" s="5">
        <v>8</v>
      </c>
      <c r="B13" s="10" t="s">
        <v>917</v>
      </c>
      <c r="C13" s="2" t="s">
        <v>678</v>
      </c>
      <c r="D13" s="3" t="s">
        <v>1</v>
      </c>
      <c r="E13" s="1"/>
      <c r="H13" s="5">
        <v>8</v>
      </c>
      <c r="I13" s="10" t="s">
        <v>947</v>
      </c>
      <c r="J13" s="2" t="s">
        <v>708</v>
      </c>
      <c r="K13" s="11" t="s">
        <v>0</v>
      </c>
      <c r="L13" s="1"/>
    </row>
    <row r="14" spans="1:13" x14ac:dyDescent="0.25">
      <c r="A14" s="10">
        <v>9</v>
      </c>
      <c r="B14" s="10" t="s">
        <v>918</v>
      </c>
      <c r="C14" s="2" t="s">
        <v>679</v>
      </c>
      <c r="D14" s="3" t="s">
        <v>0</v>
      </c>
      <c r="E14" s="1"/>
      <c r="H14" s="5">
        <v>9</v>
      </c>
      <c r="I14" s="10" t="s">
        <v>948</v>
      </c>
      <c r="J14" s="2" t="s">
        <v>709</v>
      </c>
      <c r="K14" s="11" t="s">
        <v>1</v>
      </c>
      <c r="L14" s="1"/>
    </row>
    <row r="15" spans="1:13" x14ac:dyDescent="0.25">
      <c r="A15" s="5">
        <v>10</v>
      </c>
      <c r="B15" s="10" t="s">
        <v>919</v>
      </c>
      <c r="C15" s="2" t="s">
        <v>680</v>
      </c>
      <c r="D15" s="3" t="s">
        <v>0</v>
      </c>
      <c r="E15" s="1"/>
      <c r="H15" s="5">
        <v>10</v>
      </c>
      <c r="I15" s="10" t="s">
        <v>949</v>
      </c>
      <c r="J15" s="2" t="s">
        <v>710</v>
      </c>
      <c r="K15" s="11" t="s">
        <v>1</v>
      </c>
      <c r="L15" s="1"/>
    </row>
    <row r="16" spans="1:13" x14ac:dyDescent="0.25">
      <c r="A16" s="10">
        <v>11</v>
      </c>
      <c r="B16" s="10" t="s">
        <v>920</v>
      </c>
      <c r="C16" s="2" t="s">
        <v>681</v>
      </c>
      <c r="D16" s="3" t="s">
        <v>1</v>
      </c>
      <c r="E16" s="1"/>
      <c r="H16" s="5">
        <v>11</v>
      </c>
      <c r="I16" s="10" t="s">
        <v>950</v>
      </c>
      <c r="J16" s="2" t="s">
        <v>711</v>
      </c>
      <c r="K16" s="11" t="s">
        <v>0</v>
      </c>
      <c r="L16" s="1"/>
    </row>
    <row r="17" spans="1:12" x14ac:dyDescent="0.25">
      <c r="A17" s="5">
        <v>12</v>
      </c>
      <c r="B17" s="10" t="s">
        <v>921</v>
      </c>
      <c r="C17" s="2" t="s">
        <v>682</v>
      </c>
      <c r="D17" s="3" t="s">
        <v>0</v>
      </c>
      <c r="E17" s="1"/>
      <c r="H17" s="5">
        <v>12</v>
      </c>
      <c r="I17" s="10" t="s">
        <v>951</v>
      </c>
      <c r="J17" s="2" t="s">
        <v>712</v>
      </c>
      <c r="K17" s="11" t="s">
        <v>1</v>
      </c>
      <c r="L17" s="1"/>
    </row>
    <row r="18" spans="1:12" x14ac:dyDescent="0.25">
      <c r="A18" s="10">
        <v>13</v>
      </c>
      <c r="B18" s="10" t="s">
        <v>922</v>
      </c>
      <c r="C18" s="2" t="s">
        <v>683</v>
      </c>
      <c r="D18" s="3" t="s">
        <v>0</v>
      </c>
      <c r="E18" s="1"/>
      <c r="H18" s="5">
        <v>13</v>
      </c>
      <c r="I18" s="10" t="s">
        <v>952</v>
      </c>
      <c r="J18" s="4" t="s">
        <v>713</v>
      </c>
      <c r="K18" s="12" t="s">
        <v>1</v>
      </c>
      <c r="L18" s="1"/>
    </row>
    <row r="19" spans="1:12" x14ac:dyDescent="0.25">
      <c r="A19" s="5">
        <v>14</v>
      </c>
      <c r="B19" s="10" t="s">
        <v>923</v>
      </c>
      <c r="C19" s="2" t="s">
        <v>684</v>
      </c>
      <c r="D19" s="3" t="s">
        <v>0</v>
      </c>
      <c r="E19" s="1"/>
      <c r="H19" s="5">
        <v>14</v>
      </c>
      <c r="I19" s="10" t="s">
        <v>953</v>
      </c>
      <c r="J19" s="2" t="s">
        <v>714</v>
      </c>
      <c r="K19" s="11" t="s">
        <v>0</v>
      </c>
      <c r="L19" s="1"/>
    </row>
    <row r="20" spans="1:12" x14ac:dyDescent="0.25">
      <c r="A20" s="10">
        <v>15</v>
      </c>
      <c r="B20" s="10" t="s">
        <v>924</v>
      </c>
      <c r="C20" s="4" t="s">
        <v>685</v>
      </c>
      <c r="D20" s="5" t="s">
        <v>0</v>
      </c>
      <c r="E20" s="1"/>
      <c r="H20" s="5">
        <v>15</v>
      </c>
      <c r="I20" s="10" t="s">
        <v>954</v>
      </c>
      <c r="J20" s="4" t="s">
        <v>715</v>
      </c>
      <c r="K20" s="12" t="s">
        <v>0</v>
      </c>
      <c r="L20" s="1"/>
    </row>
    <row r="21" spans="1:12" x14ac:dyDescent="0.25">
      <c r="A21" s="5">
        <v>16</v>
      </c>
      <c r="B21" s="10" t="s">
        <v>925</v>
      </c>
      <c r="C21" s="2" t="s">
        <v>686</v>
      </c>
      <c r="D21" s="3" t="s">
        <v>1</v>
      </c>
      <c r="E21" s="1"/>
      <c r="H21" s="5">
        <v>16</v>
      </c>
      <c r="I21" s="10" t="s">
        <v>955</v>
      </c>
      <c r="J21" s="2" t="s">
        <v>716</v>
      </c>
      <c r="K21" s="11" t="s">
        <v>1</v>
      </c>
      <c r="L21" s="1"/>
    </row>
    <row r="22" spans="1:12" x14ac:dyDescent="0.25">
      <c r="A22" s="10">
        <v>17</v>
      </c>
      <c r="B22" s="10" t="s">
        <v>926</v>
      </c>
      <c r="C22" s="2" t="s">
        <v>753</v>
      </c>
      <c r="D22" s="3" t="s">
        <v>0</v>
      </c>
      <c r="E22" s="1"/>
      <c r="H22" s="5">
        <v>17</v>
      </c>
      <c r="I22" s="10" t="s">
        <v>956</v>
      </c>
      <c r="J22" s="2" t="s">
        <v>717</v>
      </c>
      <c r="K22" s="11" t="s">
        <v>1</v>
      </c>
      <c r="L22" s="1"/>
    </row>
    <row r="23" spans="1:12" x14ac:dyDescent="0.25">
      <c r="A23" s="5">
        <v>18</v>
      </c>
      <c r="B23" s="10" t="s">
        <v>927</v>
      </c>
      <c r="C23" s="2" t="s">
        <v>688</v>
      </c>
      <c r="D23" s="3" t="s">
        <v>1</v>
      </c>
      <c r="E23" s="1"/>
      <c r="H23" s="5">
        <v>18</v>
      </c>
      <c r="I23" s="10" t="s">
        <v>957</v>
      </c>
      <c r="J23" s="4" t="s">
        <v>718</v>
      </c>
      <c r="K23" s="12" t="s">
        <v>0</v>
      </c>
      <c r="L23" s="1"/>
    </row>
    <row r="24" spans="1:12" x14ac:dyDescent="0.25">
      <c r="A24" s="10">
        <v>19</v>
      </c>
      <c r="B24" s="10" t="s">
        <v>928</v>
      </c>
      <c r="C24" s="4" t="s">
        <v>689</v>
      </c>
      <c r="D24" s="3" t="s">
        <v>0</v>
      </c>
      <c r="E24" s="1"/>
      <c r="H24" s="5">
        <v>19</v>
      </c>
      <c r="I24" s="10" t="s">
        <v>958</v>
      </c>
      <c r="J24" s="2" t="s">
        <v>719</v>
      </c>
      <c r="K24" s="11" t="s">
        <v>1</v>
      </c>
      <c r="L24" s="1"/>
    </row>
    <row r="25" spans="1:12" x14ac:dyDescent="0.25">
      <c r="A25" s="5">
        <v>20</v>
      </c>
      <c r="B25" s="10" t="s">
        <v>929</v>
      </c>
      <c r="C25" s="2" t="s">
        <v>690</v>
      </c>
      <c r="D25" s="3" t="s">
        <v>0</v>
      </c>
      <c r="E25" s="1"/>
      <c r="H25" s="5">
        <v>20</v>
      </c>
      <c r="I25" s="10" t="s">
        <v>959</v>
      </c>
      <c r="J25" s="2" t="s">
        <v>720</v>
      </c>
      <c r="K25" s="11" t="s">
        <v>0</v>
      </c>
      <c r="L25" s="1"/>
    </row>
    <row r="26" spans="1:12" x14ac:dyDescent="0.25">
      <c r="A26" s="10">
        <v>21</v>
      </c>
      <c r="B26" s="10" t="s">
        <v>930</v>
      </c>
      <c r="C26" s="4" t="s">
        <v>698</v>
      </c>
      <c r="D26" s="5" t="s">
        <v>0</v>
      </c>
      <c r="E26" s="1"/>
      <c r="H26" s="5">
        <v>21</v>
      </c>
      <c r="I26" s="10" t="s">
        <v>960</v>
      </c>
      <c r="J26" s="2" t="s">
        <v>721</v>
      </c>
      <c r="K26" s="11" t="s">
        <v>0</v>
      </c>
      <c r="L26" s="1"/>
    </row>
    <row r="27" spans="1:12" x14ac:dyDescent="0.25">
      <c r="A27" s="5">
        <v>22</v>
      </c>
      <c r="B27" s="10" t="s">
        <v>931</v>
      </c>
      <c r="C27" s="2" t="s">
        <v>691</v>
      </c>
      <c r="D27" s="3" t="s">
        <v>1</v>
      </c>
      <c r="E27" s="1"/>
      <c r="H27" s="5">
        <v>22</v>
      </c>
      <c r="I27" s="10" t="s">
        <v>961</v>
      </c>
      <c r="J27" s="2" t="s">
        <v>722</v>
      </c>
      <c r="K27" s="11" t="s">
        <v>0</v>
      </c>
      <c r="L27" s="1"/>
    </row>
    <row r="28" spans="1:12" x14ac:dyDescent="0.25">
      <c r="A28" s="10">
        <v>23</v>
      </c>
      <c r="B28" s="10" t="s">
        <v>932</v>
      </c>
      <c r="C28" s="2" t="s">
        <v>692</v>
      </c>
      <c r="D28" s="3" t="s">
        <v>1</v>
      </c>
      <c r="E28" s="1"/>
      <c r="H28" s="5">
        <v>23</v>
      </c>
      <c r="I28" s="10" t="s">
        <v>962</v>
      </c>
      <c r="J28" s="2" t="s">
        <v>723</v>
      </c>
      <c r="K28" s="11" t="s">
        <v>1</v>
      </c>
      <c r="L28" s="1"/>
    </row>
    <row r="29" spans="1:12" x14ac:dyDescent="0.25">
      <c r="A29" s="5">
        <v>24</v>
      </c>
      <c r="B29" s="10" t="s">
        <v>933</v>
      </c>
      <c r="C29" s="2" t="s">
        <v>693</v>
      </c>
      <c r="D29" s="3" t="s">
        <v>1</v>
      </c>
      <c r="E29" s="1"/>
      <c r="H29" s="5">
        <v>24</v>
      </c>
      <c r="I29" s="10" t="s">
        <v>963</v>
      </c>
      <c r="J29" s="2" t="s">
        <v>724</v>
      </c>
      <c r="K29" s="11" t="s">
        <v>1</v>
      </c>
      <c r="L29" s="1"/>
    </row>
    <row r="30" spans="1:12" x14ac:dyDescent="0.25">
      <c r="A30" s="10">
        <v>25</v>
      </c>
      <c r="B30" s="10" t="s">
        <v>934</v>
      </c>
      <c r="C30" s="2" t="s">
        <v>699</v>
      </c>
      <c r="D30" s="3" t="s">
        <v>0</v>
      </c>
      <c r="E30" s="1"/>
      <c r="H30" s="5">
        <v>25</v>
      </c>
      <c r="I30" s="10" t="s">
        <v>964</v>
      </c>
      <c r="J30" s="28" t="s">
        <v>725</v>
      </c>
      <c r="K30" s="11" t="s">
        <v>1</v>
      </c>
      <c r="L30" s="1"/>
    </row>
    <row r="31" spans="1:12" x14ac:dyDescent="0.25">
      <c r="A31" s="5">
        <v>26</v>
      </c>
      <c r="B31" s="10" t="s">
        <v>935</v>
      </c>
      <c r="C31" s="2" t="s">
        <v>700</v>
      </c>
      <c r="D31" s="3" t="s">
        <v>0</v>
      </c>
      <c r="E31" s="1"/>
      <c r="H31" s="5">
        <v>26</v>
      </c>
      <c r="I31" s="5" t="s">
        <v>965</v>
      </c>
      <c r="J31" s="2" t="s">
        <v>726</v>
      </c>
      <c r="K31" s="3" t="s">
        <v>1</v>
      </c>
      <c r="L31" s="1"/>
    </row>
    <row r="32" spans="1:12" x14ac:dyDescent="0.25">
      <c r="A32" s="10">
        <v>27</v>
      </c>
      <c r="B32" s="10" t="s">
        <v>936</v>
      </c>
      <c r="C32" s="2" t="s">
        <v>694</v>
      </c>
      <c r="D32" s="3" t="s">
        <v>0</v>
      </c>
      <c r="E32" s="1"/>
      <c r="H32" s="5">
        <v>27</v>
      </c>
      <c r="I32" s="10" t="s">
        <v>966</v>
      </c>
      <c r="J32" s="2" t="s">
        <v>727</v>
      </c>
      <c r="K32" s="11" t="s">
        <v>1</v>
      </c>
      <c r="L32" s="1"/>
    </row>
    <row r="33" spans="1:13" x14ac:dyDescent="0.25">
      <c r="A33" s="5">
        <v>28</v>
      </c>
      <c r="B33" s="10" t="s">
        <v>937</v>
      </c>
      <c r="C33" s="2" t="s">
        <v>695</v>
      </c>
      <c r="D33" s="3" t="s">
        <v>1</v>
      </c>
      <c r="E33" s="1"/>
      <c r="H33" s="5"/>
      <c r="I33" s="10"/>
      <c r="J33" s="2"/>
      <c r="K33" s="11"/>
      <c r="L33" s="1"/>
    </row>
    <row r="34" spans="1:13" x14ac:dyDescent="0.25">
      <c r="A34" s="10">
        <v>29</v>
      </c>
      <c r="B34" s="10" t="s">
        <v>938</v>
      </c>
      <c r="C34" s="4" t="s">
        <v>696</v>
      </c>
      <c r="D34" s="104" t="s">
        <v>0</v>
      </c>
      <c r="E34" s="1"/>
      <c r="H34" s="5"/>
      <c r="I34" s="10"/>
      <c r="J34" s="2"/>
      <c r="K34" s="31"/>
      <c r="L34" s="1"/>
    </row>
    <row r="35" spans="1:13" x14ac:dyDescent="0.25">
      <c r="A35" s="5">
        <v>30</v>
      </c>
      <c r="B35" s="10" t="s">
        <v>939</v>
      </c>
      <c r="C35" s="2" t="s">
        <v>697</v>
      </c>
      <c r="D35" s="3" t="s">
        <v>1</v>
      </c>
      <c r="E35" s="1"/>
      <c r="H35" s="5"/>
      <c r="I35" s="10"/>
      <c r="J35" s="2"/>
      <c r="K35" s="11"/>
      <c r="L35" s="1"/>
    </row>
    <row r="36" spans="1:13" x14ac:dyDescent="0.25">
      <c r="A36" s="10"/>
      <c r="B36" s="10"/>
      <c r="C36" s="2"/>
      <c r="D36" s="3"/>
      <c r="E36" s="1"/>
      <c r="H36" s="5"/>
      <c r="I36" s="40"/>
      <c r="J36" s="1"/>
      <c r="K36" s="5"/>
      <c r="L36" s="1"/>
    </row>
    <row r="37" spans="1:13" x14ac:dyDescent="0.25">
      <c r="H37" s="18"/>
    </row>
    <row r="38" spans="1:13" x14ac:dyDescent="0.25">
      <c r="A38" s="209" t="s">
        <v>8</v>
      </c>
      <c r="B38" s="209"/>
      <c r="C38" s="22" t="s">
        <v>9</v>
      </c>
      <c r="H38" s="6" t="s">
        <v>21</v>
      </c>
      <c r="I38" s="6"/>
      <c r="J38" s="22" t="s">
        <v>9</v>
      </c>
    </row>
    <row r="39" spans="1:13" x14ac:dyDescent="0.25">
      <c r="B39" s="17" t="s">
        <v>10</v>
      </c>
      <c r="C39" s="21">
        <f>COUNTIF(D6:D36,"L")</f>
        <v>16</v>
      </c>
      <c r="D39" s="208" t="s">
        <v>1547</v>
      </c>
      <c r="E39" s="208"/>
      <c r="F39" s="20"/>
      <c r="G39" s="32"/>
      <c r="I39" s="17" t="s">
        <v>10</v>
      </c>
      <c r="J39" s="23">
        <f>COUNTIF(K6:K36,"L")</f>
        <v>13</v>
      </c>
      <c r="K39" s="208" t="s">
        <v>1547</v>
      </c>
      <c r="L39" s="208"/>
    </row>
    <row r="40" spans="1:13" x14ac:dyDescent="0.25">
      <c r="B40" s="17" t="s">
        <v>11</v>
      </c>
      <c r="C40" s="23">
        <f>COUNTIF(D6:D36,"P")</f>
        <v>14</v>
      </c>
      <c r="D40" s="208" t="s">
        <v>12</v>
      </c>
      <c r="E40" s="208"/>
      <c r="F40" s="20"/>
      <c r="I40" s="17" t="s">
        <v>11</v>
      </c>
      <c r="J40" s="23">
        <f>COUNTIF(K6:K36,"P")</f>
        <v>14</v>
      </c>
      <c r="K40" s="18" t="s">
        <v>12</v>
      </c>
      <c r="L40" s="18"/>
      <c r="M40" s="19"/>
    </row>
    <row r="41" spans="1:13" x14ac:dyDescent="0.25">
      <c r="B41" s="30" t="s">
        <v>20</v>
      </c>
      <c r="C41" s="29">
        <f>C39+C40</f>
        <v>30</v>
      </c>
      <c r="D41" s="18"/>
      <c r="E41" s="18"/>
      <c r="F41" s="18"/>
      <c r="I41" s="30" t="s">
        <v>20</v>
      </c>
      <c r="J41" s="29">
        <f>J39+J40</f>
        <v>27</v>
      </c>
      <c r="K41" s="18"/>
      <c r="L41" s="18"/>
      <c r="M41" s="19"/>
    </row>
    <row r="42" spans="1:13" x14ac:dyDescent="0.25">
      <c r="M42" s="18"/>
    </row>
    <row r="43" spans="1:13" x14ac:dyDescent="0.25">
      <c r="K43" s="19" t="s">
        <v>13</v>
      </c>
      <c r="L43" s="19"/>
    </row>
    <row r="44" spans="1:13" x14ac:dyDescent="0.25">
      <c r="D44" s="208" t="s">
        <v>13</v>
      </c>
      <c r="E44" s="208"/>
      <c r="F44" s="20"/>
      <c r="K44" t="s">
        <v>14</v>
      </c>
    </row>
    <row r="45" spans="1:13" x14ac:dyDescent="0.25">
      <c r="D45" t="s">
        <v>14</v>
      </c>
      <c r="M45" s="19"/>
    </row>
    <row r="47" spans="1:13" ht="15.75" x14ac:dyDescent="0.25">
      <c r="A47" s="210" t="s">
        <v>670</v>
      </c>
      <c r="B47" s="210"/>
      <c r="C47" s="210"/>
      <c r="D47" s="210"/>
      <c r="E47" s="210"/>
      <c r="G47" s="211" t="s">
        <v>670</v>
      </c>
      <c r="H47" s="210"/>
      <c r="I47" s="210"/>
      <c r="J47" s="210"/>
      <c r="K47" s="210"/>
      <c r="L47" s="210"/>
    </row>
    <row r="48" spans="1:13" ht="15.75" x14ac:dyDescent="0.25">
      <c r="A48" s="210" t="s">
        <v>1546</v>
      </c>
      <c r="B48" s="210"/>
      <c r="C48" s="210"/>
      <c r="D48" s="210"/>
      <c r="E48" s="210"/>
      <c r="G48" s="211" t="s">
        <v>1546</v>
      </c>
      <c r="H48" s="210"/>
      <c r="I48" s="210"/>
      <c r="J48" s="210"/>
      <c r="K48" s="210"/>
      <c r="L48" s="210"/>
    </row>
    <row r="49" spans="1:12" ht="15.75" x14ac:dyDescent="0.25">
      <c r="A49" s="210" t="s">
        <v>17</v>
      </c>
      <c r="B49" s="210"/>
      <c r="C49" s="210"/>
      <c r="D49" s="210"/>
      <c r="E49" s="210"/>
      <c r="H49" s="210" t="s">
        <v>18</v>
      </c>
      <c r="I49" s="210"/>
      <c r="J49" s="210"/>
      <c r="K49" s="210"/>
      <c r="L49" s="210"/>
    </row>
    <row r="50" spans="1:12" x14ac:dyDescent="0.25">
      <c r="A50" s="6"/>
      <c r="B50" s="6"/>
      <c r="C50" s="6"/>
      <c r="D50" s="6"/>
      <c r="H50" s="6"/>
      <c r="I50" s="6"/>
      <c r="J50" s="6"/>
      <c r="K50" s="6"/>
    </row>
    <row r="51" spans="1:12" ht="15.95" customHeight="1" x14ac:dyDescent="0.25">
      <c r="A51" s="13" t="s">
        <v>2</v>
      </c>
      <c r="B51" s="13" t="s">
        <v>3</v>
      </c>
      <c r="C51" s="13" t="s">
        <v>7</v>
      </c>
      <c r="D51" s="13" t="s">
        <v>5</v>
      </c>
      <c r="E51" s="13" t="s">
        <v>6</v>
      </c>
      <c r="H51" s="13" t="s">
        <v>2</v>
      </c>
      <c r="I51" s="13" t="s">
        <v>3</v>
      </c>
      <c r="J51" s="13" t="s">
        <v>7</v>
      </c>
      <c r="K51" s="13" t="s">
        <v>5</v>
      </c>
      <c r="L51" s="13" t="s">
        <v>6</v>
      </c>
    </row>
    <row r="52" spans="1:12" ht="15.95" customHeight="1" x14ac:dyDescent="0.25">
      <c r="A52" s="9">
        <v>1</v>
      </c>
      <c r="B52" s="66" t="s">
        <v>967</v>
      </c>
      <c r="C52" s="2" t="s">
        <v>728</v>
      </c>
      <c r="D52" s="3" t="s">
        <v>0</v>
      </c>
      <c r="E52" s="1"/>
      <c r="H52" s="9">
        <v>1</v>
      </c>
      <c r="I52" s="66" t="s">
        <v>1021</v>
      </c>
      <c r="J52" s="2" t="s">
        <v>757</v>
      </c>
      <c r="K52" s="5" t="s">
        <v>1</v>
      </c>
      <c r="L52" s="1"/>
    </row>
    <row r="53" spans="1:12" ht="15.95" customHeight="1" x14ac:dyDescent="0.25">
      <c r="A53" s="9">
        <v>2</v>
      </c>
      <c r="B53" s="10" t="s">
        <v>968</v>
      </c>
      <c r="C53" s="2" t="s">
        <v>729</v>
      </c>
      <c r="D53" s="3" t="s">
        <v>1</v>
      </c>
      <c r="E53" s="1"/>
      <c r="H53" s="9">
        <v>2</v>
      </c>
      <c r="I53" s="10" t="s">
        <v>995</v>
      </c>
      <c r="J53" s="2" t="s">
        <v>758</v>
      </c>
      <c r="K53" s="5" t="s">
        <v>1</v>
      </c>
      <c r="L53" s="1"/>
    </row>
    <row r="54" spans="1:12" ht="15.95" customHeight="1" x14ac:dyDescent="0.25">
      <c r="A54" s="9">
        <v>3</v>
      </c>
      <c r="B54" s="10" t="s">
        <v>969</v>
      </c>
      <c r="C54" s="2" t="s">
        <v>730</v>
      </c>
      <c r="D54" s="3" t="s">
        <v>0</v>
      </c>
      <c r="E54" s="1"/>
      <c r="H54" s="9">
        <v>3</v>
      </c>
      <c r="I54" s="10" t="s">
        <v>996</v>
      </c>
      <c r="J54" s="2" t="s">
        <v>759</v>
      </c>
      <c r="K54" s="5" t="s">
        <v>1</v>
      </c>
      <c r="L54" s="1"/>
    </row>
    <row r="55" spans="1:12" ht="15.95" customHeight="1" x14ac:dyDescent="0.25">
      <c r="A55" s="9">
        <v>4</v>
      </c>
      <c r="B55" s="10" t="s">
        <v>970</v>
      </c>
      <c r="C55" s="2" t="s">
        <v>731</v>
      </c>
      <c r="D55" s="3" t="s">
        <v>0</v>
      </c>
      <c r="E55" s="1"/>
      <c r="H55" s="9">
        <v>4</v>
      </c>
      <c r="I55" s="10" t="s">
        <v>997</v>
      </c>
      <c r="J55" s="4" t="s">
        <v>760</v>
      </c>
      <c r="K55" s="5" t="s">
        <v>1</v>
      </c>
      <c r="L55" s="1"/>
    </row>
    <row r="56" spans="1:12" ht="15.95" customHeight="1" x14ac:dyDescent="0.25">
      <c r="A56" s="9">
        <v>5</v>
      </c>
      <c r="B56" s="10" t="s">
        <v>971</v>
      </c>
      <c r="C56" s="2" t="s">
        <v>732</v>
      </c>
      <c r="D56" s="3" t="s">
        <v>0</v>
      </c>
      <c r="E56" s="1"/>
      <c r="H56" s="9">
        <v>5</v>
      </c>
      <c r="I56" s="10" t="s">
        <v>998</v>
      </c>
      <c r="J56" s="2" t="s">
        <v>761</v>
      </c>
      <c r="K56" s="5" t="s">
        <v>0</v>
      </c>
      <c r="L56" s="1"/>
    </row>
    <row r="57" spans="1:12" ht="15.95" customHeight="1" x14ac:dyDescent="0.25">
      <c r="A57" s="9">
        <v>6</v>
      </c>
      <c r="B57" s="10" t="s">
        <v>972</v>
      </c>
      <c r="C57" s="2" t="s">
        <v>733</v>
      </c>
      <c r="D57" s="3" t="s">
        <v>0</v>
      </c>
      <c r="E57" s="1"/>
      <c r="H57" s="9">
        <v>6</v>
      </c>
      <c r="I57" s="10" t="s">
        <v>999</v>
      </c>
      <c r="J57" s="2" t="s">
        <v>762</v>
      </c>
      <c r="K57" s="5" t="s">
        <v>0</v>
      </c>
      <c r="L57" s="1"/>
    </row>
    <row r="58" spans="1:12" ht="15.95" customHeight="1" x14ac:dyDescent="0.25">
      <c r="A58" s="9">
        <v>7</v>
      </c>
      <c r="B58" s="10" t="s">
        <v>973</v>
      </c>
      <c r="C58" s="2" t="s">
        <v>734</v>
      </c>
      <c r="D58" s="3" t="s">
        <v>0</v>
      </c>
      <c r="E58" s="1"/>
      <c r="H58" s="9">
        <v>7</v>
      </c>
      <c r="I58" s="10" t="s">
        <v>1000</v>
      </c>
      <c r="J58" s="2" t="s">
        <v>763</v>
      </c>
      <c r="K58" s="5" t="s">
        <v>1</v>
      </c>
      <c r="L58" s="1"/>
    </row>
    <row r="59" spans="1:12" ht="15.95" customHeight="1" x14ac:dyDescent="0.25">
      <c r="A59" s="9">
        <v>8</v>
      </c>
      <c r="B59" s="40" t="s">
        <v>974</v>
      </c>
      <c r="C59" s="2" t="s">
        <v>735</v>
      </c>
      <c r="D59" s="5" t="s">
        <v>1</v>
      </c>
      <c r="E59" s="1"/>
      <c r="H59" s="9">
        <v>8</v>
      </c>
      <c r="I59" s="10" t="s">
        <v>1001</v>
      </c>
      <c r="J59" s="4" t="s">
        <v>764</v>
      </c>
      <c r="K59" s="5" t="s">
        <v>1</v>
      </c>
      <c r="L59" s="1"/>
    </row>
    <row r="60" spans="1:12" ht="15.95" customHeight="1" x14ac:dyDescent="0.25">
      <c r="A60" s="9">
        <v>9</v>
      </c>
      <c r="B60" s="10" t="s">
        <v>975</v>
      </c>
      <c r="C60" s="2" t="s">
        <v>736</v>
      </c>
      <c r="D60" s="3" t="s">
        <v>1</v>
      </c>
      <c r="E60" s="1"/>
      <c r="H60" s="9">
        <v>9</v>
      </c>
      <c r="I60" s="10" t="s">
        <v>1002</v>
      </c>
      <c r="J60" s="2" t="s">
        <v>765</v>
      </c>
      <c r="K60" s="5" t="s">
        <v>0</v>
      </c>
      <c r="L60" s="1"/>
    </row>
    <row r="61" spans="1:12" ht="15.95" customHeight="1" x14ac:dyDescent="0.25">
      <c r="A61" s="9">
        <v>10</v>
      </c>
      <c r="B61" s="10" t="s">
        <v>976</v>
      </c>
      <c r="C61" s="2" t="s">
        <v>737</v>
      </c>
      <c r="D61" s="3" t="s">
        <v>0</v>
      </c>
      <c r="E61" s="1"/>
      <c r="H61" s="9">
        <v>10</v>
      </c>
      <c r="I61" s="10" t="s">
        <v>1003</v>
      </c>
      <c r="J61" s="4" t="s">
        <v>766</v>
      </c>
      <c r="K61" s="5" t="s">
        <v>1</v>
      </c>
      <c r="L61" s="1"/>
    </row>
    <row r="62" spans="1:12" ht="15.95" customHeight="1" x14ac:dyDescent="0.25">
      <c r="A62" s="9">
        <v>11</v>
      </c>
      <c r="B62" s="10" t="s">
        <v>977</v>
      </c>
      <c r="C62" s="2" t="s">
        <v>738</v>
      </c>
      <c r="D62" s="3" t="s">
        <v>1</v>
      </c>
      <c r="E62" s="1"/>
      <c r="H62" s="9">
        <v>11</v>
      </c>
      <c r="I62" s="144" t="s">
        <v>1004</v>
      </c>
      <c r="J62" s="25" t="s">
        <v>767</v>
      </c>
      <c r="K62" s="145" t="s">
        <v>0</v>
      </c>
      <c r="L62" s="1"/>
    </row>
    <row r="63" spans="1:12" ht="15.95" customHeight="1" x14ac:dyDescent="0.25">
      <c r="A63" s="9">
        <v>12</v>
      </c>
      <c r="B63" s="10" t="s">
        <v>978</v>
      </c>
      <c r="C63" s="2" t="s">
        <v>739</v>
      </c>
      <c r="D63" s="3" t="s">
        <v>0</v>
      </c>
      <c r="E63" s="1"/>
      <c r="H63" s="9">
        <v>12</v>
      </c>
      <c r="I63" s="10" t="s">
        <v>1005</v>
      </c>
      <c r="J63" s="4" t="s">
        <v>768</v>
      </c>
      <c r="K63" s="5" t="s">
        <v>0</v>
      </c>
      <c r="L63" s="1"/>
    </row>
    <row r="64" spans="1:12" ht="15.95" customHeight="1" x14ac:dyDescent="0.25">
      <c r="A64" s="9">
        <v>13</v>
      </c>
      <c r="B64" s="10" t="s">
        <v>979</v>
      </c>
      <c r="C64" s="2" t="s">
        <v>740</v>
      </c>
      <c r="D64" s="3" t="s">
        <v>0</v>
      </c>
      <c r="E64" s="1"/>
      <c r="H64" s="9">
        <v>13</v>
      </c>
      <c r="I64" s="10" t="s">
        <v>1006</v>
      </c>
      <c r="J64" s="2" t="s">
        <v>769</v>
      </c>
      <c r="K64" s="5" t="s">
        <v>0</v>
      </c>
      <c r="L64" s="1"/>
    </row>
    <row r="65" spans="1:12" ht="15.95" customHeight="1" x14ac:dyDescent="0.25">
      <c r="A65" s="9">
        <v>14</v>
      </c>
      <c r="B65" s="10" t="s">
        <v>980</v>
      </c>
      <c r="C65" s="2" t="s">
        <v>741</v>
      </c>
      <c r="D65" s="3" t="s">
        <v>1</v>
      </c>
      <c r="E65" s="1"/>
      <c r="H65" s="9">
        <v>14</v>
      </c>
      <c r="I65" s="10" t="s">
        <v>1007</v>
      </c>
      <c r="J65" s="2" t="s">
        <v>770</v>
      </c>
      <c r="K65" s="5" t="s">
        <v>0</v>
      </c>
      <c r="L65" s="1"/>
    </row>
    <row r="66" spans="1:12" ht="15.95" customHeight="1" x14ac:dyDescent="0.25">
      <c r="A66" s="9">
        <v>15</v>
      </c>
      <c r="B66" s="10" t="s">
        <v>981</v>
      </c>
      <c r="C66" s="2" t="s">
        <v>742</v>
      </c>
      <c r="D66" s="3" t="s">
        <v>1</v>
      </c>
      <c r="E66" s="1"/>
      <c r="H66" s="9">
        <v>15</v>
      </c>
      <c r="I66" s="10" t="s">
        <v>1008</v>
      </c>
      <c r="J66" s="24" t="s">
        <v>771</v>
      </c>
      <c r="K66" s="5" t="s">
        <v>1</v>
      </c>
      <c r="L66" s="1"/>
    </row>
    <row r="67" spans="1:12" ht="15.95" customHeight="1" x14ac:dyDescent="0.25">
      <c r="A67" s="9">
        <v>16</v>
      </c>
      <c r="B67" s="66" t="s">
        <v>982</v>
      </c>
      <c r="C67" s="4" t="s">
        <v>687</v>
      </c>
      <c r="D67" s="5" t="s">
        <v>0</v>
      </c>
      <c r="E67" s="1"/>
      <c r="H67" s="9">
        <v>16</v>
      </c>
      <c r="I67" s="10" t="s">
        <v>1009</v>
      </c>
      <c r="J67" s="2" t="s">
        <v>772</v>
      </c>
      <c r="K67" s="5" t="s">
        <v>1</v>
      </c>
      <c r="L67" s="1"/>
    </row>
    <row r="68" spans="1:12" ht="15.95" customHeight="1" x14ac:dyDescent="0.25">
      <c r="A68" s="9">
        <v>17</v>
      </c>
      <c r="B68" s="66" t="s">
        <v>983</v>
      </c>
      <c r="C68" s="103" t="s">
        <v>743</v>
      </c>
      <c r="D68" s="5" t="s">
        <v>1</v>
      </c>
      <c r="E68" s="1"/>
      <c r="H68" s="9">
        <v>17</v>
      </c>
      <c r="I68" s="10" t="s">
        <v>1010</v>
      </c>
      <c r="J68" s="2" t="s">
        <v>773</v>
      </c>
      <c r="K68" s="5" t="s">
        <v>0</v>
      </c>
      <c r="L68" s="1"/>
    </row>
    <row r="69" spans="1:12" ht="15.95" customHeight="1" x14ac:dyDescent="0.25">
      <c r="A69" s="9">
        <v>18</v>
      </c>
      <c r="B69" s="66" t="s">
        <v>984</v>
      </c>
      <c r="C69" s="2" t="s">
        <v>744</v>
      </c>
      <c r="D69" s="3" t="s">
        <v>0</v>
      </c>
      <c r="E69" s="1"/>
      <c r="H69" s="9">
        <v>18</v>
      </c>
      <c r="I69" s="40" t="s">
        <v>1011</v>
      </c>
      <c r="J69" s="2" t="s">
        <v>774</v>
      </c>
      <c r="K69" s="5" t="s">
        <v>0</v>
      </c>
      <c r="L69" s="1"/>
    </row>
    <row r="70" spans="1:12" ht="15.95" customHeight="1" x14ac:dyDescent="0.25">
      <c r="A70" s="9">
        <v>19</v>
      </c>
      <c r="B70" s="66" t="s">
        <v>985</v>
      </c>
      <c r="C70" s="2" t="s">
        <v>745</v>
      </c>
      <c r="D70" s="3" t="s">
        <v>1</v>
      </c>
      <c r="E70" s="1"/>
      <c r="H70" s="9">
        <v>19</v>
      </c>
      <c r="I70" s="10" t="s">
        <v>1012</v>
      </c>
      <c r="J70" s="2" t="s">
        <v>775</v>
      </c>
      <c r="K70" s="5" t="s">
        <v>0</v>
      </c>
      <c r="L70" s="1"/>
    </row>
    <row r="71" spans="1:12" ht="15.95" customHeight="1" x14ac:dyDescent="0.25">
      <c r="A71" s="9">
        <v>20</v>
      </c>
      <c r="B71" s="66" t="s">
        <v>986</v>
      </c>
      <c r="C71" s="2" t="s">
        <v>746</v>
      </c>
      <c r="D71" s="3" t="s">
        <v>0</v>
      </c>
      <c r="E71" s="1"/>
      <c r="H71" s="9">
        <v>20</v>
      </c>
      <c r="I71" s="10" t="s">
        <v>1013</v>
      </c>
      <c r="J71" s="2" t="s">
        <v>776</v>
      </c>
      <c r="K71" s="5" t="s">
        <v>0</v>
      </c>
      <c r="L71" s="1"/>
    </row>
    <row r="72" spans="1:12" ht="15.95" customHeight="1" x14ac:dyDescent="0.25">
      <c r="A72" s="9">
        <v>21</v>
      </c>
      <c r="B72" s="66" t="s">
        <v>987</v>
      </c>
      <c r="C72" s="2" t="s">
        <v>747</v>
      </c>
      <c r="D72" s="3" t="s">
        <v>1</v>
      </c>
      <c r="E72" s="1"/>
      <c r="H72" s="9">
        <v>21</v>
      </c>
      <c r="I72" s="10" t="s">
        <v>1014</v>
      </c>
      <c r="J72" s="2" t="s">
        <v>777</v>
      </c>
      <c r="K72" s="5" t="s">
        <v>0</v>
      </c>
      <c r="L72" s="1"/>
    </row>
    <row r="73" spans="1:12" ht="15.95" customHeight="1" x14ac:dyDescent="0.25">
      <c r="A73" s="9">
        <v>22</v>
      </c>
      <c r="B73" s="66" t="s">
        <v>1143</v>
      </c>
      <c r="C73" s="2" t="s">
        <v>748</v>
      </c>
      <c r="D73" s="3" t="s">
        <v>1</v>
      </c>
      <c r="E73" s="1"/>
      <c r="H73" s="9">
        <v>22</v>
      </c>
      <c r="I73" s="10" t="s">
        <v>1015</v>
      </c>
      <c r="J73" s="2" t="s">
        <v>778</v>
      </c>
      <c r="K73" s="5" t="s">
        <v>0</v>
      </c>
      <c r="L73" s="1"/>
    </row>
    <row r="74" spans="1:12" ht="15.95" customHeight="1" x14ac:dyDescent="0.25">
      <c r="A74" s="9">
        <v>23</v>
      </c>
      <c r="B74" s="66" t="s">
        <v>988</v>
      </c>
      <c r="C74" s="2" t="s">
        <v>749</v>
      </c>
      <c r="D74" s="3" t="s">
        <v>1</v>
      </c>
      <c r="E74" s="1"/>
      <c r="H74" s="9">
        <v>23</v>
      </c>
      <c r="I74" s="10" t="s">
        <v>1016</v>
      </c>
      <c r="J74" s="2" t="s">
        <v>779</v>
      </c>
      <c r="K74" s="5" t="s">
        <v>0</v>
      </c>
      <c r="L74" s="1"/>
    </row>
    <row r="75" spans="1:12" ht="15.95" customHeight="1" x14ac:dyDescent="0.25">
      <c r="A75" s="9">
        <v>24</v>
      </c>
      <c r="B75" s="66" t="s">
        <v>989</v>
      </c>
      <c r="C75" s="2" t="s">
        <v>750</v>
      </c>
      <c r="D75" s="3" t="s">
        <v>1</v>
      </c>
      <c r="E75" s="1"/>
      <c r="H75" s="9">
        <v>24</v>
      </c>
      <c r="I75" s="10" t="s">
        <v>1017</v>
      </c>
      <c r="J75" s="2" t="s">
        <v>780</v>
      </c>
      <c r="K75" s="5" t="s">
        <v>0</v>
      </c>
      <c r="L75" s="1"/>
    </row>
    <row r="76" spans="1:12" ht="15.95" customHeight="1" x14ac:dyDescent="0.25">
      <c r="A76" s="9">
        <v>25</v>
      </c>
      <c r="B76" s="66" t="s">
        <v>990</v>
      </c>
      <c r="C76" s="2" t="s">
        <v>751</v>
      </c>
      <c r="D76" s="3" t="s">
        <v>1</v>
      </c>
      <c r="E76" s="1"/>
      <c r="H76" s="9">
        <v>25</v>
      </c>
      <c r="I76" s="10" t="s">
        <v>1018</v>
      </c>
      <c r="J76" s="2" t="s">
        <v>781</v>
      </c>
      <c r="K76" s="5" t="s">
        <v>1</v>
      </c>
      <c r="L76" s="1"/>
    </row>
    <row r="77" spans="1:12" ht="15.95" customHeight="1" x14ac:dyDescent="0.25">
      <c r="A77" s="9">
        <v>26</v>
      </c>
      <c r="B77" s="98" t="s">
        <v>991</v>
      </c>
      <c r="C77" s="2" t="s">
        <v>752</v>
      </c>
      <c r="D77" s="80" t="s">
        <v>1</v>
      </c>
      <c r="E77" s="1"/>
      <c r="H77" s="9">
        <v>26</v>
      </c>
      <c r="I77" s="5" t="s">
        <v>1019</v>
      </c>
      <c r="J77" s="2" t="s">
        <v>782</v>
      </c>
      <c r="K77" s="5" t="s">
        <v>0</v>
      </c>
      <c r="L77" s="1"/>
    </row>
    <row r="78" spans="1:12" ht="15.95" customHeight="1" x14ac:dyDescent="0.25">
      <c r="A78" s="9">
        <v>27</v>
      </c>
      <c r="B78" s="66" t="s">
        <v>1141</v>
      </c>
      <c r="C78" s="2" t="s">
        <v>1142</v>
      </c>
      <c r="D78" s="3" t="s">
        <v>1</v>
      </c>
      <c r="E78" s="1"/>
      <c r="H78" s="9">
        <v>27</v>
      </c>
      <c r="I78" s="10" t="s">
        <v>1020</v>
      </c>
      <c r="J78" s="2" t="s">
        <v>783</v>
      </c>
      <c r="K78" s="5" t="s">
        <v>1</v>
      </c>
      <c r="L78" s="1"/>
    </row>
    <row r="79" spans="1:12" ht="15.95" customHeight="1" x14ac:dyDescent="0.25">
      <c r="A79" s="9">
        <v>28</v>
      </c>
      <c r="B79" s="10" t="s">
        <v>992</v>
      </c>
      <c r="C79" s="2" t="s">
        <v>754</v>
      </c>
      <c r="D79" s="3" t="s">
        <v>0</v>
      </c>
      <c r="E79" s="1"/>
      <c r="H79" s="9"/>
      <c r="I79" s="10"/>
      <c r="J79" s="2"/>
      <c r="K79" s="5"/>
      <c r="L79" s="1"/>
    </row>
    <row r="80" spans="1:12" ht="15.95" customHeight="1" x14ac:dyDescent="0.25">
      <c r="A80" s="9">
        <v>29</v>
      </c>
      <c r="B80" s="10" t="s">
        <v>993</v>
      </c>
      <c r="C80" s="2" t="s">
        <v>755</v>
      </c>
      <c r="D80" s="3" t="s">
        <v>0</v>
      </c>
      <c r="E80" s="1"/>
      <c r="H80" s="9"/>
      <c r="I80" s="10"/>
      <c r="J80" s="2"/>
      <c r="K80" s="5"/>
      <c r="L80" s="1"/>
    </row>
    <row r="81" spans="1:12" x14ac:dyDescent="0.25">
      <c r="A81" s="9">
        <v>30</v>
      </c>
      <c r="B81" s="10" t="s">
        <v>994</v>
      </c>
      <c r="C81" s="2" t="s">
        <v>756</v>
      </c>
      <c r="D81" s="3" t="s">
        <v>1</v>
      </c>
      <c r="E81" s="1"/>
      <c r="H81" s="9"/>
      <c r="I81" s="10"/>
      <c r="J81" s="2"/>
      <c r="K81" s="5"/>
      <c r="L81" s="1"/>
    </row>
    <row r="82" spans="1:12" ht="14.45" hidden="1" customHeight="1" x14ac:dyDescent="0.25">
      <c r="A82" s="9">
        <v>31</v>
      </c>
      <c r="B82" s="10"/>
      <c r="C82" s="27"/>
      <c r="D82" s="5"/>
      <c r="E82" s="1"/>
      <c r="H82" s="9"/>
      <c r="I82" s="1"/>
      <c r="J82" s="1"/>
      <c r="K82" s="5"/>
      <c r="L82" s="1"/>
    </row>
    <row r="83" spans="1:12" ht="14.45" hidden="1" customHeight="1" x14ac:dyDescent="0.25">
      <c r="A83" s="9">
        <v>32</v>
      </c>
      <c r="B83" s="1"/>
      <c r="C83" s="1"/>
      <c r="D83" s="1"/>
      <c r="E83" s="1"/>
    </row>
    <row r="84" spans="1:12" x14ac:dyDescent="0.25">
      <c r="A84" s="209" t="s">
        <v>8</v>
      </c>
      <c r="B84" s="209"/>
      <c r="C84" s="22" t="s">
        <v>9</v>
      </c>
      <c r="H84" s="6" t="s">
        <v>8</v>
      </c>
      <c r="I84" s="6"/>
      <c r="J84" s="22" t="s">
        <v>9</v>
      </c>
    </row>
    <row r="85" spans="1:12" x14ac:dyDescent="0.25">
      <c r="B85" s="17" t="s">
        <v>10</v>
      </c>
      <c r="C85" s="23">
        <f>COUNTIF(D52:D82,"L")</f>
        <v>14</v>
      </c>
      <c r="D85" s="208" t="s">
        <v>1547</v>
      </c>
      <c r="E85" s="208"/>
      <c r="I85" s="17" t="s">
        <v>10</v>
      </c>
      <c r="J85" s="23">
        <f>COUNTIF(K52:K83,"L")</f>
        <v>16</v>
      </c>
      <c r="K85" s="208" t="s">
        <v>1547</v>
      </c>
      <c r="L85" s="208"/>
    </row>
    <row r="86" spans="1:12" x14ac:dyDescent="0.25">
      <c r="B86" s="17" t="s">
        <v>11</v>
      </c>
      <c r="C86" s="23">
        <f>COUNTIF(D52:D82,"P")</f>
        <v>16</v>
      </c>
      <c r="D86" s="208" t="s">
        <v>12</v>
      </c>
      <c r="E86" s="208"/>
      <c r="I86" s="17" t="s">
        <v>11</v>
      </c>
      <c r="J86" s="23">
        <f>COUNTIF(K52:K82,"P")</f>
        <v>11</v>
      </c>
      <c r="K86" s="208" t="s">
        <v>12</v>
      </c>
      <c r="L86" s="208"/>
    </row>
    <row r="87" spans="1:12" x14ac:dyDescent="0.25">
      <c r="B87" s="30" t="s">
        <v>20</v>
      </c>
      <c r="C87" s="29">
        <f>C85+C86</f>
        <v>30</v>
      </c>
      <c r="D87" s="18"/>
      <c r="E87" s="18"/>
      <c r="I87" s="30" t="s">
        <v>20</v>
      </c>
      <c r="J87" s="29">
        <f>J85+J86</f>
        <v>27</v>
      </c>
      <c r="K87" s="18"/>
      <c r="L87" s="18"/>
    </row>
    <row r="90" spans="1:12" x14ac:dyDescent="0.25">
      <c r="D90" s="208" t="s">
        <v>13</v>
      </c>
      <c r="E90" s="208"/>
      <c r="K90" s="18" t="s">
        <v>13</v>
      </c>
      <c r="L90" s="18"/>
    </row>
    <row r="91" spans="1:12" x14ac:dyDescent="0.25">
      <c r="D91" t="s">
        <v>14</v>
      </c>
      <c r="K91" t="s">
        <v>14</v>
      </c>
    </row>
    <row r="92" spans="1:12" ht="14.45" hidden="1" customHeight="1" x14ac:dyDescent="0.25"/>
    <row r="93" spans="1:12" ht="15.75" x14ac:dyDescent="0.25">
      <c r="A93" s="210" t="s">
        <v>670</v>
      </c>
      <c r="B93" s="210"/>
      <c r="C93" s="210"/>
      <c r="D93" s="210"/>
      <c r="E93" s="210"/>
      <c r="G93" s="211" t="s">
        <v>670</v>
      </c>
      <c r="H93" s="210"/>
      <c r="I93" s="210"/>
      <c r="J93" s="210"/>
      <c r="K93" s="210"/>
      <c r="L93" s="210"/>
    </row>
    <row r="94" spans="1:12" ht="15.75" x14ac:dyDescent="0.25">
      <c r="A94" s="210" t="s">
        <v>1546</v>
      </c>
      <c r="B94" s="210"/>
      <c r="C94" s="210"/>
      <c r="D94" s="210"/>
      <c r="E94" s="210"/>
      <c r="G94" s="211" t="s">
        <v>1546</v>
      </c>
      <c r="H94" s="210"/>
      <c r="I94" s="210"/>
      <c r="J94" s="210"/>
      <c r="K94" s="210"/>
      <c r="L94" s="210"/>
    </row>
    <row r="95" spans="1:12" ht="15.75" x14ac:dyDescent="0.25">
      <c r="A95" s="210" t="s">
        <v>29</v>
      </c>
      <c r="B95" s="210"/>
      <c r="C95" s="210"/>
      <c r="D95" s="210"/>
      <c r="E95" s="210"/>
      <c r="H95" s="210" t="s">
        <v>19</v>
      </c>
      <c r="I95" s="210"/>
      <c r="J95" s="210"/>
      <c r="K95" s="210"/>
      <c r="L95" s="210"/>
    </row>
    <row r="96" spans="1:12" x14ac:dyDescent="0.25">
      <c r="A96" s="6"/>
      <c r="B96" s="6"/>
      <c r="C96" s="6"/>
      <c r="D96" s="6"/>
      <c r="H96" s="6"/>
      <c r="I96" s="6"/>
      <c r="J96" s="6"/>
      <c r="K96" s="6"/>
    </row>
    <row r="97" spans="1:12" ht="15.95" customHeight="1" x14ac:dyDescent="0.25">
      <c r="A97" s="13" t="s">
        <v>2</v>
      </c>
      <c r="B97" s="13" t="s">
        <v>3</v>
      </c>
      <c r="C97" s="13" t="s">
        <v>7</v>
      </c>
      <c r="D97" s="13" t="s">
        <v>5</v>
      </c>
      <c r="E97" s="13" t="s">
        <v>6</v>
      </c>
      <c r="H97" s="13" t="s">
        <v>2</v>
      </c>
      <c r="I97" s="13" t="s">
        <v>3</v>
      </c>
      <c r="J97" s="13" t="s">
        <v>7</v>
      </c>
      <c r="K97" s="13" t="s">
        <v>5</v>
      </c>
      <c r="L97" s="13" t="s">
        <v>6</v>
      </c>
    </row>
    <row r="98" spans="1:12" ht="15.95" customHeight="1" x14ac:dyDescent="0.25">
      <c r="A98" s="5">
        <v>1</v>
      </c>
      <c r="B98" s="66" t="s">
        <v>1022</v>
      </c>
      <c r="C98" s="4" t="s">
        <v>1330</v>
      </c>
      <c r="D98" s="5" t="s">
        <v>0</v>
      </c>
      <c r="E98" s="1"/>
      <c r="H98" s="9">
        <v>1</v>
      </c>
      <c r="I98" s="66" t="s">
        <v>1048</v>
      </c>
      <c r="J98" s="2" t="s">
        <v>812</v>
      </c>
      <c r="K98" s="3" t="s">
        <v>0</v>
      </c>
      <c r="L98" s="1"/>
    </row>
    <row r="99" spans="1:12" ht="15.95" customHeight="1" x14ac:dyDescent="0.25">
      <c r="A99" s="5">
        <v>2</v>
      </c>
      <c r="B99" s="10" t="s">
        <v>1023</v>
      </c>
      <c r="C99" s="4" t="s">
        <v>784</v>
      </c>
      <c r="D99" s="5" t="s">
        <v>0</v>
      </c>
      <c r="E99" s="1"/>
      <c r="H99" s="9">
        <v>2</v>
      </c>
      <c r="I99" s="10" t="s">
        <v>1049</v>
      </c>
      <c r="J99" s="2" t="s">
        <v>813</v>
      </c>
      <c r="K99" s="5" t="s">
        <v>0</v>
      </c>
      <c r="L99" s="1"/>
    </row>
    <row r="100" spans="1:12" ht="15.95" customHeight="1" x14ac:dyDescent="0.25">
      <c r="A100" s="5">
        <v>3</v>
      </c>
      <c r="B100" s="10" t="s">
        <v>1024</v>
      </c>
      <c r="C100" s="146" t="s">
        <v>785</v>
      </c>
      <c r="D100" s="9" t="s">
        <v>0</v>
      </c>
      <c r="E100" s="1"/>
      <c r="H100" s="9">
        <v>3</v>
      </c>
      <c r="I100" s="10" t="s">
        <v>1050</v>
      </c>
      <c r="J100" s="2" t="s">
        <v>814</v>
      </c>
      <c r="K100" s="3" t="s">
        <v>0</v>
      </c>
      <c r="L100" s="1"/>
    </row>
    <row r="101" spans="1:12" ht="15.95" customHeight="1" x14ac:dyDescent="0.25">
      <c r="A101" s="5">
        <v>4</v>
      </c>
      <c r="B101" s="10" t="s">
        <v>1025</v>
      </c>
      <c r="C101" s="4" t="s">
        <v>786</v>
      </c>
      <c r="D101" s="5" t="s">
        <v>0</v>
      </c>
      <c r="E101" s="1"/>
      <c r="H101" s="9">
        <v>4</v>
      </c>
      <c r="I101" s="10" t="s">
        <v>1051</v>
      </c>
      <c r="J101" s="2" t="s">
        <v>815</v>
      </c>
      <c r="K101" s="3" t="s">
        <v>1</v>
      </c>
      <c r="L101" s="1"/>
    </row>
    <row r="102" spans="1:12" ht="15.95" customHeight="1" x14ac:dyDescent="0.25">
      <c r="A102" s="5">
        <v>5</v>
      </c>
      <c r="B102" s="10" t="s">
        <v>1026</v>
      </c>
      <c r="C102" s="4" t="s">
        <v>787</v>
      </c>
      <c r="D102" s="5" t="s">
        <v>0</v>
      </c>
      <c r="E102" s="1"/>
      <c r="H102" s="9">
        <v>5</v>
      </c>
      <c r="I102" s="10" t="s">
        <v>1052</v>
      </c>
      <c r="J102" s="2" t="s">
        <v>816</v>
      </c>
      <c r="K102" s="3" t="s">
        <v>1</v>
      </c>
      <c r="L102" s="1"/>
    </row>
    <row r="103" spans="1:12" ht="15.95" customHeight="1" x14ac:dyDescent="0.25">
      <c r="A103" s="5">
        <v>6</v>
      </c>
      <c r="B103" s="10" t="s">
        <v>1027</v>
      </c>
      <c r="C103" s="4" t="s">
        <v>788</v>
      </c>
      <c r="D103" s="5" t="s">
        <v>1</v>
      </c>
      <c r="E103" s="1"/>
      <c r="H103" s="9">
        <v>6</v>
      </c>
      <c r="I103" s="10" t="s">
        <v>1053</v>
      </c>
      <c r="J103" s="2" t="s">
        <v>817</v>
      </c>
      <c r="K103" s="5" t="s">
        <v>0</v>
      </c>
      <c r="L103" s="1"/>
    </row>
    <row r="104" spans="1:12" ht="15.95" customHeight="1" x14ac:dyDescent="0.25">
      <c r="A104" s="5">
        <v>7</v>
      </c>
      <c r="B104" s="10" t="s">
        <v>1028</v>
      </c>
      <c r="C104" s="4" t="s">
        <v>789</v>
      </c>
      <c r="D104" s="5" t="s">
        <v>0</v>
      </c>
      <c r="E104" s="1"/>
      <c r="H104" s="9">
        <v>7</v>
      </c>
      <c r="I104" s="10" t="s">
        <v>1054</v>
      </c>
      <c r="J104" s="2" t="s">
        <v>818</v>
      </c>
      <c r="K104" s="3" t="s">
        <v>1</v>
      </c>
      <c r="L104" s="1"/>
    </row>
    <row r="105" spans="1:12" ht="15.95" customHeight="1" x14ac:dyDescent="0.25">
      <c r="A105" s="5">
        <v>8</v>
      </c>
      <c r="B105" s="10" t="s">
        <v>1029</v>
      </c>
      <c r="C105" s="4" t="s">
        <v>790</v>
      </c>
      <c r="D105" s="5" t="s">
        <v>0</v>
      </c>
      <c r="E105" s="1"/>
      <c r="H105" s="9">
        <v>8</v>
      </c>
      <c r="I105" s="10" t="s">
        <v>1055</v>
      </c>
      <c r="J105" s="2" t="s">
        <v>819</v>
      </c>
      <c r="K105" s="3" t="s">
        <v>1</v>
      </c>
      <c r="L105" s="1"/>
    </row>
    <row r="106" spans="1:12" ht="15.95" customHeight="1" x14ac:dyDescent="0.25">
      <c r="A106" s="5">
        <v>9</v>
      </c>
      <c r="B106" s="10" t="s">
        <v>1031</v>
      </c>
      <c r="C106" s="4" t="s">
        <v>793</v>
      </c>
      <c r="D106" s="5" t="s">
        <v>0</v>
      </c>
      <c r="E106" s="1"/>
      <c r="H106" s="9">
        <v>9</v>
      </c>
      <c r="I106" s="10" t="s">
        <v>1056</v>
      </c>
      <c r="J106" s="4" t="s">
        <v>820</v>
      </c>
      <c r="K106" s="5" t="s">
        <v>1</v>
      </c>
      <c r="L106" s="1"/>
    </row>
    <row r="107" spans="1:12" ht="15.95" customHeight="1" x14ac:dyDescent="0.25">
      <c r="A107" s="5">
        <v>10</v>
      </c>
      <c r="B107" s="10" t="s">
        <v>1032</v>
      </c>
      <c r="C107" s="2" t="s">
        <v>795</v>
      </c>
      <c r="D107" s="3" t="s">
        <v>1</v>
      </c>
      <c r="E107" s="1"/>
      <c r="H107" s="9">
        <v>10</v>
      </c>
      <c r="I107" s="10" t="s">
        <v>1057</v>
      </c>
      <c r="J107" s="4" t="s">
        <v>821</v>
      </c>
      <c r="K107" s="5" t="s">
        <v>1</v>
      </c>
      <c r="L107" s="1"/>
    </row>
    <row r="108" spans="1:12" ht="15.95" customHeight="1" x14ac:dyDescent="0.25">
      <c r="A108" s="5">
        <v>11</v>
      </c>
      <c r="B108" s="10" t="s">
        <v>1033</v>
      </c>
      <c r="C108" s="2" t="s">
        <v>796</v>
      </c>
      <c r="D108" s="3" t="s">
        <v>0</v>
      </c>
      <c r="E108" s="1"/>
      <c r="H108" s="9">
        <v>11</v>
      </c>
      <c r="I108" s="10" t="s">
        <v>1058</v>
      </c>
      <c r="J108" s="2" t="s">
        <v>822</v>
      </c>
      <c r="K108" s="3" t="s">
        <v>0</v>
      </c>
      <c r="L108" s="1"/>
    </row>
    <row r="109" spans="1:12" ht="15.95" customHeight="1" x14ac:dyDescent="0.25">
      <c r="A109" s="5">
        <v>12</v>
      </c>
      <c r="B109" s="10" t="s">
        <v>1034</v>
      </c>
      <c r="C109" s="2" t="s">
        <v>797</v>
      </c>
      <c r="D109" s="3" t="s">
        <v>0</v>
      </c>
      <c r="E109" s="1"/>
      <c r="H109" s="9">
        <v>12</v>
      </c>
      <c r="I109" s="10" t="s">
        <v>1059</v>
      </c>
      <c r="J109" s="2" t="s">
        <v>791</v>
      </c>
      <c r="K109" s="3" t="s">
        <v>0</v>
      </c>
      <c r="L109" s="1"/>
    </row>
    <row r="110" spans="1:12" ht="15.95" customHeight="1" x14ac:dyDescent="0.25">
      <c r="A110" s="5">
        <v>13</v>
      </c>
      <c r="B110" s="10" t="s">
        <v>1035</v>
      </c>
      <c r="C110" s="2" t="s">
        <v>798</v>
      </c>
      <c r="D110" s="3" t="s">
        <v>1</v>
      </c>
      <c r="E110" s="1"/>
      <c r="H110" s="9">
        <v>13</v>
      </c>
      <c r="I110" s="10" t="s">
        <v>1060</v>
      </c>
      <c r="J110" s="105" t="s">
        <v>823</v>
      </c>
      <c r="K110" s="5" t="s">
        <v>1</v>
      </c>
      <c r="L110" s="1"/>
    </row>
    <row r="111" spans="1:12" ht="15.95" customHeight="1" x14ac:dyDescent="0.25">
      <c r="A111" s="5">
        <v>14</v>
      </c>
      <c r="B111" s="99" t="s">
        <v>1036</v>
      </c>
      <c r="C111" s="100" t="s">
        <v>799</v>
      </c>
      <c r="D111" s="151"/>
      <c r="E111" s="169" t="s">
        <v>2006</v>
      </c>
      <c r="H111" s="9">
        <v>14</v>
      </c>
      <c r="I111" s="10" t="s">
        <v>1061</v>
      </c>
      <c r="J111" s="2" t="s">
        <v>824</v>
      </c>
      <c r="K111" s="3" t="s">
        <v>0</v>
      </c>
      <c r="L111" s="1"/>
    </row>
    <row r="112" spans="1:12" ht="15.95" customHeight="1" x14ac:dyDescent="0.25">
      <c r="A112" s="5">
        <v>15</v>
      </c>
      <c r="B112" s="10" t="s">
        <v>1037</v>
      </c>
      <c r="C112" s="2" t="s">
        <v>800</v>
      </c>
      <c r="D112" s="3" t="s">
        <v>1</v>
      </c>
      <c r="E112" s="1"/>
      <c r="H112" s="9">
        <v>15</v>
      </c>
      <c r="I112" s="10" t="s">
        <v>1062</v>
      </c>
      <c r="J112" s="2" t="s">
        <v>794</v>
      </c>
      <c r="K112" s="3" t="s">
        <v>0</v>
      </c>
      <c r="L112" s="1"/>
    </row>
    <row r="113" spans="1:12" ht="15.95" customHeight="1" x14ac:dyDescent="0.25">
      <c r="A113" s="5">
        <v>16</v>
      </c>
      <c r="B113" s="10" t="s">
        <v>1038</v>
      </c>
      <c r="C113" s="2" t="s">
        <v>802</v>
      </c>
      <c r="D113" s="3" t="s">
        <v>0</v>
      </c>
      <c r="E113" s="1"/>
      <c r="H113" s="9">
        <v>16</v>
      </c>
      <c r="I113" s="10" t="s">
        <v>1063</v>
      </c>
      <c r="J113" s="4" t="s">
        <v>826</v>
      </c>
      <c r="K113" s="5" t="s">
        <v>1</v>
      </c>
      <c r="L113" s="1"/>
    </row>
    <row r="114" spans="1:12" ht="15.95" customHeight="1" x14ac:dyDescent="0.25">
      <c r="A114" s="5">
        <v>17</v>
      </c>
      <c r="B114" s="10" t="s">
        <v>1039</v>
      </c>
      <c r="C114" s="2" t="s">
        <v>803</v>
      </c>
      <c r="D114" s="3" t="s">
        <v>1</v>
      </c>
      <c r="E114" s="1"/>
      <c r="H114" s="9">
        <v>17</v>
      </c>
      <c r="I114" s="10" t="s">
        <v>1064</v>
      </c>
      <c r="J114" s="2" t="s">
        <v>827</v>
      </c>
      <c r="K114" s="3" t="s">
        <v>1</v>
      </c>
      <c r="L114" s="1"/>
    </row>
    <row r="115" spans="1:12" ht="15.95" customHeight="1" x14ac:dyDescent="0.25">
      <c r="A115" s="5">
        <v>18</v>
      </c>
      <c r="B115" s="10" t="s">
        <v>1040</v>
      </c>
      <c r="C115" s="4" t="s">
        <v>804</v>
      </c>
      <c r="D115" s="3" t="s">
        <v>0</v>
      </c>
      <c r="E115" s="1"/>
      <c r="H115" s="9">
        <v>18</v>
      </c>
      <c r="I115" s="10" t="s">
        <v>1065</v>
      </c>
      <c r="J115" s="2" t="s">
        <v>828</v>
      </c>
      <c r="K115" s="3" t="s">
        <v>1</v>
      </c>
      <c r="L115" s="1"/>
    </row>
    <row r="116" spans="1:12" ht="15.95" customHeight="1" x14ac:dyDescent="0.25">
      <c r="A116" s="5">
        <v>19</v>
      </c>
      <c r="B116" s="10" t="s">
        <v>1041</v>
      </c>
      <c r="C116" s="2" t="s">
        <v>805</v>
      </c>
      <c r="D116" s="3" t="s">
        <v>1</v>
      </c>
      <c r="E116" s="1"/>
      <c r="H116" s="9">
        <v>19</v>
      </c>
      <c r="I116" s="10" t="s">
        <v>1066</v>
      </c>
      <c r="J116" s="4" t="s">
        <v>829</v>
      </c>
      <c r="K116" s="5" t="s">
        <v>0</v>
      </c>
      <c r="L116" s="1"/>
    </row>
    <row r="117" spans="1:12" ht="15.95" customHeight="1" x14ac:dyDescent="0.25">
      <c r="A117" s="5">
        <v>20</v>
      </c>
      <c r="B117" s="10" t="s">
        <v>1042</v>
      </c>
      <c r="C117" s="25" t="s">
        <v>806</v>
      </c>
      <c r="D117" s="26" t="s">
        <v>1</v>
      </c>
      <c r="E117" s="1"/>
      <c r="H117" s="9">
        <v>20</v>
      </c>
      <c r="I117" s="10" t="s">
        <v>1067</v>
      </c>
      <c r="J117" s="2" t="s">
        <v>830</v>
      </c>
      <c r="K117" s="3" t="s">
        <v>0</v>
      </c>
      <c r="L117" s="1"/>
    </row>
    <row r="118" spans="1:12" ht="15.95" customHeight="1" x14ac:dyDescent="0.25">
      <c r="A118" s="5">
        <v>21</v>
      </c>
      <c r="B118" s="10" t="s">
        <v>1539</v>
      </c>
      <c r="C118" s="2" t="s">
        <v>1335</v>
      </c>
      <c r="D118" s="3" t="s">
        <v>1</v>
      </c>
      <c r="E118" s="1"/>
      <c r="H118" s="9">
        <v>21</v>
      </c>
      <c r="I118" s="10" t="s">
        <v>1068</v>
      </c>
      <c r="J118" s="2" t="s">
        <v>831</v>
      </c>
      <c r="K118" s="3" t="s">
        <v>1</v>
      </c>
      <c r="L118" s="1"/>
    </row>
    <row r="119" spans="1:12" ht="15.95" customHeight="1" x14ac:dyDescent="0.25">
      <c r="A119" s="5">
        <v>22</v>
      </c>
      <c r="B119" s="66" t="s">
        <v>1540</v>
      </c>
      <c r="C119" s="2" t="s">
        <v>1334</v>
      </c>
      <c r="D119" s="9" t="s">
        <v>1</v>
      </c>
      <c r="E119" s="1"/>
      <c r="H119" s="9">
        <v>22</v>
      </c>
      <c r="I119" s="10" t="s">
        <v>1069</v>
      </c>
      <c r="J119" s="2" t="s">
        <v>832</v>
      </c>
      <c r="K119" s="3" t="s">
        <v>0</v>
      </c>
      <c r="L119" s="1"/>
    </row>
    <row r="120" spans="1:12" ht="15.95" customHeight="1" x14ac:dyDescent="0.25">
      <c r="A120" s="5">
        <v>23</v>
      </c>
      <c r="B120" s="66" t="s">
        <v>1043</v>
      </c>
      <c r="C120" s="2" t="s">
        <v>807</v>
      </c>
      <c r="D120" s="9" t="s">
        <v>1</v>
      </c>
      <c r="E120" s="1"/>
      <c r="H120" s="9">
        <v>23</v>
      </c>
      <c r="I120" s="10" t="s">
        <v>1070</v>
      </c>
      <c r="J120" s="2" t="s">
        <v>801</v>
      </c>
      <c r="K120" s="3" t="s">
        <v>0</v>
      </c>
      <c r="L120" s="1"/>
    </row>
    <row r="121" spans="1:12" ht="15.95" customHeight="1" x14ac:dyDescent="0.25">
      <c r="A121" s="5">
        <v>24</v>
      </c>
      <c r="B121" s="10" t="s">
        <v>1044</v>
      </c>
      <c r="C121" s="2" t="s">
        <v>808</v>
      </c>
      <c r="D121" s="3" t="s">
        <v>1</v>
      </c>
      <c r="E121" s="1"/>
      <c r="H121" s="9">
        <v>24</v>
      </c>
      <c r="I121" s="10" t="s">
        <v>1071</v>
      </c>
      <c r="J121" s="2" t="s">
        <v>833</v>
      </c>
      <c r="K121" s="3" t="s">
        <v>0</v>
      </c>
      <c r="L121" s="1"/>
    </row>
    <row r="122" spans="1:12" ht="15.95" customHeight="1" x14ac:dyDescent="0.25">
      <c r="A122" s="5">
        <v>25</v>
      </c>
      <c r="B122" s="10" t="s">
        <v>1045</v>
      </c>
      <c r="C122" s="4" t="s">
        <v>809</v>
      </c>
      <c r="D122" s="5" t="s">
        <v>1</v>
      </c>
      <c r="E122" s="1"/>
      <c r="H122" s="9">
        <v>25</v>
      </c>
      <c r="I122" s="10" t="s">
        <v>1072</v>
      </c>
      <c r="J122" s="2" t="s">
        <v>834</v>
      </c>
      <c r="K122" s="5" t="s">
        <v>0</v>
      </c>
      <c r="L122" s="1"/>
    </row>
    <row r="123" spans="1:12" ht="15.95" customHeight="1" x14ac:dyDescent="0.25">
      <c r="A123" s="5">
        <v>26</v>
      </c>
      <c r="B123" s="10" t="s">
        <v>1046</v>
      </c>
      <c r="C123" s="2" t="s">
        <v>810</v>
      </c>
      <c r="D123" s="3" t="s">
        <v>0</v>
      </c>
      <c r="E123" s="1"/>
      <c r="H123" s="9">
        <v>26</v>
      </c>
      <c r="I123" s="5" t="s">
        <v>1073</v>
      </c>
      <c r="J123" s="2" t="s">
        <v>835</v>
      </c>
      <c r="K123" s="3" t="s">
        <v>1</v>
      </c>
      <c r="L123" s="1"/>
    </row>
    <row r="124" spans="1:12" ht="15.95" customHeight="1" x14ac:dyDescent="0.25">
      <c r="A124" s="5">
        <v>27</v>
      </c>
      <c r="B124" s="10" t="s">
        <v>1047</v>
      </c>
      <c r="C124" s="2" t="s">
        <v>811</v>
      </c>
      <c r="D124" s="3" t="s">
        <v>1</v>
      </c>
      <c r="E124" s="1"/>
      <c r="H124" s="9">
        <v>27</v>
      </c>
      <c r="I124" s="5" t="s">
        <v>1074</v>
      </c>
      <c r="J124" s="2" t="s">
        <v>836</v>
      </c>
      <c r="K124" s="3" t="s">
        <v>0</v>
      </c>
      <c r="L124" s="1"/>
    </row>
    <row r="125" spans="1:12" ht="15.95" customHeight="1" x14ac:dyDescent="0.25">
      <c r="A125" s="5">
        <v>28</v>
      </c>
      <c r="B125" s="171" t="s">
        <v>2008</v>
      </c>
      <c r="C125" s="170" t="s">
        <v>2007</v>
      </c>
      <c r="D125" s="3" t="s">
        <v>0</v>
      </c>
      <c r="E125" s="172" t="s">
        <v>2009</v>
      </c>
      <c r="H125" s="9">
        <v>28</v>
      </c>
      <c r="I125" s="10" t="s">
        <v>1075</v>
      </c>
      <c r="J125" s="4" t="s">
        <v>837</v>
      </c>
      <c r="K125" s="18" t="s">
        <v>1</v>
      </c>
      <c r="L125" s="1"/>
    </row>
    <row r="126" spans="1:12" x14ac:dyDescent="0.25">
      <c r="A126" s="5"/>
      <c r="B126" s="1"/>
      <c r="C126" s="135"/>
      <c r="D126" s="136"/>
      <c r="E126" s="1"/>
      <c r="H126" s="9">
        <v>29</v>
      </c>
      <c r="I126" s="1" t="s">
        <v>1076</v>
      </c>
      <c r="J126" s="1" t="s">
        <v>838</v>
      </c>
      <c r="K126" s="9" t="s">
        <v>1</v>
      </c>
      <c r="L126" s="1"/>
    </row>
    <row r="127" spans="1:12" x14ac:dyDescent="0.25">
      <c r="A127" s="5"/>
      <c r="B127" s="5"/>
      <c r="C127" s="1"/>
      <c r="D127" s="1"/>
      <c r="E127" s="1"/>
      <c r="H127" s="9"/>
      <c r="I127" s="5"/>
      <c r="J127" s="1"/>
      <c r="K127" s="1"/>
      <c r="L127" s="1"/>
    </row>
    <row r="128" spans="1:12" hidden="1" x14ac:dyDescent="0.25">
      <c r="A128" s="5"/>
      <c r="B128" s="10"/>
      <c r="C128" s="2"/>
      <c r="D128" s="3"/>
      <c r="E128" s="1"/>
      <c r="H128" s="9"/>
      <c r="I128" s="10"/>
      <c r="J128" s="2"/>
      <c r="K128" s="3"/>
      <c r="L128" s="1"/>
    </row>
    <row r="129" spans="1:12" hidden="1" x14ac:dyDescent="0.25">
      <c r="A129" s="1"/>
      <c r="B129" s="1"/>
      <c r="C129" s="1"/>
      <c r="D129" s="9"/>
      <c r="E129" s="1"/>
    </row>
    <row r="130" spans="1:12" x14ac:dyDescent="0.25">
      <c r="A130" s="209" t="s">
        <v>8</v>
      </c>
      <c r="B130" s="209"/>
      <c r="C130" s="22" t="s">
        <v>9</v>
      </c>
      <c r="H130" s="6" t="s">
        <v>8</v>
      </c>
      <c r="I130" s="6"/>
      <c r="J130" s="22" t="s">
        <v>9</v>
      </c>
    </row>
    <row r="131" spans="1:12" x14ac:dyDescent="0.25">
      <c r="B131" s="17" t="s">
        <v>10</v>
      </c>
      <c r="C131" s="23">
        <f>COUNTIF(D98:D128,"L")</f>
        <v>14</v>
      </c>
      <c r="D131" s="208" t="s">
        <v>1547</v>
      </c>
      <c r="E131" s="208"/>
      <c r="I131" s="17" t="s">
        <v>10</v>
      </c>
      <c r="J131" s="23">
        <f>COUNTIF(K98:K128,"L")</f>
        <v>15</v>
      </c>
      <c r="K131" s="208" t="s">
        <v>1547</v>
      </c>
      <c r="L131" s="208"/>
    </row>
    <row r="132" spans="1:12" x14ac:dyDescent="0.25">
      <c r="B132" s="17" t="s">
        <v>11</v>
      </c>
      <c r="C132" s="23">
        <f>COUNTIF(D98:D128,"P")</f>
        <v>13</v>
      </c>
      <c r="D132" s="208" t="s">
        <v>12</v>
      </c>
      <c r="E132" s="208"/>
      <c r="I132" s="17" t="s">
        <v>11</v>
      </c>
      <c r="J132" s="23">
        <f>COUNTIF(K98:K128,"P")</f>
        <v>14</v>
      </c>
      <c r="K132" s="18" t="s">
        <v>12</v>
      </c>
      <c r="L132" s="18"/>
    </row>
    <row r="133" spans="1:12" x14ac:dyDescent="0.25">
      <c r="B133" s="30" t="s">
        <v>20</v>
      </c>
      <c r="C133" s="29">
        <f>C131+C132</f>
        <v>27</v>
      </c>
      <c r="D133" s="18"/>
      <c r="E133" s="18"/>
      <c r="I133" s="30" t="s">
        <v>20</v>
      </c>
      <c r="J133" s="29">
        <f>J131+J132</f>
        <v>29</v>
      </c>
      <c r="K133" s="18"/>
      <c r="L133" s="18"/>
    </row>
    <row r="136" spans="1:12" x14ac:dyDescent="0.25">
      <c r="D136" s="208" t="s">
        <v>13</v>
      </c>
      <c r="E136" s="208"/>
      <c r="K136" s="18" t="s">
        <v>13</v>
      </c>
      <c r="L136" s="18"/>
    </row>
    <row r="137" spans="1:12" x14ac:dyDescent="0.25">
      <c r="D137" t="s">
        <v>14</v>
      </c>
      <c r="K137" t="s">
        <v>14</v>
      </c>
    </row>
    <row r="138" spans="1:12" hidden="1" x14ac:dyDescent="0.25"/>
    <row r="139" spans="1:12" ht="15.75" x14ac:dyDescent="0.25">
      <c r="A139" s="210" t="s">
        <v>670</v>
      </c>
      <c r="B139" s="210"/>
      <c r="C139" s="210"/>
      <c r="D139" s="210"/>
      <c r="E139" s="210"/>
      <c r="H139" s="210" t="s">
        <v>670</v>
      </c>
      <c r="I139" s="210"/>
      <c r="J139" s="210"/>
      <c r="K139" s="210"/>
      <c r="L139" s="210"/>
    </row>
    <row r="140" spans="1:12" ht="15.75" x14ac:dyDescent="0.25">
      <c r="A140" s="210" t="s">
        <v>1546</v>
      </c>
      <c r="B140" s="210"/>
      <c r="C140" s="210"/>
      <c r="D140" s="210"/>
      <c r="E140" s="210"/>
      <c r="H140" s="210" t="s">
        <v>1546</v>
      </c>
      <c r="I140" s="210"/>
      <c r="J140" s="210"/>
      <c r="K140" s="210"/>
      <c r="L140" s="210"/>
    </row>
    <row r="141" spans="1:12" ht="15.75" x14ac:dyDescent="0.25">
      <c r="A141" s="210" t="s">
        <v>1548</v>
      </c>
      <c r="B141" s="210"/>
      <c r="C141" s="210"/>
      <c r="D141" s="210"/>
      <c r="E141" s="210"/>
      <c r="H141" s="210" t="s">
        <v>1549</v>
      </c>
      <c r="I141" s="210"/>
      <c r="J141" s="210"/>
      <c r="K141" s="210"/>
      <c r="L141" s="210"/>
    </row>
    <row r="142" spans="1:12" x14ac:dyDescent="0.25">
      <c r="A142" s="6"/>
      <c r="B142" s="6"/>
      <c r="C142" s="6"/>
      <c r="D142" s="6"/>
      <c r="H142" s="6"/>
      <c r="I142" s="6"/>
      <c r="J142" s="6"/>
      <c r="K142" s="6"/>
    </row>
    <row r="143" spans="1:12" ht="15.95" customHeight="1" x14ac:dyDescent="0.25">
      <c r="A143" s="13" t="s">
        <v>2</v>
      </c>
      <c r="B143" s="13" t="s">
        <v>3</v>
      </c>
      <c r="C143" s="13" t="s">
        <v>4</v>
      </c>
      <c r="D143" s="13" t="s">
        <v>5</v>
      </c>
      <c r="E143" s="13" t="s">
        <v>6</v>
      </c>
      <c r="H143" s="13" t="s">
        <v>2</v>
      </c>
      <c r="I143" s="13" t="s">
        <v>3</v>
      </c>
      <c r="J143" s="13" t="s">
        <v>4</v>
      </c>
      <c r="K143" s="13" t="s">
        <v>5</v>
      </c>
      <c r="L143" s="13" t="s">
        <v>6</v>
      </c>
    </row>
    <row r="144" spans="1:12" ht="15.95" customHeight="1" x14ac:dyDescent="0.25">
      <c r="A144" s="10">
        <v>1</v>
      </c>
      <c r="B144" s="66"/>
      <c r="C144" s="61"/>
      <c r="D144" s="62"/>
      <c r="E144" s="1"/>
      <c r="H144" s="10">
        <v>1</v>
      </c>
      <c r="I144" s="66" t="s">
        <v>1104</v>
      </c>
      <c r="J144" s="7" t="s">
        <v>864</v>
      </c>
      <c r="K144" s="8" t="s">
        <v>0</v>
      </c>
      <c r="L144" s="1"/>
    </row>
    <row r="145" spans="1:12" ht="15.95" customHeight="1" x14ac:dyDescent="0.25">
      <c r="A145" s="5">
        <v>2</v>
      </c>
      <c r="B145" s="10" t="s">
        <v>1077</v>
      </c>
      <c r="C145" s="55" t="s">
        <v>839</v>
      </c>
      <c r="D145" s="63" t="s">
        <v>0</v>
      </c>
      <c r="E145" s="1"/>
      <c r="H145" s="5">
        <v>2</v>
      </c>
      <c r="I145" s="10" t="s">
        <v>1105</v>
      </c>
      <c r="J145" s="2" t="s">
        <v>865</v>
      </c>
      <c r="K145" s="3" t="s">
        <v>1</v>
      </c>
      <c r="L145" s="1"/>
    </row>
    <row r="146" spans="1:12" ht="15.95" customHeight="1" x14ac:dyDescent="0.25">
      <c r="A146" s="10">
        <v>3</v>
      </c>
      <c r="B146" s="10" t="s">
        <v>1078</v>
      </c>
      <c r="C146" s="56" t="s">
        <v>840</v>
      </c>
      <c r="D146" s="64" t="s">
        <v>0</v>
      </c>
      <c r="E146" s="1"/>
      <c r="H146" s="10">
        <v>3</v>
      </c>
      <c r="I146" s="10" t="s">
        <v>1106</v>
      </c>
      <c r="J146" s="2" t="s">
        <v>866</v>
      </c>
      <c r="K146" s="3" t="s">
        <v>1</v>
      </c>
      <c r="L146" s="1"/>
    </row>
    <row r="147" spans="1:12" ht="15.95" customHeight="1" x14ac:dyDescent="0.25">
      <c r="A147" s="5">
        <v>4</v>
      </c>
      <c r="B147" s="10" t="s">
        <v>1079</v>
      </c>
      <c r="C147" s="55" t="s">
        <v>841</v>
      </c>
      <c r="D147" s="63" t="s">
        <v>1</v>
      </c>
      <c r="E147" s="1"/>
      <c r="H147" s="5">
        <v>4</v>
      </c>
      <c r="I147" s="10" t="s">
        <v>1107</v>
      </c>
      <c r="J147" s="2" t="s">
        <v>867</v>
      </c>
      <c r="K147" s="3" t="s">
        <v>1</v>
      </c>
      <c r="L147" s="1"/>
    </row>
    <row r="148" spans="1:12" ht="15.95" customHeight="1" x14ac:dyDescent="0.25">
      <c r="A148" s="10">
        <v>5</v>
      </c>
      <c r="B148" s="10" t="s">
        <v>1080</v>
      </c>
      <c r="C148" s="56" t="s">
        <v>842</v>
      </c>
      <c r="D148" s="64" t="s">
        <v>0</v>
      </c>
      <c r="E148" s="1"/>
      <c r="H148" s="10">
        <v>5</v>
      </c>
      <c r="I148" s="10" t="s">
        <v>1108</v>
      </c>
      <c r="J148" s="2" t="s">
        <v>868</v>
      </c>
      <c r="K148" s="3" t="s">
        <v>1</v>
      </c>
      <c r="L148" s="1"/>
    </row>
    <row r="149" spans="1:12" ht="15.95" customHeight="1" x14ac:dyDescent="0.25">
      <c r="A149" s="5">
        <v>6</v>
      </c>
      <c r="B149" s="10" t="s">
        <v>1081</v>
      </c>
      <c r="C149" s="56" t="s">
        <v>843</v>
      </c>
      <c r="D149" s="64" t="s">
        <v>1</v>
      </c>
      <c r="E149" s="1"/>
      <c r="H149" s="5">
        <v>6</v>
      </c>
      <c r="I149" s="10" t="s">
        <v>1109</v>
      </c>
      <c r="J149" s="2" t="s">
        <v>869</v>
      </c>
      <c r="K149" s="3" t="s">
        <v>1</v>
      </c>
      <c r="L149" s="1"/>
    </row>
    <row r="150" spans="1:12" ht="15.95" customHeight="1" x14ac:dyDescent="0.25">
      <c r="A150" s="10">
        <v>7</v>
      </c>
      <c r="B150" s="10" t="s">
        <v>1082</v>
      </c>
      <c r="C150" s="55" t="s">
        <v>844</v>
      </c>
      <c r="D150" s="63" t="s">
        <v>1</v>
      </c>
      <c r="E150" s="1"/>
      <c r="H150" s="10">
        <v>7</v>
      </c>
      <c r="I150" s="10" t="s">
        <v>1110</v>
      </c>
      <c r="J150" s="2" t="s">
        <v>870</v>
      </c>
      <c r="K150" s="3" t="s">
        <v>0</v>
      </c>
      <c r="L150" s="1"/>
    </row>
    <row r="151" spans="1:12" ht="15.95" customHeight="1" x14ac:dyDescent="0.25">
      <c r="A151" s="5">
        <v>8</v>
      </c>
      <c r="B151" s="10" t="s">
        <v>1083</v>
      </c>
      <c r="C151" s="55" t="s">
        <v>845</v>
      </c>
      <c r="D151" s="63" t="s">
        <v>1</v>
      </c>
      <c r="E151" s="1"/>
      <c r="H151" s="5">
        <v>8</v>
      </c>
      <c r="I151" s="10" t="s">
        <v>1111</v>
      </c>
      <c r="J151" s="2" t="s">
        <v>871</v>
      </c>
      <c r="K151" s="3" t="s">
        <v>0</v>
      </c>
      <c r="L151" s="1"/>
    </row>
    <row r="152" spans="1:12" ht="15.95" customHeight="1" x14ac:dyDescent="0.25">
      <c r="A152" s="10">
        <v>9</v>
      </c>
      <c r="B152" s="10" t="s">
        <v>1084</v>
      </c>
      <c r="C152" s="55" t="s">
        <v>846</v>
      </c>
      <c r="D152" s="63" t="s">
        <v>1</v>
      </c>
      <c r="E152" s="1"/>
      <c r="H152" s="10">
        <v>9</v>
      </c>
      <c r="I152" s="10" t="s">
        <v>1112</v>
      </c>
      <c r="J152" s="2" t="s">
        <v>872</v>
      </c>
      <c r="K152" s="3" t="s">
        <v>0</v>
      </c>
      <c r="L152" s="1"/>
    </row>
    <row r="153" spans="1:12" ht="15.95" customHeight="1" x14ac:dyDescent="0.25">
      <c r="A153" s="5">
        <v>10</v>
      </c>
      <c r="B153" s="10" t="s">
        <v>1085</v>
      </c>
      <c r="C153" s="55" t="s">
        <v>847</v>
      </c>
      <c r="D153" s="63" t="s">
        <v>1</v>
      </c>
      <c r="E153" s="1"/>
      <c r="H153" s="5">
        <v>10</v>
      </c>
      <c r="I153" s="10" t="s">
        <v>1113</v>
      </c>
      <c r="J153" s="2" t="s">
        <v>873</v>
      </c>
      <c r="K153" s="3" t="s">
        <v>1</v>
      </c>
      <c r="L153" s="1"/>
    </row>
    <row r="154" spans="1:12" ht="15.95" customHeight="1" x14ac:dyDescent="0.25">
      <c r="A154" s="10">
        <v>11</v>
      </c>
      <c r="B154" s="10" t="s">
        <v>1086</v>
      </c>
      <c r="C154" s="55" t="s">
        <v>848</v>
      </c>
      <c r="D154" s="63" t="s">
        <v>1</v>
      </c>
      <c r="E154" s="1"/>
      <c r="H154" s="10">
        <v>11</v>
      </c>
      <c r="I154" s="10" t="s">
        <v>1114</v>
      </c>
      <c r="J154" s="2" t="s">
        <v>874</v>
      </c>
      <c r="K154" s="3" t="s">
        <v>0</v>
      </c>
      <c r="L154" s="1"/>
    </row>
    <row r="155" spans="1:12" ht="15.95" customHeight="1" x14ac:dyDescent="0.25">
      <c r="A155" s="5">
        <v>12</v>
      </c>
      <c r="B155" s="10" t="s">
        <v>1087</v>
      </c>
      <c r="C155" s="56" t="s">
        <v>849</v>
      </c>
      <c r="D155" s="64" t="s">
        <v>1</v>
      </c>
      <c r="E155" s="1"/>
      <c r="H155" s="5">
        <v>12</v>
      </c>
      <c r="I155" s="10" t="s">
        <v>1115</v>
      </c>
      <c r="J155" s="2" t="s">
        <v>875</v>
      </c>
      <c r="K155" s="3" t="s">
        <v>1</v>
      </c>
      <c r="L155" s="1"/>
    </row>
    <row r="156" spans="1:12" ht="15.95" customHeight="1" x14ac:dyDescent="0.25">
      <c r="A156" s="10">
        <v>13</v>
      </c>
      <c r="B156" s="66" t="s">
        <v>1545</v>
      </c>
      <c r="C156" s="55" t="s">
        <v>1331</v>
      </c>
      <c r="D156" s="63" t="s">
        <v>1</v>
      </c>
      <c r="E156" s="1"/>
      <c r="H156" s="10">
        <v>13</v>
      </c>
      <c r="I156" s="10" t="s">
        <v>1116</v>
      </c>
      <c r="J156" s="4" t="s">
        <v>876</v>
      </c>
      <c r="K156" s="5" t="s">
        <v>1</v>
      </c>
      <c r="L156" s="1"/>
    </row>
    <row r="157" spans="1:12" ht="15.95" customHeight="1" x14ac:dyDescent="0.25">
      <c r="A157" s="5">
        <v>14</v>
      </c>
      <c r="B157" s="10" t="s">
        <v>1088</v>
      </c>
      <c r="C157" s="55" t="s">
        <v>850</v>
      </c>
      <c r="D157" s="63" t="s">
        <v>1</v>
      </c>
      <c r="E157" s="1"/>
      <c r="H157" s="5">
        <v>14</v>
      </c>
      <c r="I157" s="10" t="s">
        <v>1117</v>
      </c>
      <c r="J157" s="2" t="s">
        <v>877</v>
      </c>
      <c r="K157" s="3" t="s">
        <v>1</v>
      </c>
      <c r="L157" s="1"/>
    </row>
    <row r="158" spans="1:12" ht="15.95" customHeight="1" x14ac:dyDescent="0.25">
      <c r="A158" s="10">
        <v>15</v>
      </c>
      <c r="B158" s="10" t="s">
        <v>1089</v>
      </c>
      <c r="C158" s="55" t="s">
        <v>851</v>
      </c>
      <c r="D158" s="63" t="s">
        <v>0</v>
      </c>
      <c r="E158" s="1"/>
      <c r="H158" s="10">
        <v>15</v>
      </c>
      <c r="I158" s="10" t="s">
        <v>1118</v>
      </c>
      <c r="J158" s="2" t="s">
        <v>878</v>
      </c>
      <c r="K158" s="3" t="s">
        <v>1</v>
      </c>
      <c r="L158" s="1"/>
    </row>
    <row r="159" spans="1:12" ht="15.95" customHeight="1" x14ac:dyDescent="0.25">
      <c r="A159" s="5">
        <v>16</v>
      </c>
      <c r="B159" s="10" t="s">
        <v>1090</v>
      </c>
      <c r="C159" s="55" t="s">
        <v>852</v>
      </c>
      <c r="D159" s="63" t="s">
        <v>0</v>
      </c>
      <c r="E159" s="1"/>
      <c r="H159" s="5">
        <v>16</v>
      </c>
      <c r="I159" s="10" t="s">
        <v>1119</v>
      </c>
      <c r="J159" s="2" t="s">
        <v>879</v>
      </c>
      <c r="K159" s="3" t="s">
        <v>1</v>
      </c>
      <c r="L159" s="1"/>
    </row>
    <row r="160" spans="1:12" ht="15.95" customHeight="1" x14ac:dyDescent="0.25">
      <c r="A160" s="10">
        <v>17</v>
      </c>
      <c r="B160" s="10" t="s">
        <v>1091</v>
      </c>
      <c r="C160" s="55" t="s">
        <v>853</v>
      </c>
      <c r="D160" s="63" t="s">
        <v>1</v>
      </c>
      <c r="E160" s="1"/>
      <c r="H160" s="10">
        <v>17</v>
      </c>
      <c r="I160" s="10" t="s">
        <v>1120</v>
      </c>
      <c r="J160" s="2" t="s">
        <v>880</v>
      </c>
      <c r="K160" s="3" t="s">
        <v>1</v>
      </c>
      <c r="L160" s="1"/>
    </row>
    <row r="161" spans="1:12" ht="15.95" customHeight="1" x14ac:dyDescent="0.25">
      <c r="A161" s="5">
        <v>18</v>
      </c>
      <c r="B161" s="10" t="s">
        <v>1092</v>
      </c>
      <c r="C161" s="56" t="s">
        <v>854</v>
      </c>
      <c r="D161" s="64" t="s">
        <v>0</v>
      </c>
      <c r="E161" s="1"/>
      <c r="H161" s="5">
        <v>18</v>
      </c>
      <c r="I161" s="10" t="s">
        <v>1121</v>
      </c>
      <c r="J161" s="4" t="s">
        <v>881</v>
      </c>
      <c r="K161" s="5" t="s">
        <v>0</v>
      </c>
      <c r="L161" s="1"/>
    </row>
    <row r="162" spans="1:12" ht="15.95" customHeight="1" x14ac:dyDescent="0.25">
      <c r="A162" s="10">
        <v>19</v>
      </c>
      <c r="B162" s="147" t="s">
        <v>1093</v>
      </c>
      <c r="C162" s="115" t="s">
        <v>825</v>
      </c>
      <c r="D162" s="63" t="s">
        <v>1</v>
      </c>
      <c r="E162" s="1"/>
      <c r="H162" s="10">
        <v>19</v>
      </c>
      <c r="I162" s="10" t="s">
        <v>1122</v>
      </c>
      <c r="J162" s="2" t="s">
        <v>882</v>
      </c>
      <c r="K162" s="3" t="s">
        <v>0</v>
      </c>
      <c r="L162" s="1"/>
    </row>
    <row r="163" spans="1:12" ht="15.95" customHeight="1" x14ac:dyDescent="0.25">
      <c r="A163" s="5">
        <v>20</v>
      </c>
      <c r="B163" s="10" t="s">
        <v>1095</v>
      </c>
      <c r="C163" s="55" t="s">
        <v>855</v>
      </c>
      <c r="D163" s="63" t="s">
        <v>0</v>
      </c>
      <c r="E163" s="1"/>
      <c r="H163" s="5">
        <v>20</v>
      </c>
      <c r="I163" s="10" t="s">
        <v>1123</v>
      </c>
      <c r="J163" s="2" t="s">
        <v>883</v>
      </c>
      <c r="K163" s="3" t="s">
        <v>1</v>
      </c>
      <c r="L163" s="1"/>
    </row>
    <row r="164" spans="1:12" ht="15.95" customHeight="1" x14ac:dyDescent="0.25">
      <c r="A164" s="10">
        <v>21</v>
      </c>
      <c r="B164" s="10" t="s">
        <v>1094</v>
      </c>
      <c r="C164" s="55" t="s">
        <v>1550</v>
      </c>
      <c r="D164" s="63" t="s">
        <v>0</v>
      </c>
      <c r="E164" s="1"/>
      <c r="H164" s="10">
        <v>21</v>
      </c>
      <c r="I164" s="10" t="s">
        <v>1124</v>
      </c>
      <c r="J164" s="2" t="s">
        <v>884</v>
      </c>
      <c r="K164" s="3" t="s">
        <v>1</v>
      </c>
      <c r="L164" s="1"/>
    </row>
    <row r="165" spans="1:12" ht="15.95" customHeight="1" x14ac:dyDescent="0.25">
      <c r="A165" s="5">
        <v>22</v>
      </c>
      <c r="B165" s="10" t="s">
        <v>1096</v>
      </c>
      <c r="C165" s="55" t="s">
        <v>856</v>
      </c>
      <c r="D165" s="63" t="s">
        <v>1</v>
      </c>
      <c r="E165" s="1"/>
      <c r="H165" s="5">
        <v>22</v>
      </c>
      <c r="I165" s="10" t="s">
        <v>1125</v>
      </c>
      <c r="J165" s="2" t="s">
        <v>885</v>
      </c>
      <c r="K165" s="3" t="s">
        <v>1</v>
      </c>
      <c r="L165" s="1"/>
    </row>
    <row r="166" spans="1:12" ht="15.95" customHeight="1" x14ac:dyDescent="0.25">
      <c r="A166" s="10">
        <v>23</v>
      </c>
      <c r="B166" s="10" t="s">
        <v>1097</v>
      </c>
      <c r="C166" s="56" t="s">
        <v>857</v>
      </c>
      <c r="D166" s="64" t="s">
        <v>0</v>
      </c>
      <c r="E166" s="1"/>
      <c r="H166" s="10">
        <v>23</v>
      </c>
      <c r="I166" s="10" t="s">
        <v>1126</v>
      </c>
      <c r="J166" s="2" t="s">
        <v>886</v>
      </c>
      <c r="K166" s="3" t="s">
        <v>1</v>
      </c>
      <c r="L166" s="1"/>
    </row>
    <row r="167" spans="1:12" ht="15.95" customHeight="1" x14ac:dyDescent="0.25">
      <c r="A167" s="5">
        <v>24</v>
      </c>
      <c r="B167" s="10" t="s">
        <v>1098</v>
      </c>
      <c r="C167" s="56" t="s">
        <v>858</v>
      </c>
      <c r="D167" s="64" t="s">
        <v>1</v>
      </c>
      <c r="E167" s="1"/>
      <c r="H167" s="5">
        <v>24</v>
      </c>
      <c r="I167" s="10" t="s">
        <v>1127</v>
      </c>
      <c r="J167" s="2" t="s">
        <v>887</v>
      </c>
      <c r="K167" s="3" t="s">
        <v>0</v>
      </c>
      <c r="L167" s="1"/>
    </row>
    <row r="168" spans="1:12" ht="15.95" customHeight="1" x14ac:dyDescent="0.25">
      <c r="A168" s="10">
        <v>25</v>
      </c>
      <c r="B168" s="10" t="s">
        <v>1099</v>
      </c>
      <c r="C168" s="55" t="s">
        <v>859</v>
      </c>
      <c r="D168" s="63" t="s">
        <v>0</v>
      </c>
      <c r="E168" s="1"/>
      <c r="H168" s="10">
        <v>25</v>
      </c>
      <c r="I168" s="10" t="s">
        <v>1128</v>
      </c>
      <c r="J168" s="2" t="s">
        <v>888</v>
      </c>
      <c r="K168" s="3" t="s">
        <v>0</v>
      </c>
      <c r="L168" s="1"/>
    </row>
    <row r="169" spans="1:12" ht="15.95" customHeight="1" x14ac:dyDescent="0.25">
      <c r="A169" s="5">
        <v>26</v>
      </c>
      <c r="B169" s="10" t="s">
        <v>1100</v>
      </c>
      <c r="C169" s="55" t="s">
        <v>860</v>
      </c>
      <c r="D169" s="63" t="s">
        <v>0</v>
      </c>
      <c r="E169" s="1"/>
      <c r="H169" s="5">
        <v>26</v>
      </c>
      <c r="I169" s="10" t="s">
        <v>1129</v>
      </c>
      <c r="J169" s="2" t="s">
        <v>889</v>
      </c>
      <c r="K169" s="3" t="s">
        <v>1</v>
      </c>
      <c r="L169" s="1"/>
    </row>
    <row r="170" spans="1:12" ht="15.95" customHeight="1" x14ac:dyDescent="0.25">
      <c r="A170" s="10">
        <v>27</v>
      </c>
      <c r="B170" s="10" t="s">
        <v>1101</v>
      </c>
      <c r="C170" s="55" t="s">
        <v>861</v>
      </c>
      <c r="D170" s="65" t="s">
        <v>0</v>
      </c>
      <c r="E170" s="1"/>
      <c r="H170" s="10">
        <v>27</v>
      </c>
      <c r="I170" s="10" t="s">
        <v>1130</v>
      </c>
      <c r="J170" s="2" t="s">
        <v>890</v>
      </c>
      <c r="K170" s="3" t="s">
        <v>1</v>
      </c>
      <c r="L170" s="1"/>
    </row>
    <row r="171" spans="1:12" ht="15.95" customHeight="1" x14ac:dyDescent="0.25">
      <c r="A171" s="5">
        <v>28</v>
      </c>
      <c r="B171" s="10" t="s">
        <v>1102</v>
      </c>
      <c r="C171" s="55" t="s">
        <v>862</v>
      </c>
      <c r="D171" s="63" t="s">
        <v>0</v>
      </c>
      <c r="E171" s="1"/>
      <c r="H171" s="5">
        <v>28</v>
      </c>
      <c r="I171" s="10" t="s">
        <v>1131</v>
      </c>
      <c r="J171" s="2" t="s">
        <v>891</v>
      </c>
      <c r="K171" s="3" t="s">
        <v>1</v>
      </c>
      <c r="L171" s="1"/>
    </row>
    <row r="172" spans="1:12" ht="15.95" customHeight="1" x14ac:dyDescent="0.25">
      <c r="A172" s="10">
        <v>29</v>
      </c>
      <c r="B172" s="5" t="s">
        <v>1103</v>
      </c>
      <c r="C172" s="55" t="s">
        <v>863</v>
      </c>
      <c r="D172" s="65" t="s">
        <v>1</v>
      </c>
      <c r="E172" s="1"/>
      <c r="H172" s="10">
        <v>29</v>
      </c>
      <c r="I172" s="10" t="s">
        <v>1132</v>
      </c>
      <c r="J172" s="4" t="s">
        <v>892</v>
      </c>
      <c r="K172" s="104" t="s">
        <v>1</v>
      </c>
      <c r="L172" s="1"/>
    </row>
    <row r="173" spans="1:12" ht="15.95" customHeight="1" x14ac:dyDescent="0.25">
      <c r="A173" s="5"/>
      <c r="B173" s="10"/>
      <c r="C173" s="55"/>
      <c r="D173" s="63"/>
      <c r="E173" s="1"/>
      <c r="H173" s="5">
        <v>30</v>
      </c>
      <c r="I173" s="10" t="s">
        <v>1133</v>
      </c>
      <c r="J173" s="2" t="s">
        <v>893</v>
      </c>
      <c r="K173" s="3" t="s">
        <v>1</v>
      </c>
      <c r="L173" s="1"/>
    </row>
    <row r="174" spans="1:12" hidden="1" x14ac:dyDescent="0.25">
      <c r="A174" s="10"/>
      <c r="B174" s="10"/>
      <c r="C174" s="2"/>
      <c r="D174" s="3"/>
      <c r="E174" s="1"/>
      <c r="H174" s="10"/>
      <c r="I174" s="10"/>
      <c r="J174" s="2"/>
      <c r="K174" s="3"/>
      <c r="L174" s="1"/>
    </row>
    <row r="175" spans="1:12" hidden="1" x14ac:dyDescent="0.25"/>
    <row r="176" spans="1:12" x14ac:dyDescent="0.25">
      <c r="A176" s="209" t="s">
        <v>8</v>
      </c>
      <c r="B176" s="209"/>
      <c r="C176" s="22" t="s">
        <v>9</v>
      </c>
      <c r="H176" s="209" t="s">
        <v>8</v>
      </c>
      <c r="I176" s="209"/>
      <c r="J176" s="22" t="s">
        <v>9</v>
      </c>
    </row>
    <row r="177" spans="2:12" x14ac:dyDescent="0.25">
      <c r="B177" s="17" t="s">
        <v>10</v>
      </c>
      <c r="C177" s="21">
        <f>COUNTIF(D144:D174,"L")</f>
        <v>13</v>
      </c>
      <c r="D177" s="208" t="s">
        <v>1547</v>
      </c>
      <c r="E177" s="208"/>
      <c r="I177" s="17" t="s">
        <v>10</v>
      </c>
      <c r="J177" s="21">
        <f>COUNTIF(K144:K174,"L")</f>
        <v>9</v>
      </c>
      <c r="K177" s="208" t="s">
        <v>1547</v>
      </c>
      <c r="L177" s="208"/>
    </row>
    <row r="178" spans="2:12" x14ac:dyDescent="0.25">
      <c r="B178" s="17" t="s">
        <v>11</v>
      </c>
      <c r="C178" s="23">
        <f>COUNTIF(D144:D174,"P")</f>
        <v>15</v>
      </c>
      <c r="D178" s="208" t="s">
        <v>12</v>
      </c>
      <c r="E178" s="208"/>
      <c r="I178" s="17" t="s">
        <v>11</v>
      </c>
      <c r="J178" s="23">
        <f>COUNTIF(K144:K174,"P")</f>
        <v>21</v>
      </c>
      <c r="K178" s="208" t="s">
        <v>12</v>
      </c>
      <c r="L178" s="208"/>
    </row>
    <row r="179" spans="2:12" x14ac:dyDescent="0.25">
      <c r="B179" s="30" t="s">
        <v>20</v>
      </c>
      <c r="C179" s="29">
        <f>C177+C178</f>
        <v>28</v>
      </c>
      <c r="D179" s="18"/>
      <c r="E179" s="18"/>
      <c r="I179" s="30" t="s">
        <v>20</v>
      </c>
      <c r="J179" s="29">
        <f>J177+J178</f>
        <v>30</v>
      </c>
      <c r="K179" s="18"/>
      <c r="L179" s="18"/>
    </row>
    <row r="182" spans="2:12" x14ac:dyDescent="0.25">
      <c r="D182" s="208" t="s">
        <v>13</v>
      </c>
      <c r="E182" s="208"/>
      <c r="K182" s="208" t="s">
        <v>13</v>
      </c>
      <c r="L182" s="208"/>
    </row>
    <row r="183" spans="2:12" x14ac:dyDescent="0.25">
      <c r="D183" t="s">
        <v>14</v>
      </c>
      <c r="K183" t="s">
        <v>14</v>
      </c>
    </row>
    <row r="188" spans="2:12" x14ac:dyDescent="0.25">
      <c r="B188" s="67" t="s">
        <v>1527</v>
      </c>
      <c r="C188" s="68">
        <f>J179+C179+J133+C133+J87+C87+J41+C41</f>
        <v>228</v>
      </c>
    </row>
    <row r="191" spans="2:12" ht="15.75" x14ac:dyDescent="0.25">
      <c r="B191" s="77" t="s">
        <v>32</v>
      </c>
      <c r="C191" s="78">
        <f>J177+C177+J131+C131+J85+C85+J39+C39</f>
        <v>110</v>
      </c>
    </row>
    <row r="192" spans="2:12" ht="15.75" x14ac:dyDescent="0.25">
      <c r="B192" s="77" t="s">
        <v>33</v>
      </c>
      <c r="C192" s="78">
        <f>J178+C178+J132+C132+J86+C86+J40+C40</f>
        <v>118</v>
      </c>
    </row>
    <row r="193" spans="2:3" ht="15.75" x14ac:dyDescent="0.25">
      <c r="B193" s="77"/>
      <c r="C193" s="78">
        <f>C191+C192</f>
        <v>228</v>
      </c>
    </row>
  </sheetData>
  <sortState xmlns:xlrd2="http://schemas.microsoft.com/office/spreadsheetml/2017/richdata2" ref="B146:D172">
    <sortCondition ref="C146:C172"/>
  </sortState>
  <mergeCells count="48">
    <mergeCell ref="A47:E47"/>
    <mergeCell ref="G47:L47"/>
    <mergeCell ref="A1:E1"/>
    <mergeCell ref="H1:M1"/>
    <mergeCell ref="A2:E2"/>
    <mergeCell ref="H2:M2"/>
    <mergeCell ref="A3:E3"/>
    <mergeCell ref="H3:M3"/>
    <mergeCell ref="A38:B38"/>
    <mergeCell ref="D39:E39"/>
    <mergeCell ref="K39:L39"/>
    <mergeCell ref="D40:E40"/>
    <mergeCell ref="D44:E44"/>
    <mergeCell ref="A94:E94"/>
    <mergeCell ref="G94:L94"/>
    <mergeCell ref="A48:E48"/>
    <mergeCell ref="G48:L48"/>
    <mergeCell ref="A49:E49"/>
    <mergeCell ref="H49:L49"/>
    <mergeCell ref="A84:B84"/>
    <mergeCell ref="D85:E85"/>
    <mergeCell ref="K85:L85"/>
    <mergeCell ref="D86:E86"/>
    <mergeCell ref="K86:L86"/>
    <mergeCell ref="D90:E90"/>
    <mergeCell ref="A93:E93"/>
    <mergeCell ref="G93:L93"/>
    <mergeCell ref="A141:E141"/>
    <mergeCell ref="H141:L141"/>
    <mergeCell ref="A95:E95"/>
    <mergeCell ref="H95:L95"/>
    <mergeCell ref="A130:B130"/>
    <mergeCell ref="D131:E131"/>
    <mergeCell ref="K131:L131"/>
    <mergeCell ref="D132:E132"/>
    <mergeCell ref="D136:E136"/>
    <mergeCell ref="A139:E139"/>
    <mergeCell ref="H139:L139"/>
    <mergeCell ref="A140:E140"/>
    <mergeCell ref="H140:L140"/>
    <mergeCell ref="D182:E182"/>
    <mergeCell ref="K182:L182"/>
    <mergeCell ref="A176:B176"/>
    <mergeCell ref="H176:I176"/>
    <mergeCell ref="D177:E177"/>
    <mergeCell ref="K177:L177"/>
    <mergeCell ref="D178:E178"/>
    <mergeCell ref="K178:L178"/>
  </mergeCells>
  <pageMargins left="0.51181102362204722" right="0.31496062992125984" top="0.74803149606299213" bottom="0.23622047244094491" header="0.31496062992125984" footer="0.31496062992125984"/>
  <pageSetup paperSize="5" scale="80" orientation="landscape" horizontalDpi="4294967293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835"/>
  <sheetViews>
    <sheetView topLeftCell="A172" workbookViewId="0">
      <selection activeCell="G173" sqref="G173"/>
    </sheetView>
  </sheetViews>
  <sheetFormatPr defaultRowHeight="15" x14ac:dyDescent="0.25"/>
  <cols>
    <col min="1" max="1" width="4.85546875" customWidth="1"/>
    <col min="2" max="2" width="20.7109375" customWidth="1"/>
    <col min="3" max="3" width="29.7109375" customWidth="1"/>
    <col min="4" max="4" width="4.85546875" style="6" customWidth="1"/>
    <col min="5" max="5" width="16.7109375" customWidth="1"/>
    <col min="6" max="6" width="12.5703125" style="15" customWidth="1"/>
    <col min="7" max="7" width="5" customWidth="1"/>
    <col min="8" max="8" width="21.42578125" customWidth="1"/>
    <col min="9" max="9" width="33.140625" customWidth="1"/>
    <col min="10" max="10" width="4.7109375" style="6" customWidth="1"/>
    <col min="11" max="11" width="15.42578125" customWidth="1"/>
    <col min="12" max="12" width="6.85546875" customWidth="1"/>
    <col min="13" max="13" width="12.42578125" customWidth="1"/>
    <col min="14" max="14" width="32" customWidth="1"/>
    <col min="15" max="15" width="12.85546875" customWidth="1"/>
    <col min="16" max="16" width="24.42578125" customWidth="1"/>
    <col min="17" max="17" width="22" customWidth="1"/>
    <col min="18" max="18" width="15.28515625" customWidth="1"/>
  </cols>
  <sheetData>
    <row r="1" spans="1:18" ht="15.75" x14ac:dyDescent="0.25">
      <c r="A1" s="210" t="s">
        <v>668</v>
      </c>
      <c r="B1" s="210"/>
      <c r="C1" s="210"/>
      <c r="D1" s="210"/>
      <c r="E1" s="210"/>
      <c r="F1"/>
      <c r="G1" s="210" t="s">
        <v>668</v>
      </c>
      <c r="H1" s="210"/>
      <c r="I1" s="210"/>
      <c r="J1" s="210"/>
      <c r="K1" s="210"/>
    </row>
    <row r="2" spans="1:18" ht="15.75" x14ac:dyDescent="0.25">
      <c r="A2" s="210" t="s">
        <v>1144</v>
      </c>
      <c r="B2" s="210"/>
      <c r="C2" s="210"/>
      <c r="D2" s="210"/>
      <c r="E2" s="210"/>
      <c r="F2"/>
      <c r="G2" s="210" t="s">
        <v>1144</v>
      </c>
      <c r="H2" s="210"/>
      <c r="I2" s="210"/>
      <c r="J2" s="210"/>
      <c r="K2" s="210"/>
    </row>
    <row r="3" spans="1:18" ht="15" customHeight="1" x14ac:dyDescent="0.25">
      <c r="A3" s="213" t="s">
        <v>15</v>
      </c>
      <c r="B3" s="213"/>
      <c r="C3" s="213"/>
      <c r="D3" s="213"/>
      <c r="E3" s="213"/>
      <c r="F3"/>
      <c r="G3" s="214" t="s">
        <v>16</v>
      </c>
      <c r="H3" s="214"/>
      <c r="I3" s="214"/>
      <c r="J3" s="214"/>
      <c r="K3" s="214"/>
      <c r="L3" s="18"/>
      <c r="M3" s="18"/>
      <c r="N3" s="18"/>
      <c r="O3" s="18"/>
      <c r="P3" s="18"/>
      <c r="Q3" s="18"/>
      <c r="R3" s="18"/>
    </row>
    <row r="4" spans="1:18" ht="17.100000000000001" customHeight="1" x14ac:dyDescent="0.25">
      <c r="A4" s="13" t="s">
        <v>2</v>
      </c>
      <c r="B4" s="13" t="s">
        <v>22</v>
      </c>
      <c r="C4" s="13" t="s">
        <v>4</v>
      </c>
      <c r="D4" s="13" t="s">
        <v>5</v>
      </c>
      <c r="E4" s="13" t="s">
        <v>6</v>
      </c>
      <c r="G4" s="13" t="s">
        <v>2</v>
      </c>
      <c r="H4" s="13" t="s">
        <v>22</v>
      </c>
      <c r="I4" s="13" t="s">
        <v>4</v>
      </c>
      <c r="J4" s="13" t="s">
        <v>5</v>
      </c>
      <c r="K4" s="13" t="s">
        <v>6</v>
      </c>
      <c r="L4" s="18"/>
    </row>
    <row r="5" spans="1:18" ht="17.100000000000001" customHeight="1" x14ac:dyDescent="0.25">
      <c r="A5" s="5">
        <v>1</v>
      </c>
      <c r="B5" s="60" t="s">
        <v>455</v>
      </c>
      <c r="C5" s="49" t="s">
        <v>310</v>
      </c>
      <c r="D5" s="33" t="s">
        <v>1</v>
      </c>
      <c r="E5" s="41"/>
      <c r="G5" s="5">
        <v>1</v>
      </c>
      <c r="H5" s="60" t="s">
        <v>486</v>
      </c>
      <c r="I5" s="49" t="s">
        <v>287</v>
      </c>
      <c r="J5" s="51" t="s">
        <v>0</v>
      </c>
      <c r="K5" s="36"/>
      <c r="L5" s="82"/>
    </row>
    <row r="6" spans="1:18" ht="17.100000000000001" customHeight="1" x14ac:dyDescent="0.25">
      <c r="A6" s="5">
        <v>2</v>
      </c>
      <c r="B6" s="60" t="s">
        <v>456</v>
      </c>
      <c r="C6" s="49" t="s">
        <v>297</v>
      </c>
      <c r="D6" s="33" t="s">
        <v>0</v>
      </c>
      <c r="E6" s="41"/>
      <c r="G6" s="5">
        <v>2</v>
      </c>
      <c r="H6" s="60" t="s">
        <v>487</v>
      </c>
      <c r="I6" s="49" t="s">
        <v>284</v>
      </c>
      <c r="J6" s="51" t="s">
        <v>1</v>
      </c>
      <c r="K6" s="36"/>
      <c r="L6" s="18"/>
    </row>
    <row r="7" spans="1:18" ht="17.100000000000001" customHeight="1" x14ac:dyDescent="0.25">
      <c r="A7" s="5">
        <v>3</v>
      </c>
      <c r="B7" s="60" t="s">
        <v>457</v>
      </c>
      <c r="C7" s="49" t="s">
        <v>351</v>
      </c>
      <c r="D7" s="33" t="s">
        <v>0</v>
      </c>
      <c r="E7" s="41"/>
      <c r="G7" s="5">
        <v>3</v>
      </c>
      <c r="H7" s="60" t="s">
        <v>488</v>
      </c>
      <c r="I7" s="49" t="s">
        <v>273</v>
      </c>
      <c r="J7" s="51" t="s">
        <v>1</v>
      </c>
      <c r="K7" s="36"/>
      <c r="L7" s="82"/>
    </row>
    <row r="8" spans="1:18" ht="17.100000000000001" customHeight="1" x14ac:dyDescent="0.25">
      <c r="A8" s="5">
        <v>4</v>
      </c>
      <c r="B8" s="60" t="s">
        <v>458</v>
      </c>
      <c r="C8" s="49" t="s">
        <v>395</v>
      </c>
      <c r="D8" s="33" t="s">
        <v>0</v>
      </c>
      <c r="E8" s="117"/>
      <c r="G8" s="5">
        <v>4</v>
      </c>
      <c r="H8" s="60" t="s">
        <v>489</v>
      </c>
      <c r="I8" s="49" t="s">
        <v>262</v>
      </c>
      <c r="J8" s="51" t="s">
        <v>0</v>
      </c>
      <c r="K8" s="36"/>
      <c r="L8" s="18"/>
    </row>
    <row r="9" spans="1:18" ht="17.100000000000001" customHeight="1" x14ac:dyDescent="0.25">
      <c r="A9" s="5">
        <v>5</v>
      </c>
      <c r="B9" s="60" t="s">
        <v>459</v>
      </c>
      <c r="C9" s="49" t="s">
        <v>267</v>
      </c>
      <c r="D9" s="33" t="s">
        <v>0</v>
      </c>
      <c r="E9" s="41"/>
      <c r="G9" s="5">
        <v>5</v>
      </c>
      <c r="H9" s="60" t="s">
        <v>490</v>
      </c>
      <c r="I9" s="49" t="s">
        <v>282</v>
      </c>
      <c r="J9" s="51" t="s">
        <v>1</v>
      </c>
      <c r="K9" s="36"/>
      <c r="L9" s="82"/>
    </row>
    <row r="10" spans="1:18" ht="17.100000000000001" customHeight="1" x14ac:dyDescent="0.25">
      <c r="A10" s="5">
        <v>6</v>
      </c>
      <c r="B10" s="60" t="s">
        <v>460</v>
      </c>
      <c r="C10" s="49" t="s">
        <v>442</v>
      </c>
      <c r="D10" s="33" t="s">
        <v>1</v>
      </c>
      <c r="E10" s="84"/>
      <c r="G10" s="5">
        <v>6</v>
      </c>
      <c r="H10" s="60" t="s">
        <v>491</v>
      </c>
      <c r="I10" s="49" t="s">
        <v>243</v>
      </c>
      <c r="J10" s="51" t="s">
        <v>1</v>
      </c>
      <c r="K10" s="36"/>
      <c r="L10" s="18"/>
    </row>
    <row r="11" spans="1:18" ht="17.100000000000001" customHeight="1" x14ac:dyDescent="0.25">
      <c r="A11" s="5">
        <v>7</v>
      </c>
      <c r="B11" s="60" t="s">
        <v>461</v>
      </c>
      <c r="C11" s="49" t="s">
        <v>401</v>
      </c>
      <c r="D11" s="33" t="s">
        <v>1</v>
      </c>
      <c r="E11" s="41"/>
      <c r="G11" s="5">
        <v>7</v>
      </c>
      <c r="H11" s="60" t="s">
        <v>492</v>
      </c>
      <c r="I11" s="49" t="s">
        <v>278</v>
      </c>
      <c r="J11" s="51" t="s">
        <v>0</v>
      </c>
      <c r="K11" s="36"/>
      <c r="L11" s="82"/>
    </row>
    <row r="12" spans="1:18" ht="17.100000000000001" customHeight="1" x14ac:dyDescent="0.25">
      <c r="A12" s="5">
        <v>8</v>
      </c>
      <c r="B12" s="60" t="s">
        <v>462</v>
      </c>
      <c r="C12" s="49" t="s">
        <v>406</v>
      </c>
      <c r="D12" s="33" t="s">
        <v>0</v>
      </c>
      <c r="E12" s="41"/>
      <c r="G12" s="5">
        <v>8</v>
      </c>
      <c r="H12" s="60" t="s">
        <v>493</v>
      </c>
      <c r="I12" s="49" t="s">
        <v>368</v>
      </c>
      <c r="J12" s="51" t="s">
        <v>0</v>
      </c>
      <c r="K12" s="35"/>
      <c r="L12" s="18"/>
    </row>
    <row r="13" spans="1:18" ht="17.100000000000001" customHeight="1" x14ac:dyDescent="0.25">
      <c r="A13" s="5">
        <v>9</v>
      </c>
      <c r="B13" s="60" t="s">
        <v>463</v>
      </c>
      <c r="C13" s="49" t="s">
        <v>404</v>
      </c>
      <c r="D13" s="33" t="s">
        <v>1</v>
      </c>
      <c r="E13" s="41"/>
      <c r="G13" s="5">
        <v>9</v>
      </c>
      <c r="H13" s="60" t="s">
        <v>494</v>
      </c>
      <c r="I13" s="50" t="s">
        <v>407</v>
      </c>
      <c r="J13" s="51" t="s">
        <v>1</v>
      </c>
      <c r="K13" s="36"/>
      <c r="L13" s="82"/>
    </row>
    <row r="14" spans="1:18" ht="17.100000000000001" customHeight="1" x14ac:dyDescent="0.25">
      <c r="A14" s="5">
        <v>10</v>
      </c>
      <c r="B14" s="60" t="s">
        <v>464</v>
      </c>
      <c r="C14" s="54" t="s">
        <v>252</v>
      </c>
      <c r="D14" s="9" t="s">
        <v>1</v>
      </c>
      <c r="E14" s="41"/>
      <c r="G14" s="5">
        <v>10</v>
      </c>
      <c r="H14" s="60" t="s">
        <v>495</v>
      </c>
      <c r="I14" s="49" t="s">
        <v>290</v>
      </c>
      <c r="J14" s="51" t="s">
        <v>1</v>
      </c>
      <c r="K14" s="35"/>
      <c r="L14" s="18"/>
    </row>
    <row r="15" spans="1:18" ht="17.100000000000001" customHeight="1" x14ac:dyDescent="0.25">
      <c r="A15" s="5">
        <v>11</v>
      </c>
      <c r="B15" s="60" t="s">
        <v>465</v>
      </c>
      <c r="C15" s="54" t="s">
        <v>277</v>
      </c>
      <c r="D15" s="9" t="s">
        <v>1</v>
      </c>
      <c r="E15" s="84"/>
      <c r="G15" s="5">
        <v>11</v>
      </c>
      <c r="H15" s="60" t="s">
        <v>496</v>
      </c>
      <c r="I15" s="49" t="s">
        <v>445</v>
      </c>
      <c r="J15" s="51" t="s">
        <v>0</v>
      </c>
      <c r="K15" s="35"/>
      <c r="L15" s="82"/>
    </row>
    <row r="16" spans="1:18" ht="17.100000000000001" customHeight="1" x14ac:dyDescent="0.25">
      <c r="A16" s="5">
        <v>12</v>
      </c>
      <c r="B16" s="60" t="s">
        <v>466</v>
      </c>
      <c r="C16" s="49" t="s">
        <v>365</v>
      </c>
      <c r="D16" s="33" t="s">
        <v>0</v>
      </c>
      <c r="E16" s="41"/>
      <c r="G16" s="5">
        <v>12</v>
      </c>
      <c r="H16" s="60" t="s">
        <v>497</v>
      </c>
      <c r="I16" s="49" t="s">
        <v>281</v>
      </c>
      <c r="J16" s="51" t="s">
        <v>0</v>
      </c>
      <c r="K16" s="36"/>
      <c r="L16" s="18"/>
    </row>
    <row r="17" spans="1:18" ht="17.100000000000001" customHeight="1" x14ac:dyDescent="0.25">
      <c r="A17" s="5">
        <v>13</v>
      </c>
      <c r="B17" s="60" t="s">
        <v>467</v>
      </c>
      <c r="C17" s="49" t="s">
        <v>359</v>
      </c>
      <c r="D17" s="33" t="s">
        <v>1</v>
      </c>
      <c r="E17" s="41"/>
      <c r="G17" s="3">
        <v>13</v>
      </c>
      <c r="H17" s="60" t="s">
        <v>498</v>
      </c>
      <c r="I17" s="49" t="s">
        <v>294</v>
      </c>
      <c r="J17" s="51" t="s">
        <v>0</v>
      </c>
      <c r="K17" s="34"/>
      <c r="L17" s="82"/>
    </row>
    <row r="18" spans="1:18" ht="17.100000000000001" customHeight="1" x14ac:dyDescent="0.25">
      <c r="A18" s="5">
        <v>14</v>
      </c>
      <c r="B18" s="60" t="s">
        <v>468</v>
      </c>
      <c r="C18" s="49" t="s">
        <v>272</v>
      </c>
      <c r="D18" s="33" t="s">
        <v>1</v>
      </c>
      <c r="E18" s="41"/>
      <c r="G18" s="5">
        <v>14</v>
      </c>
      <c r="H18" s="60" t="s">
        <v>499</v>
      </c>
      <c r="I18" s="49" t="s">
        <v>347</v>
      </c>
      <c r="J18" s="51" t="s">
        <v>0</v>
      </c>
      <c r="K18" s="36"/>
      <c r="L18" s="18"/>
    </row>
    <row r="19" spans="1:18" ht="17.100000000000001" customHeight="1" x14ac:dyDescent="0.25">
      <c r="A19" s="5">
        <v>15</v>
      </c>
      <c r="B19" s="60" t="s">
        <v>469</v>
      </c>
      <c r="C19" s="49" t="s">
        <v>449</v>
      </c>
      <c r="D19" s="33" t="s">
        <v>0</v>
      </c>
      <c r="E19" s="41"/>
      <c r="G19" s="5">
        <v>15</v>
      </c>
      <c r="H19" s="60" t="s">
        <v>500</v>
      </c>
      <c r="I19" s="49" t="s">
        <v>307</v>
      </c>
      <c r="J19" s="51" t="s">
        <v>1</v>
      </c>
      <c r="K19" s="36"/>
      <c r="L19" s="82"/>
      <c r="M19" s="14"/>
      <c r="N19" s="14"/>
      <c r="O19" s="14"/>
      <c r="P19" s="14"/>
      <c r="Q19" s="14"/>
      <c r="R19" s="14"/>
    </row>
    <row r="20" spans="1:18" ht="17.100000000000001" customHeight="1" x14ac:dyDescent="0.25">
      <c r="A20" s="5">
        <v>16</v>
      </c>
      <c r="B20" s="60" t="s">
        <v>470</v>
      </c>
      <c r="C20" s="49" t="s">
        <v>422</v>
      </c>
      <c r="D20" s="33" t="s">
        <v>0</v>
      </c>
      <c r="E20" s="41"/>
      <c r="G20" s="5">
        <v>16</v>
      </c>
      <c r="H20" s="79" t="s">
        <v>1136</v>
      </c>
      <c r="I20" s="49" t="s">
        <v>1137</v>
      </c>
      <c r="J20" s="51" t="s">
        <v>1</v>
      </c>
      <c r="K20" s="36"/>
      <c r="L20" s="18"/>
    </row>
    <row r="21" spans="1:18" ht="17.100000000000001" customHeight="1" x14ac:dyDescent="0.25">
      <c r="A21" s="5">
        <v>17</v>
      </c>
      <c r="B21" s="60" t="s">
        <v>471</v>
      </c>
      <c r="C21" s="54" t="s">
        <v>335</v>
      </c>
      <c r="D21" s="33" t="s">
        <v>1</v>
      </c>
      <c r="E21" s="39"/>
      <c r="G21" s="5">
        <v>17</v>
      </c>
      <c r="H21" s="60" t="s">
        <v>501</v>
      </c>
      <c r="I21" s="49" t="s">
        <v>453</v>
      </c>
      <c r="J21" s="52" t="s">
        <v>0</v>
      </c>
      <c r="K21" s="36"/>
      <c r="L21" s="82"/>
    </row>
    <row r="22" spans="1:18" ht="17.100000000000001" customHeight="1" x14ac:dyDescent="0.25">
      <c r="A22" s="5">
        <v>18</v>
      </c>
      <c r="B22" s="60" t="s">
        <v>472</v>
      </c>
      <c r="C22" s="49" t="s">
        <v>312</v>
      </c>
      <c r="D22" s="33" t="s">
        <v>0</v>
      </c>
      <c r="E22" s="84"/>
      <c r="G22" s="5">
        <v>18</v>
      </c>
      <c r="H22" s="60" t="s">
        <v>502</v>
      </c>
      <c r="I22" s="49" t="s">
        <v>398</v>
      </c>
      <c r="J22" s="51" t="s">
        <v>0</v>
      </c>
      <c r="K22" s="97"/>
      <c r="L22" s="18"/>
    </row>
    <row r="23" spans="1:18" ht="17.100000000000001" customHeight="1" x14ac:dyDescent="0.25">
      <c r="A23" s="5">
        <v>19</v>
      </c>
      <c r="B23" s="60" t="s">
        <v>473</v>
      </c>
      <c r="C23" s="49" t="s">
        <v>301</v>
      </c>
      <c r="D23" s="33" t="s">
        <v>0</v>
      </c>
      <c r="E23" s="41"/>
      <c r="G23" s="5">
        <v>19</v>
      </c>
      <c r="H23" s="60" t="s">
        <v>503</v>
      </c>
      <c r="I23" s="49" t="s">
        <v>316</v>
      </c>
      <c r="J23" s="51" t="s">
        <v>0</v>
      </c>
      <c r="K23" s="35"/>
      <c r="L23" s="82"/>
    </row>
    <row r="24" spans="1:18" ht="17.100000000000001" customHeight="1" x14ac:dyDescent="0.25">
      <c r="A24" s="5">
        <v>20</v>
      </c>
      <c r="B24" s="60" t="s">
        <v>474</v>
      </c>
      <c r="C24" s="49" t="s">
        <v>397</v>
      </c>
      <c r="D24" s="33" t="s">
        <v>0</v>
      </c>
      <c r="E24" s="41"/>
      <c r="G24" s="5">
        <v>20</v>
      </c>
      <c r="H24" s="60" t="s">
        <v>504</v>
      </c>
      <c r="I24" s="49" t="s">
        <v>425</v>
      </c>
      <c r="J24" s="51" t="s">
        <v>0</v>
      </c>
      <c r="K24" s="36"/>
      <c r="L24" s="18"/>
    </row>
    <row r="25" spans="1:18" ht="17.100000000000001" customHeight="1" x14ac:dyDescent="0.25">
      <c r="A25" s="5">
        <v>21</v>
      </c>
      <c r="B25" s="60" t="s">
        <v>475</v>
      </c>
      <c r="C25" s="49" t="s">
        <v>448</v>
      </c>
      <c r="D25" s="33" t="s">
        <v>0</v>
      </c>
      <c r="E25" s="84"/>
      <c r="G25" s="5">
        <v>21</v>
      </c>
      <c r="H25" s="60" t="s">
        <v>505</v>
      </c>
      <c r="I25" s="49" t="s">
        <v>375</v>
      </c>
      <c r="J25" s="51" t="s">
        <v>0</v>
      </c>
      <c r="K25" s="35"/>
      <c r="L25" s="82"/>
    </row>
    <row r="26" spans="1:18" ht="17.100000000000001" customHeight="1" x14ac:dyDescent="0.25">
      <c r="A26" s="5">
        <v>22</v>
      </c>
      <c r="B26" s="60" t="s">
        <v>476</v>
      </c>
      <c r="C26" s="49" t="s">
        <v>417</v>
      </c>
      <c r="D26" s="33" t="s">
        <v>0</v>
      </c>
      <c r="E26" s="39"/>
      <c r="G26" s="5">
        <v>22</v>
      </c>
      <c r="H26" s="60" t="s">
        <v>506</v>
      </c>
      <c r="I26" s="49" t="s">
        <v>280</v>
      </c>
      <c r="J26" s="51" t="s">
        <v>0</v>
      </c>
      <c r="K26" s="36"/>
      <c r="L26" s="18"/>
    </row>
    <row r="27" spans="1:18" ht="17.100000000000001" customHeight="1" x14ac:dyDescent="0.25">
      <c r="A27" s="5">
        <v>23</v>
      </c>
      <c r="B27" s="60" t="s">
        <v>477</v>
      </c>
      <c r="C27" s="49" t="s">
        <v>441</v>
      </c>
      <c r="D27" s="33" t="s">
        <v>1</v>
      </c>
      <c r="E27" s="39"/>
      <c r="G27" s="5">
        <v>23</v>
      </c>
      <c r="H27" s="60" t="s">
        <v>507</v>
      </c>
      <c r="I27" s="49" t="s">
        <v>286</v>
      </c>
      <c r="J27" s="52" t="s">
        <v>1</v>
      </c>
      <c r="K27" s="35"/>
      <c r="L27" s="82"/>
    </row>
    <row r="28" spans="1:18" ht="17.100000000000001" customHeight="1" x14ac:dyDescent="0.25">
      <c r="A28" s="5">
        <v>24</v>
      </c>
      <c r="B28" s="60" t="s">
        <v>478</v>
      </c>
      <c r="C28" s="54" t="s">
        <v>454</v>
      </c>
      <c r="D28" s="9" t="s">
        <v>0</v>
      </c>
      <c r="E28" s="84"/>
      <c r="G28" s="5">
        <v>24</v>
      </c>
      <c r="H28" s="60" t="s">
        <v>1135</v>
      </c>
      <c r="I28" s="54" t="s">
        <v>1134</v>
      </c>
      <c r="J28" s="52" t="s">
        <v>1</v>
      </c>
      <c r="K28" s="36"/>
      <c r="L28" s="18"/>
    </row>
    <row r="29" spans="1:18" ht="17.100000000000001" customHeight="1" x14ac:dyDescent="0.25">
      <c r="A29" s="5">
        <v>25</v>
      </c>
      <c r="B29" s="60" t="s">
        <v>479</v>
      </c>
      <c r="C29" s="49" t="s">
        <v>424</v>
      </c>
      <c r="D29" s="33" t="s">
        <v>0</v>
      </c>
      <c r="E29" s="84"/>
      <c r="G29" s="5">
        <v>25</v>
      </c>
      <c r="H29" s="60" t="s">
        <v>508</v>
      </c>
      <c r="I29" s="49" t="s">
        <v>452</v>
      </c>
      <c r="J29" s="52" t="s">
        <v>1</v>
      </c>
      <c r="K29" s="36"/>
      <c r="L29" s="82"/>
    </row>
    <row r="30" spans="1:18" ht="17.100000000000001" customHeight="1" x14ac:dyDescent="0.25">
      <c r="A30" s="5">
        <v>26</v>
      </c>
      <c r="B30" s="60" t="s">
        <v>480</v>
      </c>
      <c r="C30" s="49" t="s">
        <v>342</v>
      </c>
      <c r="D30" s="33" t="s">
        <v>1</v>
      </c>
      <c r="E30" s="85"/>
      <c r="G30" s="5">
        <v>26</v>
      </c>
      <c r="H30" s="60" t="s">
        <v>509</v>
      </c>
      <c r="I30" s="49" t="s">
        <v>306</v>
      </c>
      <c r="J30" s="51" t="s">
        <v>0</v>
      </c>
      <c r="K30" s="35"/>
      <c r="L30" s="18"/>
    </row>
    <row r="31" spans="1:18" ht="17.100000000000001" customHeight="1" x14ac:dyDescent="0.25">
      <c r="A31" s="5">
        <v>27</v>
      </c>
      <c r="B31" s="60" t="s">
        <v>481</v>
      </c>
      <c r="C31" s="49" t="s">
        <v>447</v>
      </c>
      <c r="D31" s="33" t="s">
        <v>0</v>
      </c>
      <c r="E31" s="84"/>
      <c r="G31" s="5">
        <v>27</v>
      </c>
      <c r="H31" s="60" t="s">
        <v>510</v>
      </c>
      <c r="I31" s="49" t="s">
        <v>324</v>
      </c>
      <c r="J31" s="51" t="s">
        <v>1</v>
      </c>
      <c r="K31" s="36"/>
      <c r="L31" s="82"/>
    </row>
    <row r="32" spans="1:18" ht="17.100000000000001" customHeight="1" x14ac:dyDescent="0.25">
      <c r="A32" s="5">
        <v>28</v>
      </c>
      <c r="B32" s="60" t="s">
        <v>482</v>
      </c>
      <c r="C32" s="50" t="s">
        <v>348</v>
      </c>
      <c r="D32" s="33" t="s">
        <v>1</v>
      </c>
      <c r="E32" s="39"/>
      <c r="G32" s="5">
        <v>28</v>
      </c>
      <c r="H32" s="60" t="s">
        <v>511</v>
      </c>
      <c r="I32" s="49" t="s">
        <v>432</v>
      </c>
      <c r="J32" s="51" t="s">
        <v>0</v>
      </c>
      <c r="K32" s="36"/>
      <c r="L32" s="18"/>
    </row>
    <row r="33" spans="1:12" ht="17.100000000000001" customHeight="1" x14ac:dyDescent="0.25">
      <c r="A33" s="5">
        <v>29</v>
      </c>
      <c r="B33" s="60" t="s">
        <v>483</v>
      </c>
      <c r="C33" s="49" t="s">
        <v>309</v>
      </c>
      <c r="D33" s="33" t="s">
        <v>0</v>
      </c>
      <c r="E33" s="39"/>
      <c r="G33" s="5">
        <v>29</v>
      </c>
      <c r="H33" s="60" t="s">
        <v>512</v>
      </c>
      <c r="I33" s="49" t="s">
        <v>376</v>
      </c>
      <c r="J33" s="51" t="s">
        <v>0</v>
      </c>
      <c r="K33" s="36"/>
      <c r="L33" s="82"/>
    </row>
    <row r="34" spans="1:12" ht="17.100000000000001" customHeight="1" x14ac:dyDescent="0.25">
      <c r="A34" s="5">
        <v>30</v>
      </c>
      <c r="B34" s="60" t="s">
        <v>484</v>
      </c>
      <c r="C34" s="54" t="s">
        <v>1332</v>
      </c>
      <c r="D34" s="9" t="s">
        <v>0</v>
      </c>
      <c r="E34" s="39"/>
      <c r="G34" s="5">
        <v>30</v>
      </c>
      <c r="H34" s="60" t="s">
        <v>513</v>
      </c>
      <c r="I34" s="49" t="s">
        <v>341</v>
      </c>
      <c r="J34" s="51" t="s">
        <v>0</v>
      </c>
      <c r="K34" s="36"/>
      <c r="L34" s="82"/>
    </row>
    <row r="35" spans="1:12" ht="17.100000000000001" customHeight="1" x14ac:dyDescent="0.25">
      <c r="A35" s="5">
        <v>31</v>
      </c>
      <c r="B35" s="5" t="s">
        <v>485</v>
      </c>
      <c r="C35" s="54" t="s">
        <v>410</v>
      </c>
      <c r="D35" s="9" t="s">
        <v>0</v>
      </c>
      <c r="E35" s="39"/>
      <c r="G35" s="5">
        <v>31</v>
      </c>
      <c r="H35" s="60" t="s">
        <v>514</v>
      </c>
      <c r="I35" s="49" t="s">
        <v>331</v>
      </c>
      <c r="J35" s="52" t="s">
        <v>1</v>
      </c>
      <c r="K35" s="36"/>
      <c r="L35" s="18"/>
    </row>
    <row r="36" spans="1:12" ht="17.100000000000001" customHeight="1" x14ac:dyDescent="0.25">
      <c r="A36" s="5"/>
      <c r="B36" s="1"/>
      <c r="C36" s="1"/>
      <c r="D36" s="9"/>
      <c r="E36" s="1"/>
      <c r="G36" s="5">
        <v>32</v>
      </c>
      <c r="H36" s="60" t="s">
        <v>515</v>
      </c>
      <c r="I36" s="49" t="s">
        <v>288</v>
      </c>
      <c r="J36" s="51" t="s">
        <v>0</v>
      </c>
      <c r="K36" s="36"/>
      <c r="L36" s="82"/>
    </row>
    <row r="37" spans="1:12" x14ac:dyDescent="0.25">
      <c r="A37" s="209" t="s">
        <v>8</v>
      </c>
      <c r="B37" s="209"/>
      <c r="C37" s="86" t="s">
        <v>9</v>
      </c>
      <c r="F37"/>
      <c r="G37" s="209" t="s">
        <v>8</v>
      </c>
      <c r="H37" s="209"/>
      <c r="I37" s="86" t="s">
        <v>9</v>
      </c>
      <c r="L37" s="18"/>
    </row>
    <row r="38" spans="1:12" ht="15.75" x14ac:dyDescent="0.25">
      <c r="B38" s="87" t="s">
        <v>10</v>
      </c>
      <c r="C38" s="21">
        <f>COUNTIF(D4:D35,"L")</f>
        <v>19</v>
      </c>
      <c r="D38" s="208" t="s">
        <v>1145</v>
      </c>
      <c r="E38" s="208"/>
      <c r="F38"/>
      <c r="H38" s="87" t="s">
        <v>10</v>
      </c>
      <c r="I38" s="23">
        <f>COUNTIF(J4:J36,"L")</f>
        <v>19</v>
      </c>
      <c r="J38" s="208" t="s">
        <v>1145</v>
      </c>
      <c r="K38" s="208"/>
      <c r="L38" s="82"/>
    </row>
    <row r="39" spans="1:12" x14ac:dyDescent="0.25">
      <c r="B39" s="87" t="s">
        <v>11</v>
      </c>
      <c r="C39" s="23">
        <f>COUNTIF(D4:D35,"P")</f>
        <v>12</v>
      </c>
      <c r="D39" s="208" t="s">
        <v>12</v>
      </c>
      <c r="E39" s="208"/>
      <c r="F39"/>
      <c r="H39" s="87" t="s">
        <v>11</v>
      </c>
      <c r="I39" s="23">
        <f>COUNTIF(J4:J36,"P")</f>
        <v>13</v>
      </c>
      <c r="J39" s="208" t="s">
        <v>12</v>
      </c>
      <c r="K39" s="208"/>
      <c r="L39" s="18"/>
    </row>
    <row r="40" spans="1:12" ht="15.75" x14ac:dyDescent="0.25">
      <c r="B40" s="30" t="s">
        <v>20</v>
      </c>
      <c r="C40" s="29">
        <f>C38+C39</f>
        <v>31</v>
      </c>
      <c r="D40" s="18"/>
      <c r="E40" s="18"/>
      <c r="F40"/>
      <c r="H40" s="30" t="s">
        <v>20</v>
      </c>
      <c r="I40" s="29">
        <f>I38+I39</f>
        <v>32</v>
      </c>
      <c r="J40" s="18"/>
      <c r="K40" s="19"/>
      <c r="L40" s="82"/>
    </row>
    <row r="41" spans="1:12" ht="15" hidden="1" customHeight="1" x14ac:dyDescent="0.25">
      <c r="F41"/>
      <c r="K41" s="18"/>
      <c r="L41" s="18"/>
    </row>
    <row r="42" spans="1:12" ht="15.75" x14ac:dyDescent="0.25">
      <c r="D42" s="208" t="s">
        <v>13</v>
      </c>
      <c r="E42" s="208"/>
      <c r="F42"/>
      <c r="J42" s="208" t="s">
        <v>13</v>
      </c>
      <c r="K42" s="208"/>
      <c r="L42" s="82"/>
    </row>
    <row r="43" spans="1:12" x14ac:dyDescent="0.25">
      <c r="D43" s="69" t="s">
        <v>14</v>
      </c>
      <c r="F43"/>
      <c r="J43" s="6" t="s">
        <v>14</v>
      </c>
      <c r="K43" s="19"/>
      <c r="L43" s="18"/>
    </row>
    <row r="44" spans="1:12" x14ac:dyDescent="0.25">
      <c r="D44" s="69"/>
      <c r="F44"/>
      <c r="K44" s="19"/>
      <c r="L44" s="18"/>
    </row>
    <row r="45" spans="1:12" ht="15.75" x14ac:dyDescent="0.25">
      <c r="A45" s="210" t="s">
        <v>668</v>
      </c>
      <c r="B45" s="210"/>
      <c r="C45" s="210"/>
      <c r="D45" s="210"/>
      <c r="E45" s="210"/>
      <c r="F45"/>
      <c r="G45" s="210" t="s">
        <v>668</v>
      </c>
      <c r="H45" s="210"/>
      <c r="I45" s="210"/>
      <c r="J45" s="210"/>
      <c r="K45" s="210"/>
      <c r="L45" s="82"/>
    </row>
    <row r="46" spans="1:12" ht="15.75" x14ac:dyDescent="0.25">
      <c r="A46" s="210" t="s">
        <v>1144</v>
      </c>
      <c r="B46" s="210"/>
      <c r="C46" s="210"/>
      <c r="D46" s="210"/>
      <c r="E46" s="210"/>
      <c r="F46"/>
      <c r="G46" s="210" t="s">
        <v>1144</v>
      </c>
      <c r="H46" s="210"/>
      <c r="I46" s="210"/>
      <c r="J46" s="210"/>
      <c r="K46" s="210"/>
      <c r="L46" s="18"/>
    </row>
    <row r="47" spans="1:12" ht="15.75" x14ac:dyDescent="0.25">
      <c r="A47" s="210" t="s">
        <v>17</v>
      </c>
      <c r="B47" s="210"/>
      <c r="C47" s="210"/>
      <c r="D47" s="210"/>
      <c r="E47" s="210"/>
      <c r="F47"/>
      <c r="G47" s="210" t="s">
        <v>18</v>
      </c>
      <c r="H47" s="210"/>
      <c r="I47" s="210"/>
      <c r="J47" s="210"/>
      <c r="K47" s="210"/>
      <c r="L47" s="82"/>
    </row>
    <row r="48" spans="1:12" ht="15" hidden="1" customHeight="1" x14ac:dyDescent="0.25">
      <c r="A48" s="6"/>
      <c r="B48" s="6"/>
      <c r="C48" s="6"/>
      <c r="G48" s="6"/>
      <c r="H48" s="6"/>
      <c r="I48" s="6"/>
      <c r="L48" s="18"/>
    </row>
    <row r="49" spans="1:12" ht="17.100000000000001" customHeight="1" x14ac:dyDescent="0.25">
      <c r="A49" s="13" t="s">
        <v>2</v>
      </c>
      <c r="B49" s="13" t="s">
        <v>22</v>
      </c>
      <c r="C49" s="13" t="s">
        <v>4</v>
      </c>
      <c r="D49" s="13" t="s">
        <v>5</v>
      </c>
      <c r="E49" s="13" t="s">
        <v>6</v>
      </c>
      <c r="G49" s="13" t="s">
        <v>2</v>
      </c>
      <c r="H49" s="13" t="s">
        <v>22</v>
      </c>
      <c r="I49" s="13" t="s">
        <v>4</v>
      </c>
      <c r="J49" s="13" t="s">
        <v>5</v>
      </c>
      <c r="K49" s="13" t="s">
        <v>6</v>
      </c>
      <c r="L49" s="82"/>
    </row>
    <row r="50" spans="1:12" ht="17.100000000000001" customHeight="1" x14ac:dyDescent="0.25">
      <c r="A50" s="9">
        <v>1</v>
      </c>
      <c r="B50" s="60" t="s">
        <v>516</v>
      </c>
      <c r="C50" s="48" t="s">
        <v>332</v>
      </c>
      <c r="D50" s="91" t="s">
        <v>0</v>
      </c>
      <c r="E50" s="36"/>
      <c r="G50" s="9">
        <v>1</v>
      </c>
      <c r="H50" s="60" t="s">
        <v>547</v>
      </c>
      <c r="I50" s="49" t="s">
        <v>300</v>
      </c>
      <c r="J50" s="53" t="s">
        <v>0</v>
      </c>
      <c r="K50" s="36"/>
      <c r="L50" s="18"/>
    </row>
    <row r="51" spans="1:12" ht="17.100000000000001" customHeight="1" x14ac:dyDescent="0.25">
      <c r="A51" s="9">
        <v>2</v>
      </c>
      <c r="B51" s="60" t="s">
        <v>517</v>
      </c>
      <c r="C51" s="48" t="s">
        <v>289</v>
      </c>
      <c r="D51" s="91" t="s">
        <v>0</v>
      </c>
      <c r="E51" s="1"/>
      <c r="G51" s="9">
        <v>2</v>
      </c>
      <c r="H51" s="60" t="s">
        <v>548</v>
      </c>
      <c r="I51" s="49" t="s">
        <v>327</v>
      </c>
      <c r="J51" s="53" t="s">
        <v>0</v>
      </c>
      <c r="K51" s="36"/>
      <c r="L51" s="82"/>
    </row>
    <row r="52" spans="1:12" ht="17.100000000000001" customHeight="1" x14ac:dyDescent="0.25">
      <c r="A52" s="9">
        <v>3</v>
      </c>
      <c r="B52" s="60" t="s">
        <v>518</v>
      </c>
      <c r="C52" s="48" t="s">
        <v>270</v>
      </c>
      <c r="D52" s="91" t="s">
        <v>0</v>
      </c>
      <c r="E52" s="36"/>
      <c r="G52" s="9">
        <v>3</v>
      </c>
      <c r="H52" s="60" t="s">
        <v>549</v>
      </c>
      <c r="I52" s="49" t="s">
        <v>364</v>
      </c>
      <c r="J52" s="53" t="s">
        <v>0</v>
      </c>
      <c r="K52" s="36"/>
      <c r="L52" s="18"/>
    </row>
    <row r="53" spans="1:12" ht="17.100000000000001" customHeight="1" x14ac:dyDescent="0.25">
      <c r="A53" s="9">
        <v>4</v>
      </c>
      <c r="B53" s="60" t="s">
        <v>519</v>
      </c>
      <c r="C53" s="48" t="s">
        <v>373</v>
      </c>
      <c r="D53" s="91" t="s">
        <v>0</v>
      </c>
      <c r="E53" s="36"/>
      <c r="G53" s="9">
        <v>4</v>
      </c>
      <c r="H53" s="60" t="s">
        <v>550</v>
      </c>
      <c r="I53" s="49" t="s">
        <v>408</v>
      </c>
      <c r="J53" s="53" t="s">
        <v>1</v>
      </c>
      <c r="K53" s="35"/>
      <c r="L53" s="82"/>
    </row>
    <row r="54" spans="1:12" ht="17.100000000000001" customHeight="1" x14ac:dyDescent="0.25">
      <c r="A54" s="9">
        <v>5</v>
      </c>
      <c r="B54" s="60" t="s">
        <v>520</v>
      </c>
      <c r="C54" s="48" t="s">
        <v>248</v>
      </c>
      <c r="D54" s="91" t="s">
        <v>0</v>
      </c>
      <c r="E54" s="36"/>
      <c r="G54" s="9">
        <v>5</v>
      </c>
      <c r="H54" s="60" t="s">
        <v>551</v>
      </c>
      <c r="I54" s="49" t="s">
        <v>321</v>
      </c>
      <c r="J54" s="53" t="s">
        <v>1</v>
      </c>
      <c r="K54" s="36"/>
      <c r="L54" s="18"/>
    </row>
    <row r="55" spans="1:12" ht="17.100000000000001" customHeight="1" x14ac:dyDescent="0.25">
      <c r="A55" s="9">
        <v>6</v>
      </c>
      <c r="B55" s="60" t="s">
        <v>521</v>
      </c>
      <c r="C55" s="48" t="s">
        <v>305</v>
      </c>
      <c r="D55" s="91" t="s">
        <v>1</v>
      </c>
      <c r="E55" s="36"/>
      <c r="G55" s="9">
        <v>6</v>
      </c>
      <c r="H55" s="60" t="s">
        <v>552</v>
      </c>
      <c r="I55" s="49" t="s">
        <v>409</v>
      </c>
      <c r="J55" s="53" t="s">
        <v>1</v>
      </c>
      <c r="K55" s="36"/>
      <c r="L55" s="82"/>
    </row>
    <row r="56" spans="1:12" ht="17.100000000000001" customHeight="1" x14ac:dyDescent="0.25">
      <c r="A56" s="9">
        <v>7</v>
      </c>
      <c r="B56" s="60" t="s">
        <v>522</v>
      </c>
      <c r="C56" s="48" t="s">
        <v>339</v>
      </c>
      <c r="D56" s="91" t="s">
        <v>0</v>
      </c>
      <c r="E56" s="36"/>
      <c r="G56" s="9">
        <v>7</v>
      </c>
      <c r="H56" s="60" t="s">
        <v>553</v>
      </c>
      <c r="I56" s="49" t="s">
        <v>338</v>
      </c>
      <c r="J56" s="53" t="s">
        <v>0</v>
      </c>
      <c r="K56" s="36"/>
      <c r="L56" s="18"/>
    </row>
    <row r="57" spans="1:12" ht="17.100000000000001" customHeight="1" x14ac:dyDescent="0.25">
      <c r="A57" s="9">
        <v>8</v>
      </c>
      <c r="B57" s="60" t="s">
        <v>523</v>
      </c>
      <c r="C57" s="48" t="s">
        <v>311</v>
      </c>
      <c r="D57" s="91" t="s">
        <v>1</v>
      </c>
      <c r="E57" s="35"/>
      <c r="G57" s="9">
        <v>8</v>
      </c>
      <c r="H57" s="60" t="s">
        <v>554</v>
      </c>
      <c r="I57" s="49" t="s">
        <v>333</v>
      </c>
      <c r="J57" s="53" t="s">
        <v>1</v>
      </c>
      <c r="K57" s="36"/>
      <c r="L57" s="82"/>
    </row>
    <row r="58" spans="1:12" ht="17.100000000000001" customHeight="1" x14ac:dyDescent="0.25">
      <c r="A58" s="9">
        <v>9</v>
      </c>
      <c r="B58" s="60" t="s">
        <v>524</v>
      </c>
      <c r="C58" s="48" t="s">
        <v>244</v>
      </c>
      <c r="D58" s="91" t="s">
        <v>0</v>
      </c>
      <c r="E58" s="97"/>
      <c r="G58" s="9">
        <v>9</v>
      </c>
      <c r="H58" s="60" t="s">
        <v>555</v>
      </c>
      <c r="I58" s="49" t="s">
        <v>266</v>
      </c>
      <c r="J58" s="53" t="s">
        <v>1</v>
      </c>
      <c r="K58" s="36"/>
      <c r="L58" s="18"/>
    </row>
    <row r="59" spans="1:12" ht="17.100000000000001" customHeight="1" x14ac:dyDescent="0.25">
      <c r="A59" s="9">
        <v>10</v>
      </c>
      <c r="B59" s="60" t="s">
        <v>525</v>
      </c>
      <c r="C59" s="48" t="s">
        <v>437</v>
      </c>
      <c r="D59" s="91" t="s">
        <v>0</v>
      </c>
      <c r="E59" s="36"/>
      <c r="G59" s="9">
        <v>10</v>
      </c>
      <c r="H59" s="60" t="s">
        <v>556</v>
      </c>
      <c r="I59" s="49" t="s">
        <v>255</v>
      </c>
      <c r="J59" s="53" t="s">
        <v>0</v>
      </c>
      <c r="K59" s="1"/>
      <c r="L59" s="82"/>
    </row>
    <row r="60" spans="1:12" ht="17.100000000000001" customHeight="1" x14ac:dyDescent="0.25">
      <c r="A60" s="9">
        <v>11</v>
      </c>
      <c r="B60" s="60" t="s">
        <v>526</v>
      </c>
      <c r="C60" s="48" t="s">
        <v>386</v>
      </c>
      <c r="D60" s="91" t="s">
        <v>1</v>
      </c>
      <c r="E60" s="36"/>
      <c r="G60" s="9">
        <v>11</v>
      </c>
      <c r="H60" s="60" t="s">
        <v>557</v>
      </c>
      <c r="I60" s="49" t="s">
        <v>411</v>
      </c>
      <c r="J60" s="53" t="s">
        <v>0</v>
      </c>
      <c r="K60" s="1"/>
      <c r="L60" s="18"/>
    </row>
    <row r="61" spans="1:12" ht="17.100000000000001" customHeight="1" x14ac:dyDescent="0.25">
      <c r="A61" s="9">
        <v>12</v>
      </c>
      <c r="B61" s="60" t="s">
        <v>527</v>
      </c>
      <c r="C61" s="48" t="s">
        <v>412</v>
      </c>
      <c r="D61" s="91" t="s">
        <v>0</v>
      </c>
      <c r="E61" s="36"/>
      <c r="G61" s="9">
        <v>12</v>
      </c>
      <c r="H61" s="60" t="s">
        <v>558</v>
      </c>
      <c r="I61" s="49" t="s">
        <v>350</v>
      </c>
      <c r="J61" s="53" t="s">
        <v>0</v>
      </c>
      <c r="K61" s="36"/>
      <c r="L61" s="82"/>
    </row>
    <row r="62" spans="1:12" ht="17.100000000000001" customHeight="1" x14ac:dyDescent="0.25">
      <c r="A62" s="9">
        <v>13</v>
      </c>
      <c r="B62" s="60" t="s">
        <v>528</v>
      </c>
      <c r="C62" s="48" t="s">
        <v>274</v>
      </c>
      <c r="D62" s="91" t="s">
        <v>0</v>
      </c>
      <c r="E62" s="36"/>
      <c r="G62" s="9">
        <v>13</v>
      </c>
      <c r="H62" s="60" t="s">
        <v>559</v>
      </c>
      <c r="I62" s="49" t="s">
        <v>334</v>
      </c>
      <c r="J62" s="53" t="s">
        <v>1</v>
      </c>
      <c r="K62" s="36"/>
      <c r="L62" s="18"/>
    </row>
    <row r="63" spans="1:12" ht="17.100000000000001" customHeight="1" x14ac:dyDescent="0.25">
      <c r="A63" s="9">
        <v>14</v>
      </c>
      <c r="B63" s="60" t="s">
        <v>529</v>
      </c>
      <c r="C63" s="48" t="s">
        <v>313</v>
      </c>
      <c r="D63" s="91" t="s">
        <v>1</v>
      </c>
      <c r="E63" s="36"/>
      <c r="G63" s="9">
        <v>14</v>
      </c>
      <c r="H63" s="60" t="s">
        <v>560</v>
      </c>
      <c r="I63" s="49" t="s">
        <v>247</v>
      </c>
      <c r="J63" s="53" t="s">
        <v>0</v>
      </c>
      <c r="K63" s="36"/>
      <c r="L63" s="82"/>
    </row>
    <row r="64" spans="1:12" ht="17.100000000000001" customHeight="1" x14ac:dyDescent="0.25">
      <c r="A64" s="9">
        <v>15</v>
      </c>
      <c r="B64" s="60" t="s">
        <v>530</v>
      </c>
      <c r="C64" s="48" t="s">
        <v>428</v>
      </c>
      <c r="D64" s="91" t="s">
        <v>0</v>
      </c>
      <c r="E64" s="36"/>
      <c r="G64" s="9">
        <v>15</v>
      </c>
      <c r="H64" s="60" t="s">
        <v>561</v>
      </c>
      <c r="I64" s="49" t="s">
        <v>380</v>
      </c>
      <c r="J64" s="53" t="s">
        <v>1</v>
      </c>
      <c r="K64" s="36"/>
      <c r="L64" s="18"/>
    </row>
    <row r="65" spans="1:12" ht="17.100000000000001" customHeight="1" x14ac:dyDescent="0.25">
      <c r="A65" s="9">
        <v>16</v>
      </c>
      <c r="B65" s="60" t="s">
        <v>531</v>
      </c>
      <c r="C65" s="48" t="s">
        <v>318</v>
      </c>
      <c r="D65" s="91" t="s">
        <v>0</v>
      </c>
      <c r="E65" s="36"/>
      <c r="G65" s="9">
        <v>16</v>
      </c>
      <c r="H65" s="60" t="s">
        <v>562</v>
      </c>
      <c r="I65" s="49" t="s">
        <v>291</v>
      </c>
      <c r="J65" s="53" t="s">
        <v>1</v>
      </c>
      <c r="K65" s="36"/>
      <c r="L65" s="82"/>
    </row>
    <row r="66" spans="1:12" ht="17.100000000000001" customHeight="1" x14ac:dyDescent="0.25">
      <c r="A66" s="9">
        <v>17</v>
      </c>
      <c r="B66" s="60" t="s">
        <v>532</v>
      </c>
      <c r="C66" s="48" t="s">
        <v>336</v>
      </c>
      <c r="D66" s="91" t="s">
        <v>1</v>
      </c>
      <c r="E66" s="36"/>
      <c r="G66" s="9">
        <v>17</v>
      </c>
      <c r="H66" s="60" t="s">
        <v>563</v>
      </c>
      <c r="I66" s="49" t="s">
        <v>440</v>
      </c>
      <c r="J66" s="53" t="s">
        <v>0</v>
      </c>
      <c r="K66" s="36"/>
      <c r="L66" s="18"/>
    </row>
    <row r="67" spans="1:12" ht="17.100000000000001" customHeight="1" x14ac:dyDescent="0.25">
      <c r="A67" s="9">
        <v>18</v>
      </c>
      <c r="B67" s="60" t="s">
        <v>533</v>
      </c>
      <c r="C67" s="48" t="s">
        <v>419</v>
      </c>
      <c r="D67" s="91" t="s">
        <v>1</v>
      </c>
      <c r="E67" s="36"/>
      <c r="G67" s="9">
        <v>18</v>
      </c>
      <c r="H67" s="60" t="s">
        <v>564</v>
      </c>
      <c r="I67" s="49" t="s">
        <v>326</v>
      </c>
      <c r="J67" s="53" t="s">
        <v>1</v>
      </c>
      <c r="K67" s="36"/>
      <c r="L67" s="82"/>
    </row>
    <row r="68" spans="1:12" ht="17.100000000000001" customHeight="1" x14ac:dyDescent="0.25">
      <c r="A68" s="9">
        <v>19</v>
      </c>
      <c r="B68" s="60" t="s">
        <v>534</v>
      </c>
      <c r="C68" s="48" t="s">
        <v>346</v>
      </c>
      <c r="D68" s="91" t="s">
        <v>0</v>
      </c>
      <c r="E68" s="36"/>
      <c r="G68" s="9">
        <v>19</v>
      </c>
      <c r="H68" s="60" t="s">
        <v>565</v>
      </c>
      <c r="I68" s="49" t="s">
        <v>431</v>
      </c>
      <c r="J68" s="53" t="s">
        <v>1</v>
      </c>
      <c r="K68" s="36"/>
      <c r="L68" s="18"/>
    </row>
    <row r="69" spans="1:12" ht="17.100000000000001" customHeight="1" x14ac:dyDescent="0.25">
      <c r="A69" s="9">
        <v>20</v>
      </c>
      <c r="B69" s="60" t="s">
        <v>535</v>
      </c>
      <c r="C69" s="48" t="s">
        <v>298</v>
      </c>
      <c r="D69" s="91" t="s">
        <v>1</v>
      </c>
      <c r="E69" s="36"/>
      <c r="G69" s="9">
        <v>20</v>
      </c>
      <c r="H69" s="60" t="s">
        <v>1543</v>
      </c>
      <c r="I69" s="49" t="s">
        <v>1333</v>
      </c>
      <c r="J69" s="53" t="s">
        <v>1</v>
      </c>
      <c r="K69" s="36"/>
      <c r="L69" s="82"/>
    </row>
    <row r="70" spans="1:12" ht="17.100000000000001" customHeight="1" x14ac:dyDescent="0.25">
      <c r="A70" s="9">
        <v>21</v>
      </c>
      <c r="B70" s="60" t="s">
        <v>536</v>
      </c>
      <c r="C70" s="48" t="s">
        <v>283</v>
      </c>
      <c r="D70" s="91" t="s">
        <v>1</v>
      </c>
      <c r="E70" s="36"/>
      <c r="G70" s="9">
        <v>21</v>
      </c>
      <c r="H70" s="60" t="s">
        <v>566</v>
      </c>
      <c r="I70" s="49" t="s">
        <v>352</v>
      </c>
      <c r="J70" s="53" t="s">
        <v>1</v>
      </c>
      <c r="K70" s="36"/>
      <c r="L70" s="18"/>
    </row>
    <row r="71" spans="1:12" ht="17.100000000000001" customHeight="1" x14ac:dyDescent="0.25">
      <c r="A71" s="9">
        <v>22</v>
      </c>
      <c r="B71" s="60" t="s">
        <v>537</v>
      </c>
      <c r="C71" s="48" t="s">
        <v>337</v>
      </c>
      <c r="D71" s="91" t="s">
        <v>1</v>
      </c>
      <c r="E71" s="36"/>
      <c r="G71" s="9">
        <v>22</v>
      </c>
      <c r="H71" s="60" t="s">
        <v>567</v>
      </c>
      <c r="I71" s="49" t="s">
        <v>257</v>
      </c>
      <c r="J71" s="53" t="s">
        <v>0</v>
      </c>
      <c r="K71" s="36"/>
      <c r="L71" s="82"/>
    </row>
    <row r="72" spans="1:12" ht="17.100000000000001" customHeight="1" x14ac:dyDescent="0.25">
      <c r="A72" s="9">
        <v>23</v>
      </c>
      <c r="B72" s="60" t="s">
        <v>538</v>
      </c>
      <c r="C72" s="48" t="s">
        <v>320</v>
      </c>
      <c r="D72" s="91" t="s">
        <v>0</v>
      </c>
      <c r="E72" s="36"/>
      <c r="G72" s="9">
        <v>23</v>
      </c>
      <c r="H72" s="60" t="s">
        <v>568</v>
      </c>
      <c r="I72" s="49" t="s">
        <v>246</v>
      </c>
      <c r="J72" s="53" t="s">
        <v>1</v>
      </c>
      <c r="K72" s="36"/>
      <c r="L72" s="18"/>
    </row>
    <row r="73" spans="1:12" ht="17.100000000000001" customHeight="1" x14ac:dyDescent="0.25">
      <c r="A73" s="9">
        <v>24</v>
      </c>
      <c r="B73" s="60" t="s">
        <v>539</v>
      </c>
      <c r="C73" s="48" t="s">
        <v>403</v>
      </c>
      <c r="D73" s="52" t="s">
        <v>1</v>
      </c>
      <c r="E73" s="1"/>
      <c r="G73" s="9">
        <v>24</v>
      </c>
      <c r="H73" s="60" t="s">
        <v>569</v>
      </c>
      <c r="I73" s="49" t="s">
        <v>372</v>
      </c>
      <c r="J73" s="53" t="s">
        <v>0</v>
      </c>
      <c r="K73" s="36"/>
      <c r="L73" s="82"/>
    </row>
    <row r="74" spans="1:12" ht="17.100000000000001" customHeight="1" x14ac:dyDescent="0.25">
      <c r="A74" s="9">
        <v>25</v>
      </c>
      <c r="B74" s="60" t="s">
        <v>540</v>
      </c>
      <c r="C74" s="48" t="s">
        <v>383</v>
      </c>
      <c r="D74" s="52" t="s">
        <v>0</v>
      </c>
      <c r="E74" s="36"/>
      <c r="G74" s="9">
        <v>25</v>
      </c>
      <c r="H74" s="60" t="s">
        <v>570</v>
      </c>
      <c r="I74" s="49" t="s">
        <v>299</v>
      </c>
      <c r="J74" s="53" t="s">
        <v>0</v>
      </c>
      <c r="K74" s="36"/>
      <c r="L74" s="18"/>
    </row>
    <row r="75" spans="1:12" ht="17.100000000000001" customHeight="1" x14ac:dyDescent="0.25">
      <c r="A75" s="9">
        <v>26</v>
      </c>
      <c r="B75" s="60" t="s">
        <v>541</v>
      </c>
      <c r="C75" s="48" t="s">
        <v>251</v>
      </c>
      <c r="D75" s="91" t="s">
        <v>0</v>
      </c>
      <c r="E75" s="36"/>
      <c r="G75" s="9">
        <v>26</v>
      </c>
      <c r="H75" s="60" t="s">
        <v>571</v>
      </c>
      <c r="I75" s="49" t="s">
        <v>330</v>
      </c>
      <c r="J75" s="53" t="s">
        <v>0</v>
      </c>
      <c r="K75" s="36"/>
      <c r="L75" s="82"/>
    </row>
    <row r="76" spans="1:12" ht="17.100000000000001" customHeight="1" x14ac:dyDescent="0.25">
      <c r="A76" s="9">
        <v>27</v>
      </c>
      <c r="B76" s="60" t="s">
        <v>542</v>
      </c>
      <c r="C76" s="48" t="s">
        <v>258</v>
      </c>
      <c r="D76" s="91" t="s">
        <v>0</v>
      </c>
      <c r="E76" s="36"/>
      <c r="G76" s="9">
        <v>27</v>
      </c>
      <c r="H76" s="60" t="s">
        <v>572</v>
      </c>
      <c r="I76" s="49" t="s">
        <v>295</v>
      </c>
      <c r="J76" s="53" t="s">
        <v>0</v>
      </c>
      <c r="K76" s="35"/>
      <c r="L76" s="18"/>
    </row>
    <row r="77" spans="1:12" ht="17.100000000000001" customHeight="1" x14ac:dyDescent="0.25">
      <c r="A77" s="9">
        <v>28</v>
      </c>
      <c r="B77" s="60" t="s">
        <v>543</v>
      </c>
      <c r="C77" s="48" t="s">
        <v>399</v>
      </c>
      <c r="D77" s="91" t="s">
        <v>1</v>
      </c>
      <c r="E77" s="35"/>
      <c r="G77" s="9">
        <v>28</v>
      </c>
      <c r="H77" s="60" t="s">
        <v>573</v>
      </c>
      <c r="I77" s="49" t="s">
        <v>443</v>
      </c>
      <c r="J77" s="53" t="s">
        <v>0</v>
      </c>
      <c r="K77" s="35"/>
      <c r="L77" s="82"/>
    </row>
    <row r="78" spans="1:12" ht="17.100000000000001" customHeight="1" x14ac:dyDescent="0.25">
      <c r="A78" s="9">
        <v>29</v>
      </c>
      <c r="B78" s="60" t="s">
        <v>544</v>
      </c>
      <c r="C78" s="48" t="s">
        <v>303</v>
      </c>
      <c r="D78" s="91" t="s">
        <v>1</v>
      </c>
      <c r="E78" s="1"/>
      <c r="G78" s="9">
        <v>29</v>
      </c>
      <c r="H78" s="60" t="s">
        <v>574</v>
      </c>
      <c r="I78" s="49" t="s">
        <v>391</v>
      </c>
      <c r="J78" s="88" t="s">
        <v>1</v>
      </c>
      <c r="K78" s="1"/>
      <c r="L78" s="18"/>
    </row>
    <row r="79" spans="1:12" ht="17.100000000000001" customHeight="1" x14ac:dyDescent="0.25">
      <c r="A79" s="9">
        <v>30</v>
      </c>
      <c r="B79" s="1" t="s">
        <v>545</v>
      </c>
      <c r="C79" s="48" t="s">
        <v>371</v>
      </c>
      <c r="D79" s="91" t="s">
        <v>0</v>
      </c>
      <c r="E79" s="36"/>
      <c r="G79" s="9">
        <v>30</v>
      </c>
      <c r="H79" s="60" t="s">
        <v>575</v>
      </c>
      <c r="I79" s="49" t="s">
        <v>405</v>
      </c>
      <c r="J79" s="88" t="s">
        <v>0</v>
      </c>
      <c r="K79" s="1"/>
      <c r="L79" s="82"/>
    </row>
    <row r="80" spans="1:12" ht="17.100000000000001" customHeight="1" x14ac:dyDescent="0.25">
      <c r="A80" s="9">
        <v>31</v>
      </c>
      <c r="B80" s="9" t="s">
        <v>546</v>
      </c>
      <c r="C80" s="48" t="s">
        <v>249</v>
      </c>
      <c r="D80" s="91" t="s">
        <v>1</v>
      </c>
      <c r="E80" s="36"/>
      <c r="G80" s="9">
        <v>31</v>
      </c>
      <c r="H80" s="60" t="s">
        <v>576</v>
      </c>
      <c r="I80" s="49" t="s">
        <v>414</v>
      </c>
      <c r="J80" s="88" t="s">
        <v>0</v>
      </c>
      <c r="K80" s="1"/>
      <c r="L80" s="18"/>
    </row>
    <row r="81" spans="1:12" ht="17.100000000000001" customHeight="1" x14ac:dyDescent="0.25">
      <c r="A81" s="9"/>
      <c r="B81" s="9"/>
      <c r="C81" s="48"/>
      <c r="D81" s="91"/>
      <c r="E81" s="36"/>
      <c r="G81" s="9"/>
      <c r="H81" s="9"/>
      <c r="I81" s="49"/>
      <c r="J81" s="88"/>
      <c r="K81" s="1"/>
      <c r="L81" s="82"/>
    </row>
    <row r="82" spans="1:12" x14ac:dyDescent="0.25">
      <c r="A82" s="209" t="s">
        <v>8</v>
      </c>
      <c r="B82" s="209"/>
      <c r="C82" s="86" t="s">
        <v>9</v>
      </c>
      <c r="G82" s="209" t="s">
        <v>8</v>
      </c>
      <c r="H82" s="209"/>
      <c r="I82" s="86" t="s">
        <v>9</v>
      </c>
      <c r="L82" s="18"/>
    </row>
    <row r="83" spans="1:12" ht="15.75" x14ac:dyDescent="0.25">
      <c r="B83" s="87" t="s">
        <v>10</v>
      </c>
      <c r="C83" s="23">
        <f>COUNTIF(D50:D81,"L")</f>
        <v>18</v>
      </c>
      <c r="D83" s="208" t="s">
        <v>1145</v>
      </c>
      <c r="E83" s="208"/>
      <c r="H83" s="87" t="s">
        <v>10</v>
      </c>
      <c r="I83" s="23">
        <f>COUNTIF(J50:J81,"L")</f>
        <v>17</v>
      </c>
      <c r="J83" s="208" t="s">
        <v>1145</v>
      </c>
      <c r="K83" s="208"/>
      <c r="L83" s="82"/>
    </row>
    <row r="84" spans="1:12" x14ac:dyDescent="0.25">
      <c r="B84" s="87" t="s">
        <v>11</v>
      </c>
      <c r="C84" s="23">
        <f>COUNTIF(D50:D81,"P")</f>
        <v>13</v>
      </c>
      <c r="D84" s="208" t="s">
        <v>12</v>
      </c>
      <c r="E84" s="215"/>
      <c r="H84" s="87" t="s">
        <v>11</v>
      </c>
      <c r="I84" s="23">
        <f>COUNTIF(J50:J81,"P")</f>
        <v>14</v>
      </c>
      <c r="J84" s="208" t="s">
        <v>12</v>
      </c>
      <c r="K84" s="208"/>
      <c r="L84" s="18"/>
    </row>
    <row r="85" spans="1:12" ht="15.75" x14ac:dyDescent="0.25">
      <c r="B85" s="30" t="s">
        <v>20</v>
      </c>
      <c r="C85" s="29">
        <f>C83+C84</f>
        <v>31</v>
      </c>
      <c r="D85" s="18"/>
      <c r="H85" s="30" t="s">
        <v>20</v>
      </c>
      <c r="I85" s="29">
        <f>I83+I84</f>
        <v>31</v>
      </c>
      <c r="J85" s="18"/>
      <c r="L85" s="82"/>
    </row>
    <row r="86" spans="1:12" ht="15" hidden="1" customHeight="1" x14ac:dyDescent="0.25">
      <c r="L86" s="18"/>
    </row>
    <row r="87" spans="1:12" ht="15.75" x14ac:dyDescent="0.25">
      <c r="D87" s="208" t="s">
        <v>13</v>
      </c>
      <c r="E87" s="215"/>
      <c r="J87" s="208" t="s">
        <v>13</v>
      </c>
      <c r="K87" s="208"/>
      <c r="L87" s="82"/>
    </row>
    <row r="88" spans="1:12" x14ac:dyDescent="0.25">
      <c r="D88" s="6" t="s">
        <v>14</v>
      </c>
      <c r="J88" s="6" t="s">
        <v>14</v>
      </c>
      <c r="L88" s="18"/>
    </row>
    <row r="89" spans="1:12" x14ac:dyDescent="0.25">
      <c r="F89"/>
      <c r="L89" s="18"/>
    </row>
    <row r="90" spans="1:12" ht="15.75" x14ac:dyDescent="0.25">
      <c r="A90" s="210" t="s">
        <v>668</v>
      </c>
      <c r="B90" s="210"/>
      <c r="C90" s="210"/>
      <c r="D90" s="210"/>
      <c r="E90" s="210"/>
      <c r="F90"/>
      <c r="G90" s="210" t="s">
        <v>668</v>
      </c>
      <c r="H90" s="210"/>
      <c r="I90" s="210"/>
      <c r="J90" s="210"/>
      <c r="K90" s="210"/>
      <c r="L90" s="82"/>
    </row>
    <row r="91" spans="1:12" ht="15.75" x14ac:dyDescent="0.25">
      <c r="A91" s="210" t="s">
        <v>1144</v>
      </c>
      <c r="B91" s="210"/>
      <c r="C91" s="210"/>
      <c r="D91" s="210"/>
      <c r="E91" s="210"/>
      <c r="F91"/>
      <c r="G91" s="210" t="s">
        <v>1144</v>
      </c>
      <c r="H91" s="210"/>
      <c r="I91" s="210"/>
      <c r="J91" s="210"/>
      <c r="K91" s="210"/>
      <c r="L91" s="18"/>
    </row>
    <row r="92" spans="1:12" ht="15.75" x14ac:dyDescent="0.25">
      <c r="A92" s="210" t="s">
        <v>29</v>
      </c>
      <c r="B92" s="210"/>
      <c r="C92" s="210"/>
      <c r="D92" s="210"/>
      <c r="E92" s="210"/>
      <c r="F92"/>
      <c r="G92" s="210" t="s">
        <v>19</v>
      </c>
      <c r="H92" s="210"/>
      <c r="I92" s="210"/>
      <c r="J92" s="210"/>
      <c r="K92" s="210"/>
      <c r="L92" s="82"/>
    </row>
    <row r="93" spans="1:12" ht="15" hidden="1" customHeight="1" x14ac:dyDescent="0.25">
      <c r="A93" s="6"/>
      <c r="B93" s="6"/>
      <c r="C93" s="6"/>
      <c r="G93" s="6"/>
      <c r="H93" s="6"/>
      <c r="I93" s="6"/>
      <c r="L93" s="18"/>
    </row>
    <row r="94" spans="1:12" ht="17.100000000000001" customHeight="1" x14ac:dyDescent="0.25">
      <c r="A94" s="13" t="s">
        <v>2</v>
      </c>
      <c r="B94" s="13" t="s">
        <v>22</v>
      </c>
      <c r="C94" s="13" t="s">
        <v>4</v>
      </c>
      <c r="D94" s="13" t="s">
        <v>5</v>
      </c>
      <c r="E94" s="13" t="s">
        <v>6</v>
      </c>
      <c r="G94" s="13" t="s">
        <v>2</v>
      </c>
      <c r="H94" s="13" t="s">
        <v>22</v>
      </c>
      <c r="I94" s="13" t="s">
        <v>4</v>
      </c>
      <c r="J94" s="13" t="s">
        <v>5</v>
      </c>
      <c r="K94" s="13" t="s">
        <v>6</v>
      </c>
      <c r="L94" s="82"/>
    </row>
    <row r="95" spans="1:12" ht="17.100000000000001" customHeight="1" x14ac:dyDescent="0.25">
      <c r="A95" s="9">
        <v>1</v>
      </c>
      <c r="B95" s="60" t="s">
        <v>577</v>
      </c>
      <c r="C95" s="49" t="s">
        <v>319</v>
      </c>
      <c r="D95" s="57" t="s">
        <v>1</v>
      </c>
      <c r="E95" s="90"/>
      <c r="G95" s="9">
        <v>1</v>
      </c>
      <c r="H95" s="60" t="s">
        <v>608</v>
      </c>
      <c r="I95" s="49" t="s">
        <v>355</v>
      </c>
      <c r="J95" s="51" t="s">
        <v>1</v>
      </c>
      <c r="K95" s="35"/>
      <c r="L95" s="18"/>
    </row>
    <row r="96" spans="1:12" ht="17.100000000000001" customHeight="1" x14ac:dyDescent="0.25">
      <c r="A96" s="9">
        <v>2</v>
      </c>
      <c r="B96" s="60" t="s">
        <v>578</v>
      </c>
      <c r="C96" s="49" t="s">
        <v>394</v>
      </c>
      <c r="D96" s="53" t="s">
        <v>0</v>
      </c>
      <c r="E96" s="90"/>
      <c r="G96" s="9">
        <v>2</v>
      </c>
      <c r="H96" s="60" t="s">
        <v>609</v>
      </c>
      <c r="I96" s="49" t="s">
        <v>366</v>
      </c>
      <c r="J96" s="59" t="s">
        <v>0</v>
      </c>
      <c r="K96" s="36"/>
      <c r="L96" s="82"/>
    </row>
    <row r="97" spans="1:12" ht="17.100000000000001" customHeight="1" x14ac:dyDescent="0.25">
      <c r="A97" s="9">
        <v>3</v>
      </c>
      <c r="B97" s="60" t="s">
        <v>579</v>
      </c>
      <c r="C97" s="49" t="s">
        <v>259</v>
      </c>
      <c r="D97" s="53" t="s">
        <v>0</v>
      </c>
      <c r="E97" s="56"/>
      <c r="G97" s="9">
        <v>3</v>
      </c>
      <c r="H97" s="60" t="s">
        <v>610</v>
      </c>
      <c r="I97" s="49" t="s">
        <v>396</v>
      </c>
      <c r="J97" s="59" t="s">
        <v>0</v>
      </c>
      <c r="K97" s="36"/>
      <c r="L97" s="18"/>
    </row>
    <row r="98" spans="1:12" ht="17.100000000000001" customHeight="1" x14ac:dyDescent="0.25">
      <c r="A98" s="9">
        <v>4</v>
      </c>
      <c r="B98" s="60" t="s">
        <v>580</v>
      </c>
      <c r="C98" s="49" t="s">
        <v>293</v>
      </c>
      <c r="D98" s="53" t="s">
        <v>0</v>
      </c>
      <c r="E98" s="56"/>
      <c r="G98" s="9">
        <v>4</v>
      </c>
      <c r="H98" s="60" t="s">
        <v>611</v>
      </c>
      <c r="I98" s="49" t="s">
        <v>304</v>
      </c>
      <c r="J98" s="59" t="s">
        <v>0</v>
      </c>
      <c r="K98" s="36"/>
      <c r="L98" s="82"/>
    </row>
    <row r="99" spans="1:12" ht="17.100000000000001" customHeight="1" x14ac:dyDescent="0.25">
      <c r="A99" s="9">
        <v>5</v>
      </c>
      <c r="B99" s="60" t="s">
        <v>581</v>
      </c>
      <c r="C99" s="49" t="s">
        <v>367</v>
      </c>
      <c r="D99" s="53" t="s">
        <v>0</v>
      </c>
      <c r="E99" s="58"/>
      <c r="G99" s="9">
        <v>5</v>
      </c>
      <c r="H99" s="60" t="s">
        <v>612</v>
      </c>
      <c r="I99" s="49" t="s">
        <v>451</v>
      </c>
      <c r="J99" s="59" t="s">
        <v>0</v>
      </c>
      <c r="K99" s="36"/>
      <c r="L99" s="18"/>
    </row>
    <row r="100" spans="1:12" ht="17.100000000000001" customHeight="1" x14ac:dyDescent="0.25">
      <c r="A100" s="9">
        <v>6</v>
      </c>
      <c r="B100" s="60" t="s">
        <v>582</v>
      </c>
      <c r="C100" s="49" t="s">
        <v>256</v>
      </c>
      <c r="D100" s="53" t="s">
        <v>1</v>
      </c>
      <c r="E100" s="58"/>
      <c r="G100" s="9">
        <v>6</v>
      </c>
      <c r="H100" s="60" t="s">
        <v>613</v>
      </c>
      <c r="I100" s="49" t="s">
        <v>402</v>
      </c>
      <c r="J100" s="59" t="s">
        <v>1</v>
      </c>
      <c r="K100" s="36"/>
      <c r="L100" s="82"/>
    </row>
    <row r="101" spans="1:12" ht="17.100000000000001" customHeight="1" x14ac:dyDescent="0.25">
      <c r="A101" s="9">
        <v>7</v>
      </c>
      <c r="B101" s="60" t="s">
        <v>583</v>
      </c>
      <c r="C101" s="49" t="s">
        <v>377</v>
      </c>
      <c r="D101" s="53" t="s">
        <v>1</v>
      </c>
      <c r="E101" s="56"/>
      <c r="G101" s="9">
        <v>7</v>
      </c>
      <c r="H101" s="60" t="s">
        <v>614</v>
      </c>
      <c r="I101" s="49" t="s">
        <v>378</v>
      </c>
      <c r="J101" s="59" t="s">
        <v>0</v>
      </c>
      <c r="K101" s="35"/>
      <c r="L101" s="18"/>
    </row>
    <row r="102" spans="1:12" ht="17.100000000000001" customHeight="1" x14ac:dyDescent="0.25">
      <c r="A102" s="9">
        <v>8</v>
      </c>
      <c r="B102" s="60" t="s">
        <v>584</v>
      </c>
      <c r="C102" s="49" t="s">
        <v>444</v>
      </c>
      <c r="D102" s="53" t="s">
        <v>0</v>
      </c>
      <c r="E102" s="56"/>
      <c r="G102" s="9">
        <v>8</v>
      </c>
      <c r="H102" s="83" t="s">
        <v>615</v>
      </c>
      <c r="I102" s="49" t="s">
        <v>434</v>
      </c>
      <c r="J102" s="59" t="s">
        <v>0</v>
      </c>
      <c r="K102" s="36"/>
      <c r="L102" s="82"/>
    </row>
    <row r="103" spans="1:12" ht="17.100000000000001" customHeight="1" x14ac:dyDescent="0.25">
      <c r="A103" s="9">
        <v>9</v>
      </c>
      <c r="B103" s="60" t="s">
        <v>585</v>
      </c>
      <c r="C103" s="49" t="s">
        <v>393</v>
      </c>
      <c r="D103" s="53" t="s">
        <v>0</v>
      </c>
      <c r="E103" s="56"/>
      <c r="G103" s="9">
        <v>9</v>
      </c>
      <c r="H103" s="83" t="s">
        <v>616</v>
      </c>
      <c r="I103" s="49" t="s">
        <v>245</v>
      </c>
      <c r="J103" s="59" t="s">
        <v>0</v>
      </c>
      <c r="K103" s="35"/>
      <c r="L103" s="18"/>
    </row>
    <row r="104" spans="1:12" ht="17.100000000000001" customHeight="1" x14ac:dyDescent="0.25">
      <c r="A104" s="9">
        <v>10</v>
      </c>
      <c r="B104" s="60" t="s">
        <v>586</v>
      </c>
      <c r="C104" s="49" t="s">
        <v>413</v>
      </c>
      <c r="D104" s="53" t="s">
        <v>0</v>
      </c>
      <c r="E104" s="56"/>
      <c r="G104" s="9">
        <v>10</v>
      </c>
      <c r="H104" s="60" t="s">
        <v>617</v>
      </c>
      <c r="I104" s="54" t="s">
        <v>379</v>
      </c>
      <c r="J104" s="54" t="s">
        <v>1</v>
      </c>
      <c r="K104" s="1"/>
      <c r="L104" s="82"/>
    </row>
    <row r="105" spans="1:12" ht="17.100000000000001" customHeight="1" x14ac:dyDescent="0.25">
      <c r="A105" s="9">
        <v>11</v>
      </c>
      <c r="B105" s="60" t="s">
        <v>587</v>
      </c>
      <c r="C105" s="49" t="s">
        <v>374</v>
      </c>
      <c r="D105" s="53" t="s">
        <v>0</v>
      </c>
      <c r="E105" s="56"/>
      <c r="G105" s="9">
        <v>11</v>
      </c>
      <c r="H105" s="60" t="s">
        <v>618</v>
      </c>
      <c r="I105" s="49" t="s">
        <v>329</v>
      </c>
      <c r="J105" s="59" t="s">
        <v>0</v>
      </c>
      <c r="K105" s="36"/>
      <c r="L105" s="18"/>
    </row>
    <row r="106" spans="1:12" ht="17.100000000000001" customHeight="1" x14ac:dyDescent="0.25">
      <c r="A106" s="9">
        <v>12</v>
      </c>
      <c r="B106" s="60" t="s">
        <v>588</v>
      </c>
      <c r="C106" s="49" t="s">
        <v>369</v>
      </c>
      <c r="D106" s="53" t="s">
        <v>0</v>
      </c>
      <c r="E106" s="56"/>
      <c r="F106"/>
      <c r="G106" s="9">
        <v>12</v>
      </c>
      <c r="H106" s="60" t="s">
        <v>619</v>
      </c>
      <c r="I106" s="49" t="s">
        <v>418</v>
      </c>
      <c r="J106" s="59" t="s">
        <v>1</v>
      </c>
      <c r="K106" s="36"/>
      <c r="L106" s="82"/>
    </row>
    <row r="107" spans="1:12" ht="17.100000000000001" customHeight="1" x14ac:dyDescent="0.25">
      <c r="A107" s="9">
        <v>13</v>
      </c>
      <c r="B107" s="60" t="s">
        <v>589</v>
      </c>
      <c r="C107" s="49" t="s">
        <v>356</v>
      </c>
      <c r="D107" s="53" t="s">
        <v>1</v>
      </c>
      <c r="E107" s="90"/>
      <c r="G107" s="9">
        <v>13</v>
      </c>
      <c r="H107" s="60" t="s">
        <v>620</v>
      </c>
      <c r="I107" s="49" t="s">
        <v>389</v>
      </c>
      <c r="J107" s="59" t="s">
        <v>1</v>
      </c>
      <c r="K107" s="1"/>
      <c r="L107" s="18"/>
    </row>
    <row r="108" spans="1:12" ht="17.100000000000001" customHeight="1" x14ac:dyDescent="0.25">
      <c r="A108" s="9">
        <v>14</v>
      </c>
      <c r="B108" s="60" t="s">
        <v>590</v>
      </c>
      <c r="C108" s="49" t="s">
        <v>292</v>
      </c>
      <c r="D108" s="53" t="s">
        <v>0</v>
      </c>
      <c r="E108" s="56"/>
      <c r="G108" s="9">
        <v>14</v>
      </c>
      <c r="H108" s="60" t="s">
        <v>621</v>
      </c>
      <c r="I108" s="49" t="s">
        <v>416</v>
      </c>
      <c r="J108" s="59" t="s">
        <v>0</v>
      </c>
      <c r="K108" s="35"/>
      <c r="L108" s="82"/>
    </row>
    <row r="109" spans="1:12" ht="17.100000000000001" customHeight="1" x14ac:dyDescent="0.25">
      <c r="A109" s="9">
        <v>15</v>
      </c>
      <c r="B109" s="60" t="s">
        <v>591</v>
      </c>
      <c r="C109" s="49" t="s">
        <v>296</v>
      </c>
      <c r="D109" s="53" t="s">
        <v>0</v>
      </c>
      <c r="E109" s="56"/>
      <c r="G109" s="9">
        <v>15</v>
      </c>
      <c r="H109" s="60" t="s">
        <v>622</v>
      </c>
      <c r="I109" s="49" t="s">
        <v>358</v>
      </c>
      <c r="J109" s="59" t="s">
        <v>1</v>
      </c>
      <c r="K109" s="36"/>
      <c r="L109" s="18"/>
    </row>
    <row r="110" spans="1:12" ht="17.100000000000001" customHeight="1" x14ac:dyDescent="0.25">
      <c r="A110" s="9">
        <v>16</v>
      </c>
      <c r="B110" s="60" t="s">
        <v>592</v>
      </c>
      <c r="C110" s="49" t="s">
        <v>254</v>
      </c>
      <c r="D110" s="53" t="s">
        <v>1</v>
      </c>
      <c r="E110" s="56"/>
      <c r="G110" s="9">
        <v>16</v>
      </c>
      <c r="H110" s="60" t="s">
        <v>623</v>
      </c>
      <c r="I110" s="49" t="s">
        <v>381</v>
      </c>
      <c r="J110" s="59" t="s">
        <v>1</v>
      </c>
      <c r="K110" s="35"/>
      <c r="L110" s="82"/>
    </row>
    <row r="111" spans="1:12" ht="17.100000000000001" customHeight="1" x14ac:dyDescent="0.25">
      <c r="A111" s="9">
        <v>17</v>
      </c>
      <c r="B111" s="60" t="s">
        <v>593</v>
      </c>
      <c r="C111" s="49" t="s">
        <v>325</v>
      </c>
      <c r="D111" s="53" t="s">
        <v>1</v>
      </c>
      <c r="E111" s="56"/>
      <c r="G111" s="9">
        <v>17</v>
      </c>
      <c r="H111" s="60" t="s">
        <v>624</v>
      </c>
      <c r="I111" s="49" t="s">
        <v>433</v>
      </c>
      <c r="J111" s="59" t="s">
        <v>0</v>
      </c>
      <c r="K111" s="36"/>
      <c r="L111" s="18"/>
    </row>
    <row r="112" spans="1:12" ht="17.100000000000001" customHeight="1" x14ac:dyDescent="0.25">
      <c r="A112" s="9">
        <v>18</v>
      </c>
      <c r="B112" s="60" t="s">
        <v>594</v>
      </c>
      <c r="C112" s="49" t="s">
        <v>427</v>
      </c>
      <c r="D112" s="53" t="s">
        <v>1</v>
      </c>
      <c r="E112" s="56"/>
      <c r="G112" s="9">
        <v>18</v>
      </c>
      <c r="H112" s="60" t="s">
        <v>625</v>
      </c>
      <c r="I112" s="49" t="s">
        <v>261</v>
      </c>
      <c r="J112" s="59" t="s">
        <v>1</v>
      </c>
      <c r="K112" s="36"/>
      <c r="L112" s="82"/>
    </row>
    <row r="113" spans="1:12" ht="17.100000000000001" customHeight="1" x14ac:dyDescent="0.25">
      <c r="A113" s="9">
        <v>19</v>
      </c>
      <c r="B113" s="60" t="s">
        <v>595</v>
      </c>
      <c r="C113" s="49" t="s">
        <v>370</v>
      </c>
      <c r="D113" s="53" t="s">
        <v>1</v>
      </c>
      <c r="E113" s="56"/>
      <c r="G113" s="9">
        <v>19</v>
      </c>
      <c r="H113" s="60" t="s">
        <v>626</v>
      </c>
      <c r="I113" s="49" t="s">
        <v>436</v>
      </c>
      <c r="J113" s="52" t="s">
        <v>0</v>
      </c>
      <c r="K113" s="1"/>
      <c r="L113" s="18"/>
    </row>
    <row r="114" spans="1:12" ht="17.100000000000001" customHeight="1" x14ac:dyDescent="0.25">
      <c r="A114" s="9">
        <v>20</v>
      </c>
      <c r="B114" s="60" t="s">
        <v>596</v>
      </c>
      <c r="C114" s="49" t="s">
        <v>435</v>
      </c>
      <c r="D114" s="53" t="s">
        <v>1</v>
      </c>
      <c r="E114" s="90"/>
      <c r="G114" s="9">
        <v>20</v>
      </c>
      <c r="H114" s="60" t="s">
        <v>627</v>
      </c>
      <c r="I114" s="49" t="s">
        <v>415</v>
      </c>
      <c r="J114" s="59" t="s">
        <v>1</v>
      </c>
      <c r="K114" s="36"/>
      <c r="L114" s="82"/>
    </row>
    <row r="115" spans="1:12" ht="17.100000000000001" customHeight="1" x14ac:dyDescent="0.25">
      <c r="A115" s="9">
        <v>21</v>
      </c>
      <c r="B115" s="60" t="s">
        <v>597</v>
      </c>
      <c r="C115" s="54" t="s">
        <v>302</v>
      </c>
      <c r="D115" s="89" t="s">
        <v>0</v>
      </c>
      <c r="E115" s="56"/>
      <c r="G115" s="9">
        <v>21</v>
      </c>
      <c r="H115" s="60" t="s">
        <v>628</v>
      </c>
      <c r="I115" s="49" t="s">
        <v>420</v>
      </c>
      <c r="J115" s="59" t="s">
        <v>0</v>
      </c>
      <c r="K115" s="36"/>
      <c r="L115" s="18"/>
    </row>
    <row r="116" spans="1:12" ht="17.100000000000001" customHeight="1" x14ac:dyDescent="0.25">
      <c r="A116" s="9">
        <v>22</v>
      </c>
      <c r="B116" s="60" t="s">
        <v>598</v>
      </c>
      <c r="C116" s="54" t="s">
        <v>308</v>
      </c>
      <c r="D116" s="89" t="s">
        <v>0</v>
      </c>
      <c r="E116" s="56"/>
      <c r="G116" s="9">
        <v>22</v>
      </c>
      <c r="H116" s="60" t="s">
        <v>629</v>
      </c>
      <c r="I116" s="49" t="s">
        <v>385</v>
      </c>
      <c r="J116" s="59" t="s">
        <v>1</v>
      </c>
      <c r="K116" s="36"/>
      <c r="L116" s="82"/>
    </row>
    <row r="117" spans="1:12" ht="17.100000000000001" customHeight="1" x14ac:dyDescent="0.25">
      <c r="A117" s="9">
        <v>23</v>
      </c>
      <c r="B117" s="60" t="s">
        <v>599</v>
      </c>
      <c r="C117" s="49" t="s">
        <v>390</v>
      </c>
      <c r="D117" s="53" t="s">
        <v>1</v>
      </c>
      <c r="E117" s="56"/>
      <c r="G117" s="9">
        <v>23</v>
      </c>
      <c r="H117" s="60" t="s">
        <v>630</v>
      </c>
      <c r="I117" s="49" t="s">
        <v>357</v>
      </c>
      <c r="J117" s="59" t="s">
        <v>1</v>
      </c>
      <c r="K117" s="36"/>
      <c r="L117" s="18"/>
    </row>
    <row r="118" spans="1:12" ht="17.100000000000001" customHeight="1" x14ac:dyDescent="0.25">
      <c r="A118" s="9">
        <v>24</v>
      </c>
      <c r="B118" s="60" t="s">
        <v>600</v>
      </c>
      <c r="C118" s="49" t="s">
        <v>430</v>
      </c>
      <c r="D118" s="89" t="s">
        <v>1</v>
      </c>
      <c r="E118" s="56"/>
      <c r="G118" s="9">
        <v>24</v>
      </c>
      <c r="H118" s="60" t="s">
        <v>631</v>
      </c>
      <c r="I118" s="49" t="s">
        <v>271</v>
      </c>
      <c r="J118" s="59" t="s">
        <v>1</v>
      </c>
      <c r="K118" s="1"/>
      <c r="L118" s="82"/>
    </row>
    <row r="119" spans="1:12" ht="17.100000000000001" customHeight="1" x14ac:dyDescent="0.25">
      <c r="A119" s="9">
        <v>25</v>
      </c>
      <c r="B119" s="60" t="s">
        <v>601</v>
      </c>
      <c r="C119" s="49" t="s">
        <v>323</v>
      </c>
      <c r="D119" s="57" t="s">
        <v>1</v>
      </c>
      <c r="E119" s="56"/>
      <c r="G119" s="9">
        <v>25</v>
      </c>
      <c r="H119" s="60" t="s">
        <v>632</v>
      </c>
      <c r="I119" s="49" t="s">
        <v>361</v>
      </c>
      <c r="J119" s="59" t="s">
        <v>1</v>
      </c>
      <c r="K119" s="36"/>
      <c r="L119" s="18"/>
    </row>
    <row r="120" spans="1:12" ht="17.100000000000001" customHeight="1" x14ac:dyDescent="0.25">
      <c r="A120" s="9">
        <v>26</v>
      </c>
      <c r="B120" s="60" t="s">
        <v>602</v>
      </c>
      <c r="C120" s="49" t="s">
        <v>315</v>
      </c>
      <c r="D120" s="53" t="s">
        <v>0</v>
      </c>
      <c r="E120" s="56"/>
      <c r="G120" s="9">
        <v>26</v>
      </c>
      <c r="H120" s="60" t="s">
        <v>633</v>
      </c>
      <c r="I120" s="49" t="s">
        <v>439</v>
      </c>
      <c r="J120" s="59" t="s">
        <v>1</v>
      </c>
      <c r="K120" s="36"/>
      <c r="L120" s="82"/>
    </row>
    <row r="121" spans="1:12" ht="17.100000000000001" customHeight="1" x14ac:dyDescent="0.25">
      <c r="A121" s="9">
        <v>27</v>
      </c>
      <c r="B121" s="60" t="s">
        <v>603</v>
      </c>
      <c r="C121" s="49" t="s">
        <v>263</v>
      </c>
      <c r="D121" s="57" t="s">
        <v>0</v>
      </c>
      <c r="E121" s="58"/>
      <c r="G121" s="9">
        <v>27</v>
      </c>
      <c r="H121" s="60" t="s">
        <v>634</v>
      </c>
      <c r="I121" s="49" t="s">
        <v>388</v>
      </c>
      <c r="J121" s="59" t="s">
        <v>0</v>
      </c>
      <c r="K121" s="36"/>
      <c r="L121" s="18"/>
    </row>
    <row r="122" spans="1:12" ht="17.100000000000001" customHeight="1" x14ac:dyDescent="0.25">
      <c r="A122" s="9">
        <v>28</v>
      </c>
      <c r="B122" s="60" t="s">
        <v>604</v>
      </c>
      <c r="C122" s="49" t="s">
        <v>362</v>
      </c>
      <c r="D122" s="57" t="s">
        <v>0</v>
      </c>
      <c r="E122" s="58"/>
      <c r="G122" s="9">
        <v>28</v>
      </c>
      <c r="H122" s="60" t="s">
        <v>635</v>
      </c>
      <c r="I122" s="49" t="s">
        <v>279</v>
      </c>
      <c r="J122" s="59" t="s">
        <v>0</v>
      </c>
      <c r="K122" s="36"/>
      <c r="L122" s="82"/>
    </row>
    <row r="123" spans="1:12" ht="17.100000000000001" customHeight="1" x14ac:dyDescent="0.25">
      <c r="A123" s="9">
        <v>29</v>
      </c>
      <c r="B123" s="79" t="s">
        <v>34</v>
      </c>
      <c r="C123" s="49" t="s">
        <v>1138</v>
      </c>
      <c r="D123" s="57" t="s">
        <v>0</v>
      </c>
      <c r="E123" s="58"/>
      <c r="F123" s="38"/>
      <c r="G123" s="9">
        <v>29</v>
      </c>
      <c r="H123" s="60" t="s">
        <v>636</v>
      </c>
      <c r="I123" s="49" t="s">
        <v>269</v>
      </c>
      <c r="J123" s="59" t="s">
        <v>0</v>
      </c>
      <c r="K123" s="36"/>
      <c r="L123" s="18"/>
    </row>
    <row r="124" spans="1:12" ht="17.100000000000001" customHeight="1" x14ac:dyDescent="0.25">
      <c r="A124" s="9">
        <v>30</v>
      </c>
      <c r="B124" s="60" t="s">
        <v>605</v>
      </c>
      <c r="C124" s="49" t="s">
        <v>285</v>
      </c>
      <c r="D124" s="53" t="s">
        <v>0</v>
      </c>
      <c r="E124" s="58"/>
      <c r="F124"/>
      <c r="G124" s="9">
        <v>30</v>
      </c>
      <c r="H124" s="60" t="s">
        <v>637</v>
      </c>
      <c r="I124" s="54" t="s">
        <v>275</v>
      </c>
      <c r="J124" s="59" t="s">
        <v>0</v>
      </c>
      <c r="K124" s="1"/>
      <c r="L124" s="82"/>
    </row>
    <row r="125" spans="1:12" ht="17.100000000000001" customHeight="1" x14ac:dyDescent="0.25">
      <c r="A125" s="9">
        <v>31</v>
      </c>
      <c r="B125" s="60" t="s">
        <v>606</v>
      </c>
      <c r="C125" s="49" t="s">
        <v>426</v>
      </c>
      <c r="D125" s="53" t="s">
        <v>0</v>
      </c>
      <c r="E125" s="58"/>
      <c r="F125"/>
      <c r="G125" s="9">
        <v>31</v>
      </c>
      <c r="H125" s="9" t="s">
        <v>638</v>
      </c>
      <c r="I125" s="54" t="s">
        <v>446</v>
      </c>
      <c r="J125" s="52" t="s">
        <v>0</v>
      </c>
      <c r="K125" s="1"/>
      <c r="L125" s="18"/>
    </row>
    <row r="126" spans="1:12" ht="17.100000000000001" customHeight="1" x14ac:dyDescent="0.25">
      <c r="A126" s="9">
        <v>32</v>
      </c>
      <c r="B126" s="60" t="s">
        <v>607</v>
      </c>
      <c r="C126" s="49" t="s">
        <v>421</v>
      </c>
      <c r="D126" s="53" t="s">
        <v>0</v>
      </c>
      <c r="E126" s="58"/>
      <c r="F126"/>
      <c r="G126" s="9"/>
      <c r="H126" s="1"/>
      <c r="I126" s="1"/>
      <c r="J126" s="52"/>
      <c r="K126" s="1"/>
      <c r="L126" s="82"/>
    </row>
    <row r="127" spans="1:12" x14ac:dyDescent="0.25">
      <c r="A127" s="209" t="s">
        <v>8</v>
      </c>
      <c r="B127" s="209"/>
      <c r="C127" s="86" t="s">
        <v>9</v>
      </c>
      <c r="F127"/>
      <c r="G127" s="209" t="s">
        <v>8</v>
      </c>
      <c r="H127" s="209"/>
      <c r="I127" s="86" t="s">
        <v>9</v>
      </c>
      <c r="L127" s="18"/>
    </row>
    <row r="128" spans="1:12" ht="15.75" x14ac:dyDescent="0.25">
      <c r="B128" s="87" t="s">
        <v>10</v>
      </c>
      <c r="C128" s="23">
        <f>COUNTIF(D95:D126,"L")</f>
        <v>20</v>
      </c>
      <c r="D128" s="208" t="s">
        <v>1145</v>
      </c>
      <c r="E128" s="208"/>
      <c r="F128"/>
      <c r="H128" s="87" t="s">
        <v>23</v>
      </c>
      <c r="I128" s="23">
        <f>COUNTIF(J95:J126,"L")</f>
        <v>17</v>
      </c>
      <c r="J128" s="208" t="s">
        <v>1145</v>
      </c>
      <c r="K128" s="208"/>
      <c r="L128" s="82"/>
    </row>
    <row r="129" spans="1:12" x14ac:dyDescent="0.25">
      <c r="B129" s="87" t="s">
        <v>11</v>
      </c>
      <c r="C129" s="23">
        <f>COUNTIF(D95:D125,"P")</f>
        <v>12</v>
      </c>
      <c r="D129" s="208" t="s">
        <v>12</v>
      </c>
      <c r="E129" s="208"/>
      <c r="F129"/>
      <c r="H129" s="87" t="s">
        <v>11</v>
      </c>
      <c r="I129" s="23">
        <f>COUNTIF(J95:J126,"P")</f>
        <v>14</v>
      </c>
      <c r="J129" s="208" t="s">
        <v>12</v>
      </c>
      <c r="K129" s="208"/>
      <c r="L129" s="18"/>
    </row>
    <row r="130" spans="1:12" ht="15.75" x14ac:dyDescent="0.25">
      <c r="B130" s="30" t="s">
        <v>20</v>
      </c>
      <c r="C130" s="29">
        <f>C128+C129</f>
        <v>32</v>
      </c>
      <c r="D130" s="18"/>
      <c r="F130"/>
      <c r="H130" s="30" t="s">
        <v>20</v>
      </c>
      <c r="I130" s="29">
        <f>I128+I129</f>
        <v>31</v>
      </c>
      <c r="J130" s="18"/>
      <c r="L130" s="82"/>
    </row>
    <row r="131" spans="1:12" ht="15" hidden="1" customHeight="1" x14ac:dyDescent="0.25">
      <c r="F131"/>
      <c r="L131" s="18"/>
    </row>
    <row r="132" spans="1:12" ht="15.75" x14ac:dyDescent="0.25">
      <c r="D132" s="208" t="s">
        <v>13</v>
      </c>
      <c r="E132" s="208"/>
      <c r="F132"/>
      <c r="J132" s="208" t="s">
        <v>13</v>
      </c>
      <c r="K132" s="208"/>
      <c r="L132" s="82"/>
    </row>
    <row r="133" spans="1:12" x14ac:dyDescent="0.25">
      <c r="D133" s="6" t="s">
        <v>14</v>
      </c>
      <c r="F133"/>
      <c r="J133" s="6" t="s">
        <v>14</v>
      </c>
      <c r="L133" s="18"/>
    </row>
    <row r="134" spans="1:12" x14ac:dyDescent="0.25">
      <c r="F134"/>
      <c r="L134" s="18"/>
    </row>
    <row r="135" spans="1:12" ht="15.75" x14ac:dyDescent="0.25">
      <c r="A135" s="210" t="s">
        <v>668</v>
      </c>
      <c r="B135" s="210"/>
      <c r="C135" s="210"/>
      <c r="D135" s="210"/>
      <c r="E135" s="210"/>
      <c r="F135"/>
      <c r="G135" s="210"/>
      <c r="H135" s="210"/>
      <c r="I135" s="210"/>
      <c r="J135" s="210"/>
      <c r="K135" s="210"/>
      <c r="L135" s="82"/>
    </row>
    <row r="136" spans="1:12" ht="15.75" x14ac:dyDescent="0.25">
      <c r="A136" s="210" t="s">
        <v>1144</v>
      </c>
      <c r="B136" s="210"/>
      <c r="C136" s="210"/>
      <c r="D136" s="210"/>
      <c r="E136" s="210"/>
      <c r="F136"/>
      <c r="G136" s="210"/>
      <c r="H136" s="210"/>
      <c r="I136" s="210"/>
      <c r="J136" s="210"/>
      <c r="K136" s="210"/>
      <c r="L136" s="18"/>
    </row>
    <row r="137" spans="1:12" ht="15.75" x14ac:dyDescent="0.25">
      <c r="A137" s="210" t="s">
        <v>669</v>
      </c>
      <c r="B137" s="210"/>
      <c r="C137" s="210"/>
      <c r="D137" s="210"/>
      <c r="E137" s="210"/>
      <c r="F137"/>
      <c r="G137" s="210"/>
      <c r="H137" s="210"/>
      <c r="I137" s="210"/>
      <c r="J137" s="210"/>
      <c r="K137" s="210"/>
      <c r="L137" s="82"/>
    </row>
    <row r="138" spans="1:12" ht="15" hidden="1" customHeight="1" x14ac:dyDescent="0.25">
      <c r="A138" s="6"/>
      <c r="B138" s="6"/>
      <c r="C138" s="6"/>
      <c r="G138" s="6"/>
      <c r="H138" s="6"/>
      <c r="I138" s="6"/>
      <c r="L138" s="18"/>
    </row>
    <row r="139" spans="1:12" ht="17.100000000000001" customHeight="1" x14ac:dyDescent="0.25">
      <c r="A139" s="13" t="s">
        <v>2</v>
      </c>
      <c r="B139" s="13" t="s">
        <v>22</v>
      </c>
      <c r="C139" s="13" t="s">
        <v>7</v>
      </c>
      <c r="D139" s="13" t="s">
        <v>5</v>
      </c>
      <c r="E139" s="1" t="s">
        <v>6</v>
      </c>
      <c r="G139" s="43"/>
      <c r="H139" s="43"/>
      <c r="I139" s="43"/>
      <c r="J139" s="43"/>
      <c r="K139" s="44"/>
      <c r="L139" s="82"/>
    </row>
    <row r="140" spans="1:12" ht="17.100000000000001" customHeight="1" x14ac:dyDescent="0.25">
      <c r="A140" s="5">
        <v>1</v>
      </c>
      <c r="B140" s="60" t="s">
        <v>639</v>
      </c>
      <c r="C140" s="54" t="s">
        <v>265</v>
      </c>
      <c r="D140" s="53" t="s">
        <v>1</v>
      </c>
      <c r="E140" s="41"/>
      <c r="G140" s="18"/>
      <c r="H140" s="6"/>
      <c r="I140" s="42"/>
      <c r="J140" s="37"/>
      <c r="K140" s="45"/>
      <c r="L140" s="18"/>
    </row>
    <row r="141" spans="1:12" ht="17.100000000000001" customHeight="1" x14ac:dyDescent="0.25">
      <c r="A141" s="5">
        <v>2</v>
      </c>
      <c r="B141" s="60" t="s">
        <v>640</v>
      </c>
      <c r="C141" s="49" t="s">
        <v>340</v>
      </c>
      <c r="D141" s="53" t="s">
        <v>1</v>
      </c>
      <c r="E141" s="39"/>
      <c r="G141" s="18"/>
      <c r="H141" s="6"/>
      <c r="I141" s="42"/>
      <c r="J141" s="37"/>
      <c r="K141" s="45"/>
      <c r="L141" s="82"/>
    </row>
    <row r="142" spans="1:12" ht="17.100000000000001" customHeight="1" x14ac:dyDescent="0.25">
      <c r="A142" s="5">
        <v>3</v>
      </c>
      <c r="B142" s="60" t="s">
        <v>641</v>
      </c>
      <c r="C142" s="49" t="s">
        <v>343</v>
      </c>
      <c r="D142" s="53" t="s">
        <v>1</v>
      </c>
      <c r="E142" s="41"/>
      <c r="G142" s="18"/>
      <c r="H142" s="6"/>
      <c r="J142" s="37"/>
      <c r="L142" s="18"/>
    </row>
    <row r="143" spans="1:12" ht="17.100000000000001" customHeight="1" x14ac:dyDescent="0.25">
      <c r="A143" s="5">
        <v>4</v>
      </c>
      <c r="B143" s="60" t="s">
        <v>642</v>
      </c>
      <c r="C143" s="49" t="s">
        <v>450</v>
      </c>
      <c r="D143" s="53" t="s">
        <v>1</v>
      </c>
      <c r="E143" s="84"/>
      <c r="G143" s="18"/>
      <c r="H143" s="6"/>
      <c r="I143" s="42"/>
      <c r="J143" s="37"/>
      <c r="K143" s="46"/>
      <c r="L143" s="82"/>
    </row>
    <row r="144" spans="1:12" ht="17.100000000000001" customHeight="1" x14ac:dyDescent="0.25">
      <c r="A144" s="5">
        <v>5</v>
      </c>
      <c r="B144" s="60" t="s">
        <v>643</v>
      </c>
      <c r="C144" s="49" t="s">
        <v>344</v>
      </c>
      <c r="D144" s="53" t="s">
        <v>0</v>
      </c>
      <c r="E144" s="41"/>
      <c r="G144" s="18"/>
      <c r="H144" s="6"/>
      <c r="I144" s="42"/>
      <c r="J144" s="37"/>
      <c r="K144" s="46"/>
      <c r="L144" s="18"/>
    </row>
    <row r="145" spans="1:12" ht="17.100000000000001" customHeight="1" x14ac:dyDescent="0.25">
      <c r="A145" s="5">
        <v>6</v>
      </c>
      <c r="B145" s="60" t="s">
        <v>644</v>
      </c>
      <c r="C145" s="49" t="s">
        <v>382</v>
      </c>
      <c r="D145" s="53" t="s">
        <v>1</v>
      </c>
      <c r="E145" s="41"/>
      <c r="G145" s="18"/>
      <c r="H145" s="6"/>
      <c r="I145" s="42"/>
      <c r="J145" s="37"/>
      <c r="K145" s="45"/>
      <c r="L145" s="82"/>
    </row>
    <row r="146" spans="1:12" ht="17.100000000000001" customHeight="1" x14ac:dyDescent="0.25">
      <c r="A146" s="5">
        <v>7</v>
      </c>
      <c r="B146" s="60" t="s">
        <v>645</v>
      </c>
      <c r="C146" s="49" t="s">
        <v>250</v>
      </c>
      <c r="D146" s="53" t="s">
        <v>1</v>
      </c>
      <c r="E146" s="84"/>
      <c r="G146" s="18"/>
      <c r="H146" s="6"/>
      <c r="I146" s="42"/>
      <c r="J146" s="37"/>
      <c r="K146" s="45"/>
      <c r="L146" s="18"/>
    </row>
    <row r="147" spans="1:12" ht="17.100000000000001" customHeight="1" x14ac:dyDescent="0.25">
      <c r="A147" s="5">
        <v>8</v>
      </c>
      <c r="B147" s="60" t="s">
        <v>646</v>
      </c>
      <c r="C147" s="49" t="s">
        <v>264</v>
      </c>
      <c r="D147" s="53" t="s">
        <v>1</v>
      </c>
      <c r="E147" s="36"/>
      <c r="G147" s="18"/>
      <c r="H147" s="6"/>
      <c r="I147" s="42"/>
      <c r="J147" s="37"/>
      <c r="K147" s="45"/>
      <c r="L147" s="82"/>
    </row>
    <row r="148" spans="1:12" ht="17.100000000000001" customHeight="1" x14ac:dyDescent="0.25">
      <c r="A148" s="5">
        <v>9</v>
      </c>
      <c r="B148" s="60" t="s">
        <v>647</v>
      </c>
      <c r="C148" s="49" t="s">
        <v>322</v>
      </c>
      <c r="D148" s="53" t="s">
        <v>0</v>
      </c>
      <c r="E148" s="36"/>
      <c r="G148" s="18"/>
      <c r="H148" s="6"/>
      <c r="I148" s="42"/>
      <c r="J148" s="37"/>
      <c r="L148" s="18"/>
    </row>
    <row r="149" spans="1:12" ht="17.100000000000001" customHeight="1" x14ac:dyDescent="0.25">
      <c r="A149" s="5">
        <v>10</v>
      </c>
      <c r="B149" s="60" t="s">
        <v>648</v>
      </c>
      <c r="C149" s="49" t="s">
        <v>317</v>
      </c>
      <c r="D149" s="53" t="s">
        <v>0</v>
      </c>
      <c r="E149" s="35"/>
      <c r="G149" s="18"/>
      <c r="H149" s="6"/>
      <c r="I149" s="42"/>
      <c r="J149" s="37"/>
      <c r="K149" s="45"/>
      <c r="L149" s="82"/>
    </row>
    <row r="150" spans="1:12" ht="17.100000000000001" customHeight="1" x14ac:dyDescent="0.25">
      <c r="A150" s="5">
        <v>11</v>
      </c>
      <c r="B150" s="60" t="s">
        <v>649</v>
      </c>
      <c r="C150" s="49" t="s">
        <v>423</v>
      </c>
      <c r="D150" s="53" t="s">
        <v>1</v>
      </c>
      <c r="E150" s="36"/>
      <c r="G150" s="18"/>
      <c r="H150" s="6"/>
      <c r="I150" s="42"/>
      <c r="J150" s="37"/>
      <c r="K150" s="45"/>
      <c r="L150" s="18"/>
    </row>
    <row r="151" spans="1:12" ht="17.100000000000001" customHeight="1" x14ac:dyDescent="0.25">
      <c r="A151" s="5">
        <v>12</v>
      </c>
      <c r="B151" s="60" t="s">
        <v>650</v>
      </c>
      <c r="C151" s="49" t="s">
        <v>276</v>
      </c>
      <c r="D151" s="53" t="s">
        <v>1</v>
      </c>
      <c r="E151" s="35"/>
      <c r="G151" s="18"/>
      <c r="H151" s="6"/>
      <c r="I151" s="42"/>
      <c r="J151" s="37"/>
      <c r="K151" s="45"/>
      <c r="L151" s="82"/>
    </row>
    <row r="152" spans="1:12" ht="17.100000000000001" customHeight="1" x14ac:dyDescent="0.25">
      <c r="A152" s="5">
        <v>13</v>
      </c>
      <c r="B152" s="60" t="s">
        <v>651</v>
      </c>
      <c r="C152" s="49" t="s">
        <v>268</v>
      </c>
      <c r="D152" s="53" t="s">
        <v>1</v>
      </c>
      <c r="E152" s="35"/>
      <c r="G152" s="18"/>
      <c r="H152" s="6"/>
      <c r="I152" s="42"/>
      <c r="J152" s="37"/>
      <c r="K152" s="46"/>
      <c r="L152" s="18"/>
    </row>
    <row r="153" spans="1:12" ht="17.100000000000001" customHeight="1" x14ac:dyDescent="0.25">
      <c r="A153" s="5">
        <v>14</v>
      </c>
      <c r="B153" s="60" t="s">
        <v>652</v>
      </c>
      <c r="C153" s="49" t="s">
        <v>260</v>
      </c>
      <c r="D153" s="53" t="s">
        <v>0</v>
      </c>
      <c r="E153" s="35"/>
      <c r="G153" s="18"/>
      <c r="H153" s="6"/>
      <c r="I153" s="42"/>
      <c r="J153" s="37"/>
      <c r="K153" s="46"/>
      <c r="L153" s="82"/>
    </row>
    <row r="154" spans="1:12" ht="17.100000000000001" customHeight="1" x14ac:dyDescent="0.25">
      <c r="A154" s="5">
        <v>15</v>
      </c>
      <c r="B154" s="60" t="s">
        <v>653</v>
      </c>
      <c r="C154" s="49" t="s">
        <v>363</v>
      </c>
      <c r="D154" s="53" t="s">
        <v>1</v>
      </c>
      <c r="E154" s="35"/>
      <c r="G154" s="18"/>
      <c r="H154" s="6"/>
      <c r="I154" s="42"/>
      <c r="J154" s="37"/>
      <c r="K154" s="45"/>
      <c r="L154" s="18"/>
    </row>
    <row r="155" spans="1:12" ht="17.100000000000001" customHeight="1" x14ac:dyDescent="0.25">
      <c r="A155" s="5">
        <v>16</v>
      </c>
      <c r="B155" s="60" t="s">
        <v>654</v>
      </c>
      <c r="C155" s="49" t="s">
        <v>314</v>
      </c>
      <c r="D155" s="53" t="s">
        <v>1</v>
      </c>
      <c r="E155" s="36"/>
      <c r="G155" s="18"/>
      <c r="H155" s="6"/>
      <c r="I155" s="42"/>
      <c r="J155" s="37"/>
      <c r="K155" s="45"/>
      <c r="L155" s="82"/>
    </row>
    <row r="156" spans="1:12" ht="17.100000000000001" customHeight="1" x14ac:dyDescent="0.25">
      <c r="A156" s="5">
        <v>17</v>
      </c>
      <c r="B156" s="60" t="s">
        <v>655</v>
      </c>
      <c r="C156" s="54" t="s">
        <v>253</v>
      </c>
      <c r="D156" s="89" t="s">
        <v>1</v>
      </c>
      <c r="E156" s="35"/>
      <c r="G156" s="18"/>
      <c r="H156" s="6"/>
      <c r="I156" s="47"/>
      <c r="J156" s="37"/>
      <c r="K156" s="47"/>
      <c r="L156" s="18"/>
    </row>
    <row r="157" spans="1:12" ht="17.100000000000001" customHeight="1" x14ac:dyDescent="0.25">
      <c r="A157" s="5">
        <v>18</v>
      </c>
      <c r="B157" s="60" t="s">
        <v>656</v>
      </c>
      <c r="C157" s="49" t="s">
        <v>384</v>
      </c>
      <c r="D157" s="53" t="s">
        <v>1</v>
      </c>
      <c r="E157" s="36"/>
      <c r="G157" s="18"/>
      <c r="H157" s="6"/>
      <c r="I157" s="42"/>
      <c r="J157" s="37"/>
      <c r="K157" s="46"/>
      <c r="L157" s="82"/>
    </row>
    <row r="158" spans="1:12" ht="17.100000000000001" customHeight="1" x14ac:dyDescent="0.25">
      <c r="A158" s="5">
        <v>19</v>
      </c>
      <c r="B158" s="60" t="s">
        <v>657</v>
      </c>
      <c r="C158" s="49" t="s">
        <v>360</v>
      </c>
      <c r="D158" s="53" t="s">
        <v>1</v>
      </c>
      <c r="E158" s="36"/>
      <c r="G158" s="18"/>
      <c r="H158" s="6"/>
      <c r="I158" s="42"/>
      <c r="J158" s="37"/>
      <c r="K158" s="45"/>
      <c r="L158" s="18"/>
    </row>
    <row r="159" spans="1:12" ht="17.100000000000001" customHeight="1" x14ac:dyDescent="0.25">
      <c r="A159" s="5">
        <v>20</v>
      </c>
      <c r="B159" s="60" t="s">
        <v>658</v>
      </c>
      <c r="C159" s="49" t="s">
        <v>438</v>
      </c>
      <c r="D159" s="53" t="s">
        <v>1</v>
      </c>
      <c r="E159" s="36"/>
      <c r="G159" s="18"/>
      <c r="H159" s="6"/>
      <c r="I159" s="42"/>
      <c r="J159" s="37"/>
      <c r="K159" s="45"/>
      <c r="L159" s="82"/>
    </row>
    <row r="160" spans="1:12" ht="17.100000000000001" customHeight="1" x14ac:dyDescent="0.25">
      <c r="A160" s="5">
        <v>21</v>
      </c>
      <c r="B160" s="60" t="s">
        <v>659</v>
      </c>
      <c r="C160" s="49" t="s">
        <v>354</v>
      </c>
      <c r="D160" s="53" t="s">
        <v>0</v>
      </c>
      <c r="E160" s="36"/>
      <c r="G160" s="18"/>
      <c r="H160" s="6"/>
      <c r="I160" s="42"/>
      <c r="J160" s="37"/>
      <c r="L160" s="18"/>
    </row>
    <row r="161" spans="1:12" ht="17.100000000000001" customHeight="1" x14ac:dyDescent="0.25">
      <c r="A161" s="5">
        <v>22</v>
      </c>
      <c r="B161" s="60" t="s">
        <v>660</v>
      </c>
      <c r="C161" s="49" t="s">
        <v>353</v>
      </c>
      <c r="D161" s="53" t="s">
        <v>0</v>
      </c>
      <c r="E161" s="36"/>
      <c r="G161" s="18"/>
      <c r="H161" s="6"/>
      <c r="I161" s="42"/>
      <c r="J161" s="37"/>
      <c r="K161" s="45"/>
      <c r="L161" s="82"/>
    </row>
    <row r="162" spans="1:12" ht="17.100000000000001" customHeight="1" x14ac:dyDescent="0.25">
      <c r="A162" s="5">
        <v>23</v>
      </c>
      <c r="B162" s="60" t="s">
        <v>661</v>
      </c>
      <c r="C162" s="49" t="s">
        <v>387</v>
      </c>
      <c r="D162" s="53" t="s">
        <v>1</v>
      </c>
      <c r="E162" s="36"/>
      <c r="F162"/>
      <c r="G162" s="18"/>
      <c r="H162" s="6"/>
      <c r="I162" s="42"/>
      <c r="J162" s="37"/>
      <c r="K162" s="46"/>
      <c r="L162" s="18"/>
    </row>
    <row r="163" spans="1:12" ht="17.100000000000001" customHeight="1" x14ac:dyDescent="0.25">
      <c r="A163" s="5">
        <v>24</v>
      </c>
      <c r="B163" s="60" t="s">
        <v>662</v>
      </c>
      <c r="C163" s="49" t="s">
        <v>400</v>
      </c>
      <c r="D163" s="53" t="s">
        <v>1</v>
      </c>
      <c r="E163" s="36"/>
      <c r="G163" s="18"/>
      <c r="H163" s="6"/>
      <c r="I163" s="42"/>
      <c r="J163" s="37"/>
      <c r="K163" s="46"/>
      <c r="L163" s="82"/>
    </row>
    <row r="164" spans="1:12" ht="17.100000000000001" customHeight="1" x14ac:dyDescent="0.25">
      <c r="A164" s="5">
        <v>25</v>
      </c>
      <c r="B164" s="60" t="s">
        <v>663</v>
      </c>
      <c r="C164" s="49" t="s">
        <v>392</v>
      </c>
      <c r="D164" s="53" t="s">
        <v>1</v>
      </c>
      <c r="E164" s="35"/>
      <c r="G164" s="18"/>
      <c r="H164" s="6"/>
      <c r="I164" s="42"/>
      <c r="J164" s="37"/>
      <c r="K164" s="45"/>
      <c r="L164" s="18"/>
    </row>
    <row r="165" spans="1:12" ht="17.100000000000001" customHeight="1" x14ac:dyDescent="0.25">
      <c r="A165" s="5">
        <v>26</v>
      </c>
      <c r="B165" s="60" t="s">
        <v>664</v>
      </c>
      <c r="C165" s="49" t="s">
        <v>345</v>
      </c>
      <c r="D165" s="53" t="s">
        <v>1</v>
      </c>
      <c r="E165" s="35"/>
      <c r="G165" s="18"/>
      <c r="H165" s="6"/>
      <c r="I165" s="42"/>
      <c r="J165" s="37"/>
      <c r="K165" s="46"/>
      <c r="L165" s="82"/>
    </row>
    <row r="166" spans="1:12" ht="17.100000000000001" customHeight="1" x14ac:dyDescent="0.25">
      <c r="A166" s="5">
        <v>27</v>
      </c>
      <c r="B166" s="60" t="s">
        <v>665</v>
      </c>
      <c r="C166" s="49" t="s">
        <v>349</v>
      </c>
      <c r="D166" s="53" t="s">
        <v>1</v>
      </c>
      <c r="E166" s="36"/>
      <c r="G166" s="18"/>
      <c r="H166" s="6"/>
      <c r="I166" s="42"/>
      <c r="J166" s="37"/>
      <c r="K166" s="45"/>
      <c r="L166" s="18"/>
    </row>
    <row r="167" spans="1:12" ht="17.100000000000001" customHeight="1" x14ac:dyDescent="0.25">
      <c r="A167" s="5">
        <v>28</v>
      </c>
      <c r="B167" s="60" t="s">
        <v>666</v>
      </c>
      <c r="C167" s="49" t="s">
        <v>328</v>
      </c>
      <c r="D167" s="53" t="s">
        <v>0</v>
      </c>
      <c r="E167" s="35"/>
      <c r="F167"/>
      <c r="G167" s="18"/>
      <c r="H167" s="6"/>
      <c r="I167" s="42"/>
      <c r="J167" s="37"/>
      <c r="K167" s="45"/>
      <c r="L167" s="82"/>
    </row>
    <row r="168" spans="1:12" ht="17.100000000000001" customHeight="1" x14ac:dyDescent="0.25">
      <c r="A168" s="5">
        <v>29</v>
      </c>
      <c r="B168" s="60" t="s">
        <v>667</v>
      </c>
      <c r="C168" s="54" t="s">
        <v>429</v>
      </c>
      <c r="D168" s="89" t="s">
        <v>0</v>
      </c>
      <c r="E168" s="1"/>
      <c r="G168" s="18"/>
      <c r="H168" s="6"/>
      <c r="L168" s="18"/>
    </row>
    <row r="169" spans="1:12" ht="17.100000000000001" customHeight="1" x14ac:dyDescent="0.25">
      <c r="A169" s="5">
        <v>30</v>
      </c>
      <c r="B169" s="142" t="s">
        <v>1541</v>
      </c>
      <c r="C169" s="143" t="s">
        <v>1542</v>
      </c>
      <c r="D169" s="6" t="s">
        <v>0</v>
      </c>
      <c r="E169" s="1" t="s">
        <v>1544</v>
      </c>
      <c r="G169" s="18"/>
      <c r="H169" s="6"/>
      <c r="L169" s="82"/>
    </row>
    <row r="170" spans="1:12" ht="15.75" x14ac:dyDescent="0.25">
      <c r="A170" s="5"/>
      <c r="B170" s="60"/>
      <c r="C170" s="54"/>
      <c r="D170" s="89"/>
      <c r="E170" s="1"/>
      <c r="G170" s="18"/>
      <c r="H170" s="18"/>
      <c r="L170" s="18"/>
    </row>
    <row r="171" spans="1:12" ht="15.75" x14ac:dyDescent="0.25">
      <c r="A171" s="209" t="s">
        <v>8</v>
      </c>
      <c r="B171" s="209"/>
      <c r="C171" s="86" t="s">
        <v>9</v>
      </c>
      <c r="F171"/>
      <c r="G171" s="209"/>
      <c r="H171" s="209"/>
      <c r="I171" s="86"/>
      <c r="L171" s="82"/>
    </row>
    <row r="172" spans="1:12" x14ac:dyDescent="0.25">
      <c r="B172" s="87" t="s">
        <v>10</v>
      </c>
      <c r="C172" s="23">
        <f>COUNTIF(D140:D170,"L")</f>
        <v>9</v>
      </c>
      <c r="D172" s="208" t="s">
        <v>1145</v>
      </c>
      <c r="E172" s="208"/>
      <c r="F172"/>
      <c r="H172" s="87"/>
      <c r="I172" s="23"/>
      <c r="J172" s="18"/>
      <c r="L172" s="18"/>
    </row>
    <row r="173" spans="1:12" ht="15.75" x14ac:dyDescent="0.25">
      <c r="B173" s="87" t="s">
        <v>11</v>
      </c>
      <c r="C173" s="23">
        <f>COUNTIF(D140:D170,"P")</f>
        <v>21</v>
      </c>
      <c r="D173" s="208" t="s">
        <v>12</v>
      </c>
      <c r="E173" s="208"/>
      <c r="F173"/>
      <c r="H173" s="87"/>
      <c r="I173" s="23"/>
      <c r="J173" s="18"/>
      <c r="L173" s="82"/>
    </row>
    <row r="174" spans="1:12" x14ac:dyDescent="0.25">
      <c r="B174" s="30" t="s">
        <v>20</v>
      </c>
      <c r="C174" s="29">
        <f>C172+C173</f>
        <v>30</v>
      </c>
      <c r="D174" s="18"/>
      <c r="F174"/>
      <c r="H174" s="30"/>
      <c r="I174" s="29">
        <v>91</v>
      </c>
      <c r="J174" s="18"/>
      <c r="L174" s="18"/>
    </row>
    <row r="175" spans="1:12" ht="15.75" x14ac:dyDescent="0.25">
      <c r="F175"/>
      <c r="L175" s="82"/>
    </row>
    <row r="176" spans="1:12" x14ac:dyDescent="0.25">
      <c r="D176" s="208" t="s">
        <v>13</v>
      </c>
      <c r="E176" s="208"/>
      <c r="F176"/>
      <c r="J176" s="18"/>
      <c r="L176" s="18"/>
    </row>
    <row r="177" spans="2:12" ht="15.75" x14ac:dyDescent="0.25">
      <c r="D177" s="6" t="s">
        <v>14</v>
      </c>
      <c r="F177"/>
      <c r="L177" s="82"/>
    </row>
    <row r="178" spans="2:12" x14ac:dyDescent="0.25">
      <c r="F178"/>
      <c r="L178" s="18"/>
    </row>
    <row r="179" spans="2:12" ht="15.75" x14ac:dyDescent="0.25">
      <c r="F179"/>
      <c r="L179" s="82"/>
    </row>
    <row r="180" spans="2:12" x14ac:dyDescent="0.25">
      <c r="F180"/>
      <c r="L180" s="18"/>
    </row>
    <row r="181" spans="2:12" ht="15.75" x14ac:dyDescent="0.25">
      <c r="F181"/>
      <c r="L181" s="82"/>
    </row>
    <row r="182" spans="2:12" x14ac:dyDescent="0.25">
      <c r="C182" s="70"/>
      <c r="F182"/>
      <c r="L182" s="18"/>
    </row>
    <row r="183" spans="2:12" ht="16.5" thickBot="1" x14ac:dyDescent="0.3">
      <c r="F183"/>
      <c r="L183" s="82"/>
    </row>
    <row r="184" spans="2:12" x14ac:dyDescent="0.25">
      <c r="B184" s="71" t="s">
        <v>30</v>
      </c>
      <c r="C184" s="72">
        <f>C173+C129+C84+C39+I39+I84+I129</f>
        <v>99</v>
      </c>
      <c r="F184"/>
      <c r="L184" s="18"/>
    </row>
    <row r="185" spans="2:12" ht="15.75" x14ac:dyDescent="0.25">
      <c r="B185" s="73" t="s">
        <v>31</v>
      </c>
      <c r="C185" s="74">
        <f>C172+C128+C83+C38+I38+I83+I128</f>
        <v>119</v>
      </c>
      <c r="F185"/>
      <c r="L185" s="82"/>
    </row>
    <row r="186" spans="2:12" x14ac:dyDescent="0.25">
      <c r="B186" s="73"/>
      <c r="C186" s="74"/>
      <c r="F186"/>
      <c r="L186" s="18"/>
    </row>
    <row r="187" spans="2:12" ht="27" customHeight="1" thickBot="1" x14ac:dyDescent="0.3">
      <c r="B187" s="75" t="s">
        <v>1140</v>
      </c>
      <c r="C187" s="76">
        <f>C184+C185</f>
        <v>218</v>
      </c>
      <c r="F187"/>
      <c r="L187" s="82"/>
    </row>
    <row r="188" spans="2:12" x14ac:dyDescent="0.25">
      <c r="F188"/>
      <c r="L188" s="18"/>
    </row>
    <row r="189" spans="2:12" ht="15.75" x14ac:dyDescent="0.25">
      <c r="F189"/>
      <c r="L189" s="82"/>
    </row>
    <row r="190" spans="2:12" x14ac:dyDescent="0.25">
      <c r="F190"/>
      <c r="L190" s="18"/>
    </row>
    <row r="191" spans="2:12" x14ac:dyDescent="0.25">
      <c r="F191"/>
      <c r="L191" s="18"/>
    </row>
    <row r="192" spans="2:12" x14ac:dyDescent="0.25">
      <c r="F192"/>
      <c r="L192" s="18"/>
    </row>
    <row r="193" spans="6:12" x14ac:dyDescent="0.25">
      <c r="F193"/>
      <c r="L193" s="18"/>
    </row>
    <row r="194" spans="6:12" x14ac:dyDescent="0.25">
      <c r="F194"/>
      <c r="L194" s="18"/>
    </row>
    <row r="195" spans="6:12" x14ac:dyDescent="0.25">
      <c r="F195"/>
    </row>
    <row r="196" spans="6:12" x14ac:dyDescent="0.25">
      <c r="F196"/>
    </row>
    <row r="197" spans="6:12" x14ac:dyDescent="0.25">
      <c r="F197"/>
    </row>
    <row r="198" spans="6:12" x14ac:dyDescent="0.25">
      <c r="F198"/>
    </row>
    <row r="199" spans="6:12" x14ac:dyDescent="0.25">
      <c r="F199"/>
    </row>
    <row r="200" spans="6:12" x14ac:dyDescent="0.25">
      <c r="F200"/>
    </row>
    <row r="201" spans="6:12" x14ac:dyDescent="0.25">
      <c r="F201"/>
    </row>
    <row r="202" spans="6:12" x14ac:dyDescent="0.25">
      <c r="F202"/>
    </row>
    <row r="203" spans="6:12" x14ac:dyDescent="0.25">
      <c r="F203"/>
    </row>
    <row r="204" spans="6:12" x14ac:dyDescent="0.25">
      <c r="F204"/>
    </row>
    <row r="205" spans="6:12" x14ac:dyDescent="0.25">
      <c r="F205"/>
    </row>
    <row r="206" spans="6:12" x14ac:dyDescent="0.25">
      <c r="F206"/>
    </row>
    <row r="207" spans="6:12" x14ac:dyDescent="0.25">
      <c r="F207"/>
    </row>
    <row r="208" spans="6:12" x14ac:dyDescent="0.25">
      <c r="F208"/>
    </row>
    <row r="209" spans="6:6" x14ac:dyDescent="0.25">
      <c r="F209"/>
    </row>
    <row r="210" spans="6:6" x14ac:dyDescent="0.25">
      <c r="F210"/>
    </row>
    <row r="211" spans="6:6" x14ac:dyDescent="0.25">
      <c r="F211"/>
    </row>
    <row r="212" spans="6:6" x14ac:dyDescent="0.25">
      <c r="F212"/>
    </row>
    <row r="213" spans="6:6" x14ac:dyDescent="0.25">
      <c r="F213"/>
    </row>
    <row r="214" spans="6:6" x14ac:dyDescent="0.25">
      <c r="F214"/>
    </row>
    <row r="215" spans="6:6" x14ac:dyDescent="0.25">
      <c r="F215"/>
    </row>
    <row r="216" spans="6:6" x14ac:dyDescent="0.25">
      <c r="F216"/>
    </row>
    <row r="217" spans="6:6" x14ac:dyDescent="0.25">
      <c r="F217"/>
    </row>
    <row r="218" spans="6:6" x14ac:dyDescent="0.25">
      <c r="F218"/>
    </row>
    <row r="219" spans="6:6" x14ac:dyDescent="0.25">
      <c r="F219"/>
    </row>
    <row r="220" spans="6:6" x14ac:dyDescent="0.25">
      <c r="F220"/>
    </row>
    <row r="221" spans="6:6" x14ac:dyDescent="0.25">
      <c r="F221"/>
    </row>
    <row r="222" spans="6:6" x14ac:dyDescent="0.25">
      <c r="F222"/>
    </row>
    <row r="223" spans="6:6" x14ac:dyDescent="0.25">
      <c r="F223"/>
    </row>
    <row r="224" spans="6:6" x14ac:dyDescent="0.25">
      <c r="F224"/>
    </row>
    <row r="225" spans="6:6" x14ac:dyDescent="0.25">
      <c r="F225"/>
    </row>
    <row r="226" spans="6:6" x14ac:dyDescent="0.25">
      <c r="F226"/>
    </row>
    <row r="227" spans="6:6" x14ac:dyDescent="0.25">
      <c r="F227"/>
    </row>
    <row r="228" spans="6:6" x14ac:dyDescent="0.25">
      <c r="F228"/>
    </row>
    <row r="229" spans="6:6" x14ac:dyDescent="0.25">
      <c r="F229"/>
    </row>
    <row r="230" spans="6:6" x14ac:dyDescent="0.25">
      <c r="F230"/>
    </row>
    <row r="231" spans="6:6" x14ac:dyDescent="0.25">
      <c r="F231"/>
    </row>
    <row r="232" spans="6:6" x14ac:dyDescent="0.25">
      <c r="F232"/>
    </row>
    <row r="233" spans="6:6" x14ac:dyDescent="0.25">
      <c r="F233"/>
    </row>
    <row r="234" spans="6:6" x14ac:dyDescent="0.25">
      <c r="F234"/>
    </row>
    <row r="235" spans="6:6" x14ac:dyDescent="0.25">
      <c r="F235"/>
    </row>
    <row r="236" spans="6:6" x14ac:dyDescent="0.25">
      <c r="F236"/>
    </row>
    <row r="237" spans="6:6" x14ac:dyDescent="0.25">
      <c r="F237"/>
    </row>
    <row r="238" spans="6:6" x14ac:dyDescent="0.25">
      <c r="F238"/>
    </row>
    <row r="239" spans="6:6" x14ac:dyDescent="0.25">
      <c r="F239"/>
    </row>
    <row r="240" spans="6:6" x14ac:dyDescent="0.25">
      <c r="F240"/>
    </row>
    <row r="241" spans="6:6" x14ac:dyDescent="0.25">
      <c r="F241"/>
    </row>
    <row r="242" spans="6:6" x14ac:dyDescent="0.25">
      <c r="F242"/>
    </row>
    <row r="243" spans="6:6" x14ac:dyDescent="0.25">
      <c r="F243"/>
    </row>
    <row r="244" spans="6:6" x14ac:dyDescent="0.25">
      <c r="F244"/>
    </row>
    <row r="245" spans="6:6" x14ac:dyDescent="0.25">
      <c r="F245"/>
    </row>
    <row r="246" spans="6:6" x14ac:dyDescent="0.25">
      <c r="F246"/>
    </row>
    <row r="247" spans="6:6" x14ac:dyDescent="0.25">
      <c r="F247"/>
    </row>
    <row r="248" spans="6:6" x14ac:dyDescent="0.25">
      <c r="F248"/>
    </row>
    <row r="249" spans="6:6" x14ac:dyDescent="0.25">
      <c r="F249"/>
    </row>
    <row r="250" spans="6:6" x14ac:dyDescent="0.25">
      <c r="F250"/>
    </row>
    <row r="251" spans="6:6" x14ac:dyDescent="0.25">
      <c r="F251"/>
    </row>
    <row r="252" spans="6:6" x14ac:dyDescent="0.25">
      <c r="F252"/>
    </row>
    <row r="253" spans="6:6" x14ac:dyDescent="0.25">
      <c r="F253"/>
    </row>
    <row r="254" spans="6:6" x14ac:dyDescent="0.25">
      <c r="F254"/>
    </row>
    <row r="255" spans="6:6" x14ac:dyDescent="0.25">
      <c r="F255"/>
    </row>
    <row r="256" spans="6:6" x14ac:dyDescent="0.25">
      <c r="F256"/>
    </row>
    <row r="257" spans="6:6" x14ac:dyDescent="0.25">
      <c r="F257"/>
    </row>
    <row r="258" spans="6:6" x14ac:dyDescent="0.25">
      <c r="F258"/>
    </row>
    <row r="259" spans="6:6" x14ac:dyDescent="0.25">
      <c r="F259"/>
    </row>
    <row r="260" spans="6:6" x14ac:dyDescent="0.25">
      <c r="F260"/>
    </row>
    <row r="261" spans="6:6" x14ac:dyDescent="0.25">
      <c r="F261"/>
    </row>
    <row r="262" spans="6:6" x14ac:dyDescent="0.25">
      <c r="F262"/>
    </row>
    <row r="263" spans="6:6" x14ac:dyDescent="0.25">
      <c r="F263"/>
    </row>
    <row r="264" spans="6:6" x14ac:dyDescent="0.25">
      <c r="F264"/>
    </row>
    <row r="265" spans="6:6" x14ac:dyDescent="0.25">
      <c r="F265"/>
    </row>
    <row r="266" spans="6:6" x14ac:dyDescent="0.25">
      <c r="F266"/>
    </row>
    <row r="267" spans="6:6" x14ac:dyDescent="0.25">
      <c r="F267"/>
    </row>
    <row r="268" spans="6:6" x14ac:dyDescent="0.25">
      <c r="F268"/>
    </row>
    <row r="269" spans="6:6" x14ac:dyDescent="0.25">
      <c r="F269"/>
    </row>
    <row r="270" spans="6:6" x14ac:dyDescent="0.25">
      <c r="F270"/>
    </row>
    <row r="271" spans="6:6" x14ac:dyDescent="0.25">
      <c r="F271"/>
    </row>
    <row r="272" spans="6:6" x14ac:dyDescent="0.25">
      <c r="F272"/>
    </row>
    <row r="273" spans="6:6" x14ac:dyDescent="0.25">
      <c r="F273"/>
    </row>
    <row r="274" spans="6:6" x14ac:dyDescent="0.25">
      <c r="F274"/>
    </row>
    <row r="275" spans="6:6" x14ac:dyDescent="0.25">
      <c r="F275"/>
    </row>
    <row r="276" spans="6:6" x14ac:dyDescent="0.25">
      <c r="F276"/>
    </row>
    <row r="277" spans="6:6" x14ac:dyDescent="0.25">
      <c r="F277"/>
    </row>
    <row r="278" spans="6:6" x14ac:dyDescent="0.25">
      <c r="F278"/>
    </row>
    <row r="279" spans="6:6" x14ac:dyDescent="0.25">
      <c r="F279"/>
    </row>
    <row r="280" spans="6:6" x14ac:dyDescent="0.25">
      <c r="F280"/>
    </row>
    <row r="281" spans="6:6" x14ac:dyDescent="0.25">
      <c r="F281"/>
    </row>
    <row r="282" spans="6:6" x14ac:dyDescent="0.25">
      <c r="F282"/>
    </row>
    <row r="283" spans="6:6" x14ac:dyDescent="0.25">
      <c r="F283"/>
    </row>
    <row r="284" spans="6:6" x14ac:dyDescent="0.25">
      <c r="F284"/>
    </row>
    <row r="285" spans="6:6" x14ac:dyDescent="0.25">
      <c r="F285"/>
    </row>
    <row r="286" spans="6:6" x14ac:dyDescent="0.25">
      <c r="F286"/>
    </row>
    <row r="287" spans="6:6" x14ac:dyDescent="0.25">
      <c r="F287"/>
    </row>
    <row r="288" spans="6:6" x14ac:dyDescent="0.25">
      <c r="F288"/>
    </row>
    <row r="289" spans="6:6" x14ac:dyDescent="0.25">
      <c r="F289"/>
    </row>
    <row r="290" spans="6:6" x14ac:dyDescent="0.25">
      <c r="F290"/>
    </row>
    <row r="291" spans="6:6" x14ac:dyDescent="0.25">
      <c r="F291"/>
    </row>
    <row r="292" spans="6:6" x14ac:dyDescent="0.25">
      <c r="F292"/>
    </row>
    <row r="293" spans="6:6" x14ac:dyDescent="0.25">
      <c r="F293"/>
    </row>
    <row r="294" spans="6:6" x14ac:dyDescent="0.25">
      <c r="F294"/>
    </row>
    <row r="295" spans="6:6" x14ac:dyDescent="0.25">
      <c r="F295"/>
    </row>
    <row r="296" spans="6:6" x14ac:dyDescent="0.25">
      <c r="F296"/>
    </row>
    <row r="297" spans="6:6" x14ac:dyDescent="0.25">
      <c r="F297"/>
    </row>
    <row r="298" spans="6:6" x14ac:dyDescent="0.25">
      <c r="F298"/>
    </row>
    <row r="299" spans="6:6" x14ac:dyDescent="0.25">
      <c r="F299"/>
    </row>
    <row r="300" spans="6:6" x14ac:dyDescent="0.25">
      <c r="F300"/>
    </row>
    <row r="301" spans="6:6" x14ac:dyDescent="0.25">
      <c r="F301"/>
    </row>
    <row r="302" spans="6:6" x14ac:dyDescent="0.25">
      <c r="F302"/>
    </row>
    <row r="303" spans="6:6" x14ac:dyDescent="0.25">
      <c r="F303"/>
    </row>
    <row r="304" spans="6:6" x14ac:dyDescent="0.25">
      <c r="F304"/>
    </row>
    <row r="305" spans="6:6" x14ac:dyDescent="0.25">
      <c r="F305"/>
    </row>
    <row r="306" spans="6:6" x14ac:dyDescent="0.25">
      <c r="F306"/>
    </row>
    <row r="307" spans="6:6" x14ac:dyDescent="0.25">
      <c r="F307"/>
    </row>
    <row r="308" spans="6:6" x14ac:dyDescent="0.25">
      <c r="F308"/>
    </row>
    <row r="309" spans="6:6" x14ac:dyDescent="0.25">
      <c r="F309"/>
    </row>
    <row r="310" spans="6:6" x14ac:dyDescent="0.25">
      <c r="F310"/>
    </row>
    <row r="311" spans="6:6" x14ac:dyDescent="0.25">
      <c r="F311"/>
    </row>
    <row r="312" spans="6:6" x14ac:dyDescent="0.25">
      <c r="F312"/>
    </row>
    <row r="313" spans="6:6" x14ac:dyDescent="0.25">
      <c r="F313"/>
    </row>
    <row r="314" spans="6:6" x14ac:dyDescent="0.25">
      <c r="F314"/>
    </row>
    <row r="315" spans="6:6" x14ac:dyDescent="0.25">
      <c r="F315"/>
    </row>
    <row r="316" spans="6:6" x14ac:dyDescent="0.25">
      <c r="F316"/>
    </row>
    <row r="317" spans="6:6" x14ac:dyDescent="0.25">
      <c r="F317"/>
    </row>
    <row r="318" spans="6:6" x14ac:dyDescent="0.25">
      <c r="F318"/>
    </row>
    <row r="319" spans="6:6" x14ac:dyDescent="0.25">
      <c r="F319"/>
    </row>
    <row r="320" spans="6:6" x14ac:dyDescent="0.25">
      <c r="F320"/>
    </row>
    <row r="321" spans="6:6" x14ac:dyDescent="0.25">
      <c r="F321"/>
    </row>
    <row r="322" spans="6:6" x14ac:dyDescent="0.25">
      <c r="F322"/>
    </row>
    <row r="323" spans="6:6" x14ac:dyDescent="0.25">
      <c r="F323"/>
    </row>
    <row r="324" spans="6:6" x14ac:dyDescent="0.25">
      <c r="F324"/>
    </row>
    <row r="325" spans="6:6" x14ac:dyDescent="0.25">
      <c r="F325"/>
    </row>
    <row r="326" spans="6:6" x14ac:dyDescent="0.25">
      <c r="F326"/>
    </row>
    <row r="327" spans="6:6" x14ac:dyDescent="0.25">
      <c r="F327"/>
    </row>
    <row r="328" spans="6:6" x14ac:dyDescent="0.25">
      <c r="F328"/>
    </row>
    <row r="329" spans="6:6" x14ac:dyDescent="0.25">
      <c r="F329"/>
    </row>
    <row r="330" spans="6:6" x14ac:dyDescent="0.25">
      <c r="F330"/>
    </row>
    <row r="331" spans="6:6" x14ac:dyDescent="0.25">
      <c r="F331"/>
    </row>
    <row r="332" spans="6:6" x14ac:dyDescent="0.25">
      <c r="F332"/>
    </row>
    <row r="333" spans="6:6" x14ac:dyDescent="0.25">
      <c r="F333"/>
    </row>
    <row r="334" spans="6:6" x14ac:dyDescent="0.25">
      <c r="F334"/>
    </row>
    <row r="335" spans="6:6" x14ac:dyDescent="0.25">
      <c r="F335"/>
    </row>
    <row r="336" spans="6:6" x14ac:dyDescent="0.25">
      <c r="F336"/>
    </row>
    <row r="337" spans="6:6" x14ac:dyDescent="0.25">
      <c r="F337"/>
    </row>
    <row r="338" spans="6:6" x14ac:dyDescent="0.25">
      <c r="F338"/>
    </row>
    <row r="339" spans="6:6" x14ac:dyDescent="0.25">
      <c r="F339"/>
    </row>
    <row r="340" spans="6:6" x14ac:dyDescent="0.25">
      <c r="F340"/>
    </row>
    <row r="341" spans="6:6" x14ac:dyDescent="0.25">
      <c r="F341"/>
    </row>
    <row r="342" spans="6:6" x14ac:dyDescent="0.25">
      <c r="F342"/>
    </row>
    <row r="343" spans="6:6" x14ac:dyDescent="0.25">
      <c r="F343"/>
    </row>
    <row r="344" spans="6:6" x14ac:dyDescent="0.25">
      <c r="F344"/>
    </row>
    <row r="345" spans="6:6" x14ac:dyDescent="0.25">
      <c r="F345"/>
    </row>
    <row r="346" spans="6:6" x14ac:dyDescent="0.25">
      <c r="F346"/>
    </row>
    <row r="347" spans="6:6" x14ac:dyDescent="0.25">
      <c r="F347"/>
    </row>
    <row r="348" spans="6:6" x14ac:dyDescent="0.25">
      <c r="F348"/>
    </row>
    <row r="349" spans="6:6" x14ac:dyDescent="0.25">
      <c r="F349"/>
    </row>
    <row r="350" spans="6:6" x14ac:dyDescent="0.25">
      <c r="F350"/>
    </row>
    <row r="351" spans="6:6" x14ac:dyDescent="0.25">
      <c r="F351"/>
    </row>
    <row r="352" spans="6:6" x14ac:dyDescent="0.25">
      <c r="F352"/>
    </row>
    <row r="353" spans="6:6" x14ac:dyDescent="0.25">
      <c r="F353"/>
    </row>
    <row r="354" spans="6:6" x14ac:dyDescent="0.25">
      <c r="F354"/>
    </row>
    <row r="355" spans="6:6" x14ac:dyDescent="0.25">
      <c r="F355"/>
    </row>
    <row r="356" spans="6:6" x14ac:dyDescent="0.25">
      <c r="F356"/>
    </row>
    <row r="357" spans="6:6" x14ac:dyDescent="0.25">
      <c r="F357"/>
    </row>
    <row r="358" spans="6:6" x14ac:dyDescent="0.25">
      <c r="F358"/>
    </row>
    <row r="359" spans="6:6" x14ac:dyDescent="0.25">
      <c r="F359"/>
    </row>
    <row r="360" spans="6:6" x14ac:dyDescent="0.25">
      <c r="F360"/>
    </row>
    <row r="361" spans="6:6" x14ac:dyDescent="0.25">
      <c r="F361"/>
    </row>
    <row r="362" spans="6:6" x14ac:dyDescent="0.25">
      <c r="F362"/>
    </row>
    <row r="363" spans="6:6" x14ac:dyDescent="0.25">
      <c r="F363"/>
    </row>
    <row r="364" spans="6:6" x14ac:dyDescent="0.25">
      <c r="F364"/>
    </row>
    <row r="365" spans="6:6" x14ac:dyDescent="0.25">
      <c r="F365"/>
    </row>
    <row r="366" spans="6:6" x14ac:dyDescent="0.25">
      <c r="F366"/>
    </row>
    <row r="367" spans="6:6" x14ac:dyDescent="0.25">
      <c r="F367"/>
    </row>
    <row r="368" spans="6:6" x14ac:dyDescent="0.25">
      <c r="F368"/>
    </row>
    <row r="369" spans="6:6" x14ac:dyDescent="0.25">
      <c r="F369"/>
    </row>
    <row r="370" spans="6:6" x14ac:dyDescent="0.25">
      <c r="F370"/>
    </row>
    <row r="371" spans="6:6" x14ac:dyDescent="0.25">
      <c r="F371"/>
    </row>
    <row r="372" spans="6:6" x14ac:dyDescent="0.25">
      <c r="F372"/>
    </row>
    <row r="373" spans="6:6" x14ac:dyDescent="0.25">
      <c r="F373"/>
    </row>
    <row r="374" spans="6:6" x14ac:dyDescent="0.25">
      <c r="F374"/>
    </row>
    <row r="375" spans="6:6" x14ac:dyDescent="0.25">
      <c r="F375"/>
    </row>
    <row r="376" spans="6:6" x14ac:dyDescent="0.25">
      <c r="F376"/>
    </row>
    <row r="377" spans="6:6" x14ac:dyDescent="0.25">
      <c r="F377"/>
    </row>
    <row r="378" spans="6:6" x14ac:dyDescent="0.25">
      <c r="F378"/>
    </row>
    <row r="379" spans="6:6" x14ac:dyDescent="0.25">
      <c r="F379"/>
    </row>
    <row r="380" spans="6:6" x14ac:dyDescent="0.25">
      <c r="F380"/>
    </row>
    <row r="381" spans="6:6" x14ac:dyDescent="0.25">
      <c r="F381"/>
    </row>
    <row r="382" spans="6:6" x14ac:dyDescent="0.25">
      <c r="F382"/>
    </row>
    <row r="383" spans="6:6" x14ac:dyDescent="0.25">
      <c r="F383"/>
    </row>
    <row r="384" spans="6:6" x14ac:dyDescent="0.25">
      <c r="F384"/>
    </row>
    <row r="385" spans="6:6" x14ac:dyDescent="0.25">
      <c r="F385"/>
    </row>
    <row r="386" spans="6:6" x14ac:dyDescent="0.25">
      <c r="F386"/>
    </row>
    <row r="387" spans="6:6" x14ac:dyDescent="0.25">
      <c r="F387"/>
    </row>
    <row r="388" spans="6:6" x14ac:dyDescent="0.25">
      <c r="F388"/>
    </row>
    <row r="389" spans="6:6" x14ac:dyDescent="0.25">
      <c r="F389"/>
    </row>
    <row r="390" spans="6:6" x14ac:dyDescent="0.25">
      <c r="F390"/>
    </row>
    <row r="391" spans="6:6" x14ac:dyDescent="0.25">
      <c r="F391"/>
    </row>
    <row r="392" spans="6:6" x14ac:dyDescent="0.25">
      <c r="F392"/>
    </row>
    <row r="393" spans="6:6" x14ac:dyDescent="0.25">
      <c r="F393"/>
    </row>
    <row r="394" spans="6:6" x14ac:dyDescent="0.25">
      <c r="F394"/>
    </row>
    <row r="395" spans="6:6" x14ac:dyDescent="0.25">
      <c r="F395"/>
    </row>
    <row r="396" spans="6:6" x14ac:dyDescent="0.25">
      <c r="F396"/>
    </row>
    <row r="397" spans="6:6" x14ac:dyDescent="0.25">
      <c r="F397"/>
    </row>
    <row r="398" spans="6:6" x14ac:dyDescent="0.25">
      <c r="F398"/>
    </row>
    <row r="399" spans="6:6" x14ac:dyDescent="0.25">
      <c r="F399"/>
    </row>
    <row r="400" spans="6:6" x14ac:dyDescent="0.25">
      <c r="F400"/>
    </row>
    <row r="401" spans="6:6" x14ac:dyDescent="0.25">
      <c r="F401"/>
    </row>
    <row r="402" spans="6:6" x14ac:dyDescent="0.25">
      <c r="F402"/>
    </row>
    <row r="403" spans="6:6" x14ac:dyDescent="0.25">
      <c r="F403"/>
    </row>
    <row r="404" spans="6:6" x14ac:dyDescent="0.25">
      <c r="F404"/>
    </row>
    <row r="405" spans="6:6" x14ac:dyDescent="0.25">
      <c r="F405"/>
    </row>
    <row r="406" spans="6:6" x14ac:dyDescent="0.25">
      <c r="F406"/>
    </row>
    <row r="407" spans="6:6" x14ac:dyDescent="0.25">
      <c r="F407"/>
    </row>
    <row r="408" spans="6:6" x14ac:dyDescent="0.25">
      <c r="F408"/>
    </row>
    <row r="409" spans="6:6" x14ac:dyDescent="0.25">
      <c r="F409"/>
    </row>
    <row r="410" spans="6:6" x14ac:dyDescent="0.25">
      <c r="F410"/>
    </row>
    <row r="411" spans="6:6" x14ac:dyDescent="0.25">
      <c r="F411"/>
    </row>
    <row r="412" spans="6:6" x14ac:dyDescent="0.25">
      <c r="F412"/>
    </row>
    <row r="413" spans="6:6" x14ac:dyDescent="0.25">
      <c r="F413"/>
    </row>
    <row r="414" spans="6:6" x14ac:dyDescent="0.25">
      <c r="F414"/>
    </row>
    <row r="415" spans="6:6" x14ac:dyDescent="0.25">
      <c r="F415"/>
    </row>
    <row r="416" spans="6:6" x14ac:dyDescent="0.25">
      <c r="F416"/>
    </row>
    <row r="417" spans="6:6" x14ac:dyDescent="0.25">
      <c r="F417"/>
    </row>
    <row r="418" spans="6:6" x14ac:dyDescent="0.25">
      <c r="F418"/>
    </row>
    <row r="419" spans="6:6" x14ac:dyDescent="0.25">
      <c r="F419"/>
    </row>
    <row r="420" spans="6:6" x14ac:dyDescent="0.25">
      <c r="F420"/>
    </row>
    <row r="421" spans="6:6" x14ac:dyDescent="0.25">
      <c r="F421"/>
    </row>
    <row r="422" spans="6:6" x14ac:dyDescent="0.25">
      <c r="F422"/>
    </row>
    <row r="423" spans="6:6" x14ac:dyDescent="0.25">
      <c r="F423"/>
    </row>
    <row r="424" spans="6:6" x14ac:dyDescent="0.25">
      <c r="F424"/>
    </row>
    <row r="425" spans="6:6" x14ac:dyDescent="0.25">
      <c r="F425"/>
    </row>
    <row r="426" spans="6:6" x14ac:dyDescent="0.25">
      <c r="F426"/>
    </row>
    <row r="427" spans="6:6" x14ac:dyDescent="0.25">
      <c r="F427"/>
    </row>
    <row r="428" spans="6:6" x14ac:dyDescent="0.25">
      <c r="F428"/>
    </row>
    <row r="429" spans="6:6" x14ac:dyDescent="0.25">
      <c r="F429"/>
    </row>
    <row r="430" spans="6:6" x14ac:dyDescent="0.25">
      <c r="F430"/>
    </row>
    <row r="431" spans="6:6" x14ac:dyDescent="0.25">
      <c r="F431"/>
    </row>
    <row r="432" spans="6:6" x14ac:dyDescent="0.25">
      <c r="F432"/>
    </row>
    <row r="433" spans="6:6" x14ac:dyDescent="0.25">
      <c r="F433"/>
    </row>
    <row r="434" spans="6:6" x14ac:dyDescent="0.25">
      <c r="F434"/>
    </row>
    <row r="435" spans="6:6" x14ac:dyDescent="0.25">
      <c r="F435"/>
    </row>
    <row r="436" spans="6:6" x14ac:dyDescent="0.25">
      <c r="F436"/>
    </row>
    <row r="437" spans="6:6" x14ac:dyDescent="0.25">
      <c r="F437"/>
    </row>
    <row r="438" spans="6:6" x14ac:dyDescent="0.25">
      <c r="F438"/>
    </row>
    <row r="439" spans="6:6" x14ac:dyDescent="0.25">
      <c r="F439"/>
    </row>
    <row r="440" spans="6:6" x14ac:dyDescent="0.25">
      <c r="F440"/>
    </row>
    <row r="441" spans="6:6" x14ac:dyDescent="0.25">
      <c r="F441"/>
    </row>
    <row r="442" spans="6:6" x14ac:dyDescent="0.25">
      <c r="F442"/>
    </row>
    <row r="443" spans="6:6" x14ac:dyDescent="0.25">
      <c r="F443"/>
    </row>
    <row r="444" spans="6:6" x14ac:dyDescent="0.25">
      <c r="F444"/>
    </row>
    <row r="445" spans="6:6" x14ac:dyDescent="0.25">
      <c r="F445"/>
    </row>
    <row r="446" spans="6:6" x14ac:dyDescent="0.25">
      <c r="F446"/>
    </row>
    <row r="447" spans="6:6" x14ac:dyDescent="0.25">
      <c r="F447"/>
    </row>
    <row r="448" spans="6:6" x14ac:dyDescent="0.25">
      <c r="F448"/>
    </row>
    <row r="449" spans="6:6" x14ac:dyDescent="0.25">
      <c r="F449"/>
    </row>
    <row r="450" spans="6:6" x14ac:dyDescent="0.25">
      <c r="F450"/>
    </row>
    <row r="451" spans="6:6" x14ac:dyDescent="0.25">
      <c r="F451"/>
    </row>
    <row r="452" spans="6:6" x14ac:dyDescent="0.25">
      <c r="F452"/>
    </row>
    <row r="453" spans="6:6" x14ac:dyDescent="0.25">
      <c r="F453"/>
    </row>
    <row r="454" spans="6:6" x14ac:dyDescent="0.25">
      <c r="F454"/>
    </row>
    <row r="455" spans="6:6" x14ac:dyDescent="0.25">
      <c r="F455"/>
    </row>
    <row r="456" spans="6:6" x14ac:dyDescent="0.25">
      <c r="F456"/>
    </row>
    <row r="457" spans="6:6" x14ac:dyDescent="0.25">
      <c r="F457"/>
    </row>
    <row r="458" spans="6:6" x14ac:dyDescent="0.25">
      <c r="F458"/>
    </row>
    <row r="459" spans="6:6" x14ac:dyDescent="0.25">
      <c r="F459"/>
    </row>
    <row r="460" spans="6:6" x14ac:dyDescent="0.25">
      <c r="F460"/>
    </row>
    <row r="461" spans="6:6" x14ac:dyDescent="0.25">
      <c r="F461"/>
    </row>
    <row r="462" spans="6:6" x14ac:dyDescent="0.25">
      <c r="F462"/>
    </row>
    <row r="463" spans="6:6" x14ac:dyDescent="0.25">
      <c r="F463"/>
    </row>
    <row r="464" spans="6:6" x14ac:dyDescent="0.25">
      <c r="F464"/>
    </row>
    <row r="465" spans="6:6" x14ac:dyDescent="0.25">
      <c r="F465"/>
    </row>
    <row r="466" spans="6:6" x14ac:dyDescent="0.25">
      <c r="F466"/>
    </row>
    <row r="467" spans="6:6" x14ac:dyDescent="0.25">
      <c r="F467"/>
    </row>
    <row r="468" spans="6:6" x14ac:dyDescent="0.25">
      <c r="F468"/>
    </row>
    <row r="469" spans="6:6" x14ac:dyDescent="0.25">
      <c r="F469"/>
    </row>
    <row r="470" spans="6:6" x14ac:dyDescent="0.25">
      <c r="F470"/>
    </row>
    <row r="471" spans="6:6" x14ac:dyDescent="0.25">
      <c r="F471"/>
    </row>
    <row r="472" spans="6:6" x14ac:dyDescent="0.25">
      <c r="F472"/>
    </row>
    <row r="473" spans="6:6" x14ac:dyDescent="0.25">
      <c r="F473"/>
    </row>
    <row r="474" spans="6:6" x14ac:dyDescent="0.25">
      <c r="F474"/>
    </row>
    <row r="475" spans="6:6" x14ac:dyDescent="0.25">
      <c r="F475"/>
    </row>
    <row r="476" spans="6:6" x14ac:dyDescent="0.25">
      <c r="F476"/>
    </row>
    <row r="477" spans="6:6" x14ac:dyDescent="0.25">
      <c r="F477"/>
    </row>
    <row r="478" spans="6:6" x14ac:dyDescent="0.25">
      <c r="F478"/>
    </row>
    <row r="479" spans="6:6" x14ac:dyDescent="0.25">
      <c r="F479"/>
    </row>
    <row r="480" spans="6:6" x14ac:dyDescent="0.25">
      <c r="F480"/>
    </row>
    <row r="481" spans="6:6" x14ac:dyDescent="0.25">
      <c r="F481"/>
    </row>
    <row r="482" spans="6:6" x14ac:dyDescent="0.25">
      <c r="F482"/>
    </row>
    <row r="483" spans="6:6" x14ac:dyDescent="0.25">
      <c r="F483"/>
    </row>
    <row r="484" spans="6:6" x14ac:dyDescent="0.25">
      <c r="F484"/>
    </row>
    <row r="485" spans="6:6" x14ac:dyDescent="0.25">
      <c r="F485"/>
    </row>
    <row r="486" spans="6:6" x14ac:dyDescent="0.25">
      <c r="F486"/>
    </row>
    <row r="487" spans="6:6" x14ac:dyDescent="0.25">
      <c r="F487"/>
    </row>
    <row r="488" spans="6:6" x14ac:dyDescent="0.25">
      <c r="F488"/>
    </row>
    <row r="489" spans="6:6" x14ac:dyDescent="0.25">
      <c r="F489"/>
    </row>
    <row r="490" spans="6:6" x14ac:dyDescent="0.25">
      <c r="F490"/>
    </row>
    <row r="491" spans="6:6" x14ac:dyDescent="0.25">
      <c r="F491"/>
    </row>
    <row r="492" spans="6:6" x14ac:dyDescent="0.25">
      <c r="F492"/>
    </row>
    <row r="493" spans="6:6" x14ac:dyDescent="0.25">
      <c r="F493"/>
    </row>
    <row r="494" spans="6:6" x14ac:dyDescent="0.25">
      <c r="F494"/>
    </row>
    <row r="495" spans="6:6" x14ac:dyDescent="0.25">
      <c r="F495"/>
    </row>
    <row r="496" spans="6:6" x14ac:dyDescent="0.25">
      <c r="F496"/>
    </row>
    <row r="497" spans="6:6" x14ac:dyDescent="0.25">
      <c r="F497"/>
    </row>
    <row r="498" spans="6:6" x14ac:dyDescent="0.25">
      <c r="F498"/>
    </row>
    <row r="499" spans="6:6" x14ac:dyDescent="0.25">
      <c r="F499"/>
    </row>
    <row r="500" spans="6:6" x14ac:dyDescent="0.25">
      <c r="F500"/>
    </row>
    <row r="501" spans="6:6" x14ac:dyDescent="0.25">
      <c r="F501"/>
    </row>
    <row r="502" spans="6:6" x14ac:dyDescent="0.25">
      <c r="F502"/>
    </row>
    <row r="503" spans="6:6" x14ac:dyDescent="0.25">
      <c r="F503"/>
    </row>
    <row r="504" spans="6:6" x14ac:dyDescent="0.25">
      <c r="F504"/>
    </row>
    <row r="505" spans="6:6" x14ac:dyDescent="0.25">
      <c r="F505"/>
    </row>
    <row r="506" spans="6:6" x14ac:dyDescent="0.25">
      <c r="F506"/>
    </row>
    <row r="507" spans="6:6" x14ac:dyDescent="0.25">
      <c r="F507"/>
    </row>
    <row r="508" spans="6:6" x14ac:dyDescent="0.25">
      <c r="F508"/>
    </row>
    <row r="509" spans="6:6" x14ac:dyDescent="0.25">
      <c r="F509"/>
    </row>
    <row r="510" spans="6:6" x14ac:dyDescent="0.25">
      <c r="F510"/>
    </row>
    <row r="511" spans="6:6" x14ac:dyDescent="0.25">
      <c r="F511"/>
    </row>
    <row r="512" spans="6:6" x14ac:dyDescent="0.25">
      <c r="F512"/>
    </row>
    <row r="513" spans="6:6" x14ac:dyDescent="0.25">
      <c r="F513"/>
    </row>
    <row r="514" spans="6:6" x14ac:dyDescent="0.25">
      <c r="F514"/>
    </row>
    <row r="515" spans="6:6" x14ac:dyDescent="0.25">
      <c r="F515"/>
    </row>
    <row r="516" spans="6:6" x14ac:dyDescent="0.25">
      <c r="F516"/>
    </row>
    <row r="517" spans="6:6" x14ac:dyDescent="0.25">
      <c r="F517"/>
    </row>
    <row r="518" spans="6:6" x14ac:dyDescent="0.25">
      <c r="F518"/>
    </row>
    <row r="519" spans="6:6" x14ac:dyDescent="0.25">
      <c r="F519"/>
    </row>
    <row r="520" spans="6:6" x14ac:dyDescent="0.25">
      <c r="F520"/>
    </row>
    <row r="521" spans="6:6" x14ac:dyDescent="0.25">
      <c r="F521"/>
    </row>
    <row r="522" spans="6:6" x14ac:dyDescent="0.25">
      <c r="F522"/>
    </row>
    <row r="523" spans="6:6" x14ac:dyDescent="0.25">
      <c r="F523"/>
    </row>
    <row r="524" spans="6:6" x14ac:dyDescent="0.25">
      <c r="F524"/>
    </row>
    <row r="525" spans="6:6" x14ac:dyDescent="0.25">
      <c r="F525"/>
    </row>
    <row r="526" spans="6:6" x14ac:dyDescent="0.25">
      <c r="F526"/>
    </row>
    <row r="527" spans="6:6" x14ac:dyDescent="0.25">
      <c r="F527"/>
    </row>
    <row r="528" spans="6:6" x14ac:dyDescent="0.25">
      <c r="F528"/>
    </row>
    <row r="529" spans="6:6" x14ac:dyDescent="0.25">
      <c r="F529"/>
    </row>
    <row r="530" spans="6:6" x14ac:dyDescent="0.25">
      <c r="F530"/>
    </row>
    <row r="531" spans="6:6" x14ac:dyDescent="0.25">
      <c r="F531"/>
    </row>
    <row r="532" spans="6:6" x14ac:dyDescent="0.25">
      <c r="F532"/>
    </row>
    <row r="533" spans="6:6" x14ac:dyDescent="0.25">
      <c r="F533"/>
    </row>
    <row r="534" spans="6:6" x14ac:dyDescent="0.25">
      <c r="F534"/>
    </row>
    <row r="535" spans="6:6" x14ac:dyDescent="0.25">
      <c r="F535"/>
    </row>
    <row r="536" spans="6:6" x14ac:dyDescent="0.25">
      <c r="F536"/>
    </row>
    <row r="537" spans="6:6" x14ac:dyDescent="0.25">
      <c r="F537"/>
    </row>
    <row r="538" spans="6:6" x14ac:dyDescent="0.25">
      <c r="F538"/>
    </row>
    <row r="539" spans="6:6" x14ac:dyDescent="0.25">
      <c r="F539"/>
    </row>
    <row r="540" spans="6:6" x14ac:dyDescent="0.25">
      <c r="F540"/>
    </row>
    <row r="541" spans="6:6" x14ac:dyDescent="0.25">
      <c r="F541"/>
    </row>
    <row r="542" spans="6:6" x14ac:dyDescent="0.25">
      <c r="F542"/>
    </row>
    <row r="543" spans="6:6" x14ac:dyDescent="0.25">
      <c r="F543"/>
    </row>
    <row r="544" spans="6:6" x14ac:dyDescent="0.25">
      <c r="F544"/>
    </row>
    <row r="545" spans="6:6" x14ac:dyDescent="0.25">
      <c r="F545"/>
    </row>
    <row r="546" spans="6:6" x14ac:dyDescent="0.25">
      <c r="F546"/>
    </row>
    <row r="547" spans="6:6" x14ac:dyDescent="0.25">
      <c r="F547"/>
    </row>
    <row r="548" spans="6:6" x14ac:dyDescent="0.25">
      <c r="F548"/>
    </row>
    <row r="549" spans="6:6" x14ac:dyDescent="0.25">
      <c r="F549"/>
    </row>
    <row r="550" spans="6:6" x14ac:dyDescent="0.25">
      <c r="F550"/>
    </row>
    <row r="551" spans="6:6" x14ac:dyDescent="0.25">
      <c r="F551"/>
    </row>
    <row r="552" spans="6:6" x14ac:dyDescent="0.25">
      <c r="F552"/>
    </row>
    <row r="553" spans="6:6" x14ac:dyDescent="0.25">
      <c r="F553"/>
    </row>
    <row r="554" spans="6:6" x14ac:dyDescent="0.25">
      <c r="F554"/>
    </row>
    <row r="555" spans="6:6" x14ac:dyDescent="0.25">
      <c r="F555"/>
    </row>
    <row r="556" spans="6:6" x14ac:dyDescent="0.25">
      <c r="F556"/>
    </row>
    <row r="557" spans="6:6" x14ac:dyDescent="0.25">
      <c r="F557"/>
    </row>
    <row r="558" spans="6:6" x14ac:dyDescent="0.25">
      <c r="F558"/>
    </row>
    <row r="559" spans="6:6" x14ac:dyDescent="0.25">
      <c r="F559"/>
    </row>
    <row r="560" spans="6:6" x14ac:dyDescent="0.25">
      <c r="F560"/>
    </row>
    <row r="561" spans="6:6" x14ac:dyDescent="0.25">
      <c r="F561"/>
    </row>
    <row r="562" spans="6:6" x14ac:dyDescent="0.25">
      <c r="F562"/>
    </row>
    <row r="563" spans="6:6" x14ac:dyDescent="0.25">
      <c r="F563"/>
    </row>
    <row r="564" spans="6:6" x14ac:dyDescent="0.25">
      <c r="F564"/>
    </row>
    <row r="565" spans="6:6" x14ac:dyDescent="0.25">
      <c r="F565"/>
    </row>
    <row r="566" spans="6:6" x14ac:dyDescent="0.25">
      <c r="F566"/>
    </row>
    <row r="567" spans="6:6" x14ac:dyDescent="0.25">
      <c r="F567"/>
    </row>
    <row r="568" spans="6:6" x14ac:dyDescent="0.25">
      <c r="F568"/>
    </row>
    <row r="569" spans="6:6" x14ac:dyDescent="0.25">
      <c r="F569"/>
    </row>
    <row r="570" spans="6:6" x14ac:dyDescent="0.25">
      <c r="F570"/>
    </row>
    <row r="571" spans="6:6" x14ac:dyDescent="0.25">
      <c r="F571"/>
    </row>
    <row r="572" spans="6:6" x14ac:dyDescent="0.25">
      <c r="F572"/>
    </row>
    <row r="573" spans="6:6" x14ac:dyDescent="0.25">
      <c r="F573"/>
    </row>
    <row r="574" spans="6:6" x14ac:dyDescent="0.25">
      <c r="F574"/>
    </row>
    <row r="575" spans="6:6" x14ac:dyDescent="0.25">
      <c r="F575"/>
    </row>
    <row r="576" spans="6:6" x14ac:dyDescent="0.25">
      <c r="F576"/>
    </row>
    <row r="577" spans="6:6" x14ac:dyDescent="0.25">
      <c r="F577"/>
    </row>
    <row r="578" spans="6:6" x14ac:dyDescent="0.25">
      <c r="F578"/>
    </row>
    <row r="579" spans="6:6" x14ac:dyDescent="0.25">
      <c r="F579"/>
    </row>
    <row r="580" spans="6:6" x14ac:dyDescent="0.25">
      <c r="F580"/>
    </row>
    <row r="581" spans="6:6" x14ac:dyDescent="0.25">
      <c r="F581"/>
    </row>
    <row r="582" spans="6:6" x14ac:dyDescent="0.25">
      <c r="F582"/>
    </row>
    <row r="583" spans="6:6" x14ac:dyDescent="0.25">
      <c r="F583"/>
    </row>
    <row r="584" spans="6:6" x14ac:dyDescent="0.25">
      <c r="F584"/>
    </row>
    <row r="585" spans="6:6" x14ac:dyDescent="0.25">
      <c r="F585"/>
    </row>
    <row r="586" spans="6:6" x14ac:dyDescent="0.25">
      <c r="F586"/>
    </row>
    <row r="587" spans="6:6" x14ac:dyDescent="0.25">
      <c r="F587"/>
    </row>
    <row r="588" spans="6:6" x14ac:dyDescent="0.25">
      <c r="F588"/>
    </row>
    <row r="589" spans="6:6" x14ac:dyDescent="0.25">
      <c r="F589"/>
    </row>
    <row r="590" spans="6:6" x14ac:dyDescent="0.25">
      <c r="F590"/>
    </row>
    <row r="591" spans="6:6" x14ac:dyDescent="0.25">
      <c r="F591"/>
    </row>
    <row r="592" spans="6:6" x14ac:dyDescent="0.25">
      <c r="F592"/>
    </row>
    <row r="593" spans="6:6" x14ac:dyDescent="0.25">
      <c r="F593"/>
    </row>
    <row r="594" spans="6:6" x14ac:dyDescent="0.25">
      <c r="F594"/>
    </row>
    <row r="595" spans="6:6" x14ac:dyDescent="0.25">
      <c r="F595"/>
    </row>
    <row r="596" spans="6:6" x14ac:dyDescent="0.25">
      <c r="F596"/>
    </row>
    <row r="597" spans="6:6" x14ac:dyDescent="0.25">
      <c r="F597"/>
    </row>
    <row r="598" spans="6:6" x14ac:dyDescent="0.25">
      <c r="F598"/>
    </row>
    <row r="599" spans="6:6" x14ac:dyDescent="0.25">
      <c r="F599"/>
    </row>
    <row r="600" spans="6:6" x14ac:dyDescent="0.25">
      <c r="F600"/>
    </row>
    <row r="601" spans="6:6" x14ac:dyDescent="0.25">
      <c r="F601"/>
    </row>
    <row r="602" spans="6:6" x14ac:dyDescent="0.25">
      <c r="F602"/>
    </row>
    <row r="603" spans="6:6" x14ac:dyDescent="0.25">
      <c r="F603"/>
    </row>
    <row r="604" spans="6:6" x14ac:dyDescent="0.25">
      <c r="F604"/>
    </row>
    <row r="605" spans="6:6" x14ac:dyDescent="0.25">
      <c r="F605"/>
    </row>
    <row r="606" spans="6:6" x14ac:dyDescent="0.25">
      <c r="F606"/>
    </row>
    <row r="607" spans="6:6" x14ac:dyDescent="0.25">
      <c r="F607"/>
    </row>
    <row r="608" spans="6:6" x14ac:dyDescent="0.25">
      <c r="F608"/>
    </row>
    <row r="609" spans="6:6" x14ac:dyDescent="0.25">
      <c r="F609"/>
    </row>
    <row r="610" spans="6:6" x14ac:dyDescent="0.25">
      <c r="F610"/>
    </row>
    <row r="611" spans="6:6" x14ac:dyDescent="0.25">
      <c r="F611"/>
    </row>
    <row r="612" spans="6:6" x14ac:dyDescent="0.25">
      <c r="F612"/>
    </row>
    <row r="613" spans="6:6" x14ac:dyDescent="0.25">
      <c r="F613"/>
    </row>
    <row r="614" spans="6:6" x14ac:dyDescent="0.25">
      <c r="F614"/>
    </row>
    <row r="615" spans="6:6" x14ac:dyDescent="0.25">
      <c r="F615"/>
    </row>
    <row r="616" spans="6:6" x14ac:dyDescent="0.25">
      <c r="F616"/>
    </row>
    <row r="617" spans="6:6" x14ac:dyDescent="0.25">
      <c r="F617"/>
    </row>
    <row r="618" spans="6:6" x14ac:dyDescent="0.25">
      <c r="F618"/>
    </row>
    <row r="619" spans="6:6" x14ac:dyDescent="0.25">
      <c r="F619"/>
    </row>
    <row r="620" spans="6:6" x14ac:dyDescent="0.25">
      <c r="F620"/>
    </row>
    <row r="621" spans="6:6" x14ac:dyDescent="0.25">
      <c r="F621"/>
    </row>
    <row r="622" spans="6:6" x14ac:dyDescent="0.25">
      <c r="F622"/>
    </row>
    <row r="623" spans="6:6" x14ac:dyDescent="0.25">
      <c r="F623"/>
    </row>
    <row r="624" spans="6:6" x14ac:dyDescent="0.25">
      <c r="F624"/>
    </row>
    <row r="625" spans="6:6" x14ac:dyDescent="0.25">
      <c r="F625"/>
    </row>
    <row r="626" spans="6:6" x14ac:dyDescent="0.25">
      <c r="F626"/>
    </row>
    <row r="627" spans="6:6" x14ac:dyDescent="0.25">
      <c r="F627"/>
    </row>
    <row r="628" spans="6:6" x14ac:dyDescent="0.25">
      <c r="F628"/>
    </row>
    <row r="629" spans="6:6" x14ac:dyDescent="0.25">
      <c r="F629"/>
    </row>
    <row r="630" spans="6:6" x14ac:dyDescent="0.25">
      <c r="F630"/>
    </row>
    <row r="631" spans="6:6" x14ac:dyDescent="0.25">
      <c r="F631"/>
    </row>
    <row r="632" spans="6:6" x14ac:dyDescent="0.25">
      <c r="F632"/>
    </row>
    <row r="633" spans="6:6" x14ac:dyDescent="0.25">
      <c r="F633"/>
    </row>
    <row r="634" spans="6:6" x14ac:dyDescent="0.25">
      <c r="F634"/>
    </row>
    <row r="635" spans="6:6" x14ac:dyDescent="0.25">
      <c r="F635"/>
    </row>
    <row r="636" spans="6:6" x14ac:dyDescent="0.25">
      <c r="F636"/>
    </row>
    <row r="637" spans="6:6" x14ac:dyDescent="0.25">
      <c r="F637"/>
    </row>
    <row r="638" spans="6:6" x14ac:dyDescent="0.25">
      <c r="F638"/>
    </row>
    <row r="639" spans="6:6" x14ac:dyDescent="0.25">
      <c r="F639"/>
    </row>
    <row r="640" spans="6:6" x14ac:dyDescent="0.25">
      <c r="F640"/>
    </row>
    <row r="641" spans="6:6" x14ac:dyDescent="0.25">
      <c r="F641"/>
    </row>
    <row r="642" spans="6:6" x14ac:dyDescent="0.25">
      <c r="F642"/>
    </row>
    <row r="643" spans="6:6" x14ac:dyDescent="0.25">
      <c r="F643"/>
    </row>
    <row r="644" spans="6:6" x14ac:dyDescent="0.25">
      <c r="F644"/>
    </row>
    <row r="645" spans="6:6" x14ac:dyDescent="0.25">
      <c r="F645"/>
    </row>
    <row r="646" spans="6:6" x14ac:dyDescent="0.25">
      <c r="F646"/>
    </row>
    <row r="647" spans="6:6" x14ac:dyDescent="0.25">
      <c r="F647"/>
    </row>
    <row r="648" spans="6:6" x14ac:dyDescent="0.25">
      <c r="F648"/>
    </row>
    <row r="649" spans="6:6" x14ac:dyDescent="0.25">
      <c r="F649"/>
    </row>
    <row r="650" spans="6:6" x14ac:dyDescent="0.25">
      <c r="F650"/>
    </row>
    <row r="651" spans="6:6" x14ac:dyDescent="0.25">
      <c r="F651"/>
    </row>
    <row r="652" spans="6:6" x14ac:dyDescent="0.25">
      <c r="F652"/>
    </row>
    <row r="653" spans="6:6" x14ac:dyDescent="0.25">
      <c r="F653"/>
    </row>
    <row r="654" spans="6:6" x14ac:dyDescent="0.25">
      <c r="F654"/>
    </row>
    <row r="655" spans="6:6" x14ac:dyDescent="0.25">
      <c r="F655"/>
    </row>
    <row r="656" spans="6:6" x14ac:dyDescent="0.25">
      <c r="F656"/>
    </row>
    <row r="657" spans="6:6" x14ac:dyDescent="0.25">
      <c r="F657"/>
    </row>
    <row r="658" spans="6:6" x14ac:dyDescent="0.25">
      <c r="F658"/>
    </row>
    <row r="659" spans="6:6" x14ac:dyDescent="0.25">
      <c r="F659"/>
    </row>
    <row r="660" spans="6:6" x14ac:dyDescent="0.25">
      <c r="F660"/>
    </row>
    <row r="661" spans="6:6" x14ac:dyDescent="0.25">
      <c r="F661"/>
    </row>
    <row r="662" spans="6:6" x14ac:dyDescent="0.25">
      <c r="F662"/>
    </row>
    <row r="663" spans="6:6" x14ac:dyDescent="0.25">
      <c r="F663"/>
    </row>
    <row r="664" spans="6:6" x14ac:dyDescent="0.25">
      <c r="F664"/>
    </row>
    <row r="665" spans="6:6" x14ac:dyDescent="0.25">
      <c r="F665"/>
    </row>
    <row r="666" spans="6:6" x14ac:dyDescent="0.25">
      <c r="F666"/>
    </row>
    <row r="667" spans="6:6" x14ac:dyDescent="0.25">
      <c r="F667"/>
    </row>
    <row r="668" spans="6:6" x14ac:dyDescent="0.25">
      <c r="F668"/>
    </row>
    <row r="669" spans="6:6" x14ac:dyDescent="0.25">
      <c r="F669"/>
    </row>
    <row r="670" spans="6:6" x14ac:dyDescent="0.25">
      <c r="F670"/>
    </row>
    <row r="671" spans="6:6" x14ac:dyDescent="0.25">
      <c r="F671"/>
    </row>
    <row r="672" spans="6:6" x14ac:dyDescent="0.25">
      <c r="F672"/>
    </row>
    <row r="673" spans="6:6" x14ac:dyDescent="0.25">
      <c r="F673"/>
    </row>
    <row r="674" spans="6:6" x14ac:dyDescent="0.25">
      <c r="F674"/>
    </row>
    <row r="675" spans="6:6" x14ac:dyDescent="0.25">
      <c r="F675"/>
    </row>
    <row r="676" spans="6:6" x14ac:dyDescent="0.25">
      <c r="F676"/>
    </row>
    <row r="677" spans="6:6" x14ac:dyDescent="0.25">
      <c r="F677"/>
    </row>
    <row r="678" spans="6:6" x14ac:dyDescent="0.25">
      <c r="F678"/>
    </row>
    <row r="679" spans="6:6" x14ac:dyDescent="0.25">
      <c r="F679"/>
    </row>
    <row r="680" spans="6:6" x14ac:dyDescent="0.25">
      <c r="F680"/>
    </row>
    <row r="681" spans="6:6" x14ac:dyDescent="0.25">
      <c r="F681"/>
    </row>
    <row r="682" spans="6:6" x14ac:dyDescent="0.25">
      <c r="F682"/>
    </row>
    <row r="683" spans="6:6" x14ac:dyDescent="0.25">
      <c r="F683"/>
    </row>
    <row r="684" spans="6:6" x14ac:dyDescent="0.25">
      <c r="F684"/>
    </row>
    <row r="685" spans="6:6" x14ac:dyDescent="0.25">
      <c r="F685"/>
    </row>
    <row r="686" spans="6:6" x14ac:dyDescent="0.25">
      <c r="F686"/>
    </row>
    <row r="687" spans="6:6" x14ac:dyDescent="0.25">
      <c r="F687"/>
    </row>
    <row r="688" spans="6:6" x14ac:dyDescent="0.25">
      <c r="F688"/>
    </row>
    <row r="689" spans="6:6" x14ac:dyDescent="0.25">
      <c r="F689"/>
    </row>
    <row r="690" spans="6:6" x14ac:dyDescent="0.25">
      <c r="F690"/>
    </row>
    <row r="691" spans="6:6" x14ac:dyDescent="0.25">
      <c r="F691"/>
    </row>
    <row r="692" spans="6:6" x14ac:dyDescent="0.25">
      <c r="F692"/>
    </row>
    <row r="693" spans="6:6" x14ac:dyDescent="0.25">
      <c r="F693"/>
    </row>
    <row r="694" spans="6:6" x14ac:dyDescent="0.25">
      <c r="F694"/>
    </row>
    <row r="695" spans="6:6" x14ac:dyDescent="0.25">
      <c r="F695"/>
    </row>
    <row r="696" spans="6:6" x14ac:dyDescent="0.25">
      <c r="F696"/>
    </row>
    <row r="697" spans="6:6" x14ac:dyDescent="0.25">
      <c r="F697"/>
    </row>
    <row r="698" spans="6:6" x14ac:dyDescent="0.25">
      <c r="F698"/>
    </row>
    <row r="699" spans="6:6" x14ac:dyDescent="0.25">
      <c r="F699"/>
    </row>
    <row r="700" spans="6:6" x14ac:dyDescent="0.25">
      <c r="F700"/>
    </row>
    <row r="701" spans="6:6" x14ac:dyDescent="0.25">
      <c r="F701"/>
    </row>
    <row r="702" spans="6:6" x14ac:dyDescent="0.25">
      <c r="F702"/>
    </row>
    <row r="703" spans="6:6" x14ac:dyDescent="0.25">
      <c r="F703"/>
    </row>
    <row r="704" spans="6:6" x14ac:dyDescent="0.25">
      <c r="F704"/>
    </row>
    <row r="705" spans="6:6" x14ac:dyDescent="0.25">
      <c r="F705"/>
    </row>
    <row r="706" spans="6:6" x14ac:dyDescent="0.25">
      <c r="F706"/>
    </row>
    <row r="707" spans="6:6" x14ac:dyDescent="0.25">
      <c r="F707"/>
    </row>
    <row r="708" spans="6:6" x14ac:dyDescent="0.25">
      <c r="F708"/>
    </row>
    <row r="709" spans="6:6" x14ac:dyDescent="0.25">
      <c r="F709"/>
    </row>
    <row r="710" spans="6:6" x14ac:dyDescent="0.25">
      <c r="F710"/>
    </row>
    <row r="711" spans="6:6" x14ac:dyDescent="0.25">
      <c r="F711"/>
    </row>
    <row r="712" spans="6:6" x14ac:dyDescent="0.25">
      <c r="F712"/>
    </row>
    <row r="713" spans="6:6" x14ac:dyDescent="0.25">
      <c r="F713"/>
    </row>
    <row r="714" spans="6:6" x14ac:dyDescent="0.25">
      <c r="F714"/>
    </row>
    <row r="715" spans="6:6" x14ac:dyDescent="0.25">
      <c r="F715"/>
    </row>
    <row r="716" spans="6:6" x14ac:dyDescent="0.25">
      <c r="F716"/>
    </row>
    <row r="717" spans="6:6" x14ac:dyDescent="0.25">
      <c r="F717"/>
    </row>
    <row r="718" spans="6:6" x14ac:dyDescent="0.25">
      <c r="F718"/>
    </row>
    <row r="719" spans="6:6" x14ac:dyDescent="0.25">
      <c r="F719"/>
    </row>
    <row r="720" spans="6:6" x14ac:dyDescent="0.25">
      <c r="F720"/>
    </row>
    <row r="721" spans="6:6" x14ac:dyDescent="0.25">
      <c r="F721"/>
    </row>
    <row r="722" spans="6:6" x14ac:dyDescent="0.25">
      <c r="F722"/>
    </row>
    <row r="723" spans="6:6" x14ac:dyDescent="0.25">
      <c r="F723"/>
    </row>
    <row r="724" spans="6:6" x14ac:dyDescent="0.25">
      <c r="F724"/>
    </row>
    <row r="725" spans="6:6" x14ac:dyDescent="0.25">
      <c r="F725"/>
    </row>
    <row r="726" spans="6:6" x14ac:dyDescent="0.25">
      <c r="F726"/>
    </row>
    <row r="727" spans="6:6" x14ac:dyDescent="0.25">
      <c r="F727"/>
    </row>
    <row r="728" spans="6:6" x14ac:dyDescent="0.25">
      <c r="F728"/>
    </row>
    <row r="729" spans="6:6" x14ac:dyDescent="0.25">
      <c r="F729"/>
    </row>
    <row r="730" spans="6:6" x14ac:dyDescent="0.25">
      <c r="F730"/>
    </row>
    <row r="731" spans="6:6" x14ac:dyDescent="0.25">
      <c r="F731"/>
    </row>
    <row r="732" spans="6:6" x14ac:dyDescent="0.25">
      <c r="F732"/>
    </row>
    <row r="733" spans="6:6" x14ac:dyDescent="0.25">
      <c r="F733"/>
    </row>
    <row r="734" spans="6:6" x14ac:dyDescent="0.25">
      <c r="F734"/>
    </row>
    <row r="735" spans="6:6" x14ac:dyDescent="0.25">
      <c r="F735"/>
    </row>
    <row r="736" spans="6:6" x14ac:dyDescent="0.25">
      <c r="F736"/>
    </row>
    <row r="737" spans="6:6" x14ac:dyDescent="0.25">
      <c r="F737"/>
    </row>
    <row r="738" spans="6:6" x14ac:dyDescent="0.25">
      <c r="F738"/>
    </row>
    <row r="739" spans="6:6" x14ac:dyDescent="0.25">
      <c r="F739"/>
    </row>
    <row r="740" spans="6:6" x14ac:dyDescent="0.25">
      <c r="F740"/>
    </row>
    <row r="741" spans="6:6" x14ac:dyDescent="0.25">
      <c r="F741"/>
    </row>
    <row r="742" spans="6:6" x14ac:dyDescent="0.25">
      <c r="F742"/>
    </row>
    <row r="743" spans="6:6" x14ac:dyDescent="0.25">
      <c r="F743"/>
    </row>
    <row r="744" spans="6:6" x14ac:dyDescent="0.25">
      <c r="F744"/>
    </row>
    <row r="745" spans="6:6" x14ac:dyDescent="0.25">
      <c r="F745"/>
    </row>
    <row r="746" spans="6:6" x14ac:dyDescent="0.25">
      <c r="F746"/>
    </row>
    <row r="747" spans="6:6" x14ac:dyDescent="0.25">
      <c r="F747"/>
    </row>
    <row r="748" spans="6:6" x14ac:dyDescent="0.25">
      <c r="F748"/>
    </row>
    <row r="749" spans="6:6" x14ac:dyDescent="0.25">
      <c r="F749"/>
    </row>
    <row r="750" spans="6:6" x14ac:dyDescent="0.25">
      <c r="F750"/>
    </row>
    <row r="751" spans="6:6" x14ac:dyDescent="0.25">
      <c r="F751"/>
    </row>
    <row r="752" spans="6:6" x14ac:dyDescent="0.25">
      <c r="F752"/>
    </row>
    <row r="753" spans="6:6" x14ac:dyDescent="0.25">
      <c r="F753"/>
    </row>
    <row r="754" spans="6:6" x14ac:dyDescent="0.25">
      <c r="F754"/>
    </row>
    <row r="755" spans="6:6" x14ac:dyDescent="0.25">
      <c r="F755"/>
    </row>
    <row r="756" spans="6:6" x14ac:dyDescent="0.25">
      <c r="F756"/>
    </row>
    <row r="757" spans="6:6" x14ac:dyDescent="0.25">
      <c r="F757"/>
    </row>
    <row r="758" spans="6:6" x14ac:dyDescent="0.25">
      <c r="F758"/>
    </row>
    <row r="759" spans="6:6" x14ac:dyDescent="0.25">
      <c r="F759"/>
    </row>
    <row r="760" spans="6:6" x14ac:dyDescent="0.25">
      <c r="F760"/>
    </row>
    <row r="761" spans="6:6" x14ac:dyDescent="0.25">
      <c r="F761"/>
    </row>
    <row r="762" spans="6:6" x14ac:dyDescent="0.25">
      <c r="F762"/>
    </row>
    <row r="763" spans="6:6" x14ac:dyDescent="0.25">
      <c r="F763"/>
    </row>
    <row r="764" spans="6:6" x14ac:dyDescent="0.25">
      <c r="F764"/>
    </row>
    <row r="765" spans="6:6" x14ac:dyDescent="0.25">
      <c r="F765"/>
    </row>
    <row r="766" spans="6:6" x14ac:dyDescent="0.25">
      <c r="F766"/>
    </row>
    <row r="767" spans="6:6" x14ac:dyDescent="0.25">
      <c r="F767"/>
    </row>
    <row r="768" spans="6:6" x14ac:dyDescent="0.25">
      <c r="F768"/>
    </row>
    <row r="769" spans="6:6" x14ac:dyDescent="0.25">
      <c r="F769"/>
    </row>
    <row r="770" spans="6:6" x14ac:dyDescent="0.25">
      <c r="F770"/>
    </row>
    <row r="771" spans="6:6" x14ac:dyDescent="0.25">
      <c r="F771"/>
    </row>
    <row r="772" spans="6:6" x14ac:dyDescent="0.25">
      <c r="F772"/>
    </row>
    <row r="773" spans="6:6" x14ac:dyDescent="0.25">
      <c r="F773"/>
    </row>
    <row r="774" spans="6:6" x14ac:dyDescent="0.25">
      <c r="F774"/>
    </row>
    <row r="775" spans="6:6" x14ac:dyDescent="0.25">
      <c r="F775"/>
    </row>
    <row r="776" spans="6:6" x14ac:dyDescent="0.25">
      <c r="F776"/>
    </row>
    <row r="777" spans="6:6" x14ac:dyDescent="0.25">
      <c r="F777"/>
    </row>
    <row r="778" spans="6:6" x14ac:dyDescent="0.25">
      <c r="F778"/>
    </row>
    <row r="779" spans="6:6" x14ac:dyDescent="0.25">
      <c r="F779"/>
    </row>
    <row r="780" spans="6:6" x14ac:dyDescent="0.25">
      <c r="F780"/>
    </row>
    <row r="781" spans="6:6" x14ac:dyDescent="0.25">
      <c r="F781"/>
    </row>
    <row r="782" spans="6:6" x14ac:dyDescent="0.25">
      <c r="F782"/>
    </row>
    <row r="783" spans="6:6" x14ac:dyDescent="0.25">
      <c r="F783"/>
    </row>
    <row r="784" spans="6:6" x14ac:dyDescent="0.25">
      <c r="F784"/>
    </row>
    <row r="785" spans="6:6" x14ac:dyDescent="0.25">
      <c r="F785"/>
    </row>
    <row r="786" spans="6:6" x14ac:dyDescent="0.25">
      <c r="F786"/>
    </row>
    <row r="787" spans="6:6" x14ac:dyDescent="0.25">
      <c r="F787"/>
    </row>
    <row r="788" spans="6:6" x14ac:dyDescent="0.25">
      <c r="F788"/>
    </row>
    <row r="789" spans="6:6" x14ac:dyDescent="0.25">
      <c r="F789"/>
    </row>
    <row r="790" spans="6:6" x14ac:dyDescent="0.25">
      <c r="F790"/>
    </row>
    <row r="791" spans="6:6" x14ac:dyDescent="0.25">
      <c r="F791"/>
    </row>
    <row r="792" spans="6:6" x14ac:dyDescent="0.25">
      <c r="F792"/>
    </row>
    <row r="793" spans="6:6" x14ac:dyDescent="0.25">
      <c r="F793"/>
    </row>
    <row r="794" spans="6:6" x14ac:dyDescent="0.25">
      <c r="F794"/>
    </row>
    <row r="795" spans="6:6" x14ac:dyDescent="0.25">
      <c r="F795"/>
    </row>
    <row r="796" spans="6:6" x14ac:dyDescent="0.25">
      <c r="F796"/>
    </row>
    <row r="797" spans="6:6" x14ac:dyDescent="0.25">
      <c r="F797"/>
    </row>
    <row r="798" spans="6:6" x14ac:dyDescent="0.25">
      <c r="F798"/>
    </row>
    <row r="799" spans="6:6" x14ac:dyDescent="0.25">
      <c r="F799"/>
    </row>
    <row r="800" spans="6:6" x14ac:dyDescent="0.25">
      <c r="F800"/>
    </row>
    <row r="801" spans="6:6" x14ac:dyDescent="0.25">
      <c r="F801"/>
    </row>
    <row r="802" spans="6:6" x14ac:dyDescent="0.25">
      <c r="F802"/>
    </row>
    <row r="803" spans="6:6" x14ac:dyDescent="0.25">
      <c r="F803"/>
    </row>
    <row r="804" spans="6:6" x14ac:dyDescent="0.25">
      <c r="F804"/>
    </row>
    <row r="805" spans="6:6" x14ac:dyDescent="0.25">
      <c r="F805"/>
    </row>
    <row r="806" spans="6:6" x14ac:dyDescent="0.25">
      <c r="F806"/>
    </row>
    <row r="807" spans="6:6" x14ac:dyDescent="0.25">
      <c r="F807"/>
    </row>
    <row r="808" spans="6:6" x14ac:dyDescent="0.25">
      <c r="F808"/>
    </row>
    <row r="809" spans="6:6" x14ac:dyDescent="0.25">
      <c r="F809"/>
    </row>
    <row r="810" spans="6:6" x14ac:dyDescent="0.25">
      <c r="F810"/>
    </row>
    <row r="811" spans="6:6" x14ac:dyDescent="0.25">
      <c r="F811"/>
    </row>
    <row r="812" spans="6:6" x14ac:dyDescent="0.25">
      <c r="F812"/>
    </row>
    <row r="813" spans="6:6" x14ac:dyDescent="0.25">
      <c r="F813"/>
    </row>
    <row r="814" spans="6:6" x14ac:dyDescent="0.25">
      <c r="F814"/>
    </row>
    <row r="815" spans="6:6" x14ac:dyDescent="0.25">
      <c r="F815"/>
    </row>
    <row r="816" spans="6:6" x14ac:dyDescent="0.25">
      <c r="F816"/>
    </row>
    <row r="817" spans="6:6" x14ac:dyDescent="0.25">
      <c r="F817"/>
    </row>
    <row r="818" spans="6:6" x14ac:dyDescent="0.25">
      <c r="F818"/>
    </row>
    <row r="819" spans="6:6" x14ac:dyDescent="0.25">
      <c r="F819"/>
    </row>
    <row r="820" spans="6:6" x14ac:dyDescent="0.25">
      <c r="F820"/>
    </row>
    <row r="821" spans="6:6" x14ac:dyDescent="0.25">
      <c r="F821"/>
    </row>
    <row r="822" spans="6:6" x14ac:dyDescent="0.25">
      <c r="F822"/>
    </row>
    <row r="823" spans="6:6" x14ac:dyDescent="0.25">
      <c r="F823"/>
    </row>
    <row r="824" spans="6:6" x14ac:dyDescent="0.25">
      <c r="F824"/>
    </row>
    <row r="825" spans="6:6" x14ac:dyDescent="0.25">
      <c r="F825"/>
    </row>
    <row r="826" spans="6:6" x14ac:dyDescent="0.25">
      <c r="F826"/>
    </row>
    <row r="827" spans="6:6" x14ac:dyDescent="0.25">
      <c r="F827"/>
    </row>
    <row r="828" spans="6:6" x14ac:dyDescent="0.25">
      <c r="F828"/>
    </row>
    <row r="829" spans="6:6" x14ac:dyDescent="0.25">
      <c r="F829"/>
    </row>
    <row r="830" spans="6:6" x14ac:dyDescent="0.25">
      <c r="F830"/>
    </row>
    <row r="831" spans="6:6" x14ac:dyDescent="0.25">
      <c r="F831"/>
    </row>
    <row r="832" spans="6:6" x14ac:dyDescent="0.25">
      <c r="F832"/>
    </row>
    <row r="833" spans="6:6" x14ac:dyDescent="0.25">
      <c r="F833"/>
    </row>
    <row r="834" spans="6:6" x14ac:dyDescent="0.25">
      <c r="F834"/>
    </row>
    <row r="835" spans="6:6" x14ac:dyDescent="0.25">
      <c r="F835"/>
    </row>
  </sheetData>
  <sortState xmlns:xlrd2="http://schemas.microsoft.com/office/spreadsheetml/2017/richdata2" ref="H95:J125">
    <sortCondition ref="I95:I125"/>
  </sortState>
  <mergeCells count="53">
    <mergeCell ref="A171:B171"/>
    <mergeCell ref="G171:H171"/>
    <mergeCell ref="D173:E173"/>
    <mergeCell ref="D176:E176"/>
    <mergeCell ref="A135:E135"/>
    <mergeCell ref="G135:K135"/>
    <mergeCell ref="A136:E136"/>
    <mergeCell ref="G136:K136"/>
    <mergeCell ref="A137:E137"/>
    <mergeCell ref="G137:K137"/>
    <mergeCell ref="D172:E172"/>
    <mergeCell ref="A127:B127"/>
    <mergeCell ref="G127:H127"/>
    <mergeCell ref="D129:E129"/>
    <mergeCell ref="J129:K129"/>
    <mergeCell ref="D132:E132"/>
    <mergeCell ref="J132:K132"/>
    <mergeCell ref="J128:K128"/>
    <mergeCell ref="D128:E128"/>
    <mergeCell ref="A90:E90"/>
    <mergeCell ref="G90:K90"/>
    <mergeCell ref="A91:E91"/>
    <mergeCell ref="G91:K91"/>
    <mergeCell ref="A92:E92"/>
    <mergeCell ref="G92:K92"/>
    <mergeCell ref="A82:B82"/>
    <mergeCell ref="G82:H82"/>
    <mergeCell ref="D84:E84"/>
    <mergeCell ref="J84:K84"/>
    <mergeCell ref="D87:E87"/>
    <mergeCell ref="J87:K87"/>
    <mergeCell ref="J83:K83"/>
    <mergeCell ref="D83:E83"/>
    <mergeCell ref="A45:E45"/>
    <mergeCell ref="G45:K45"/>
    <mergeCell ref="A46:E46"/>
    <mergeCell ref="G46:K46"/>
    <mergeCell ref="A47:E47"/>
    <mergeCell ref="G47:K47"/>
    <mergeCell ref="A37:B37"/>
    <mergeCell ref="G37:H37"/>
    <mergeCell ref="D39:E39"/>
    <mergeCell ref="J39:K39"/>
    <mergeCell ref="D42:E42"/>
    <mergeCell ref="J42:K42"/>
    <mergeCell ref="J38:K38"/>
    <mergeCell ref="D38:E38"/>
    <mergeCell ref="A1:E1"/>
    <mergeCell ref="G1:K1"/>
    <mergeCell ref="A2:E2"/>
    <mergeCell ref="G2:K2"/>
    <mergeCell ref="A3:E3"/>
    <mergeCell ref="G3:K3"/>
  </mergeCells>
  <dataValidations count="1">
    <dataValidation type="list" allowBlank="1" showInputMessage="1" showErrorMessage="1" errorTitle="Kesalahan Pengisian" error="Isikan dengan kode :_x000a_L : Laki-laki_x000a_P : Perempuan" promptTitle="Petunjuk Pengisian" prompt="Isi dengan Jenis Kelamin siswa. Isikan dengan kode :_x000a_L : Laki-laki_x000a_P : Perempuan" sqref="J5:J30 J59:J60 J50 J159:J164 D142:D144 D17:D21 J140:J157 D24:D30 D96:D119 D121 D140 D157:D162 D146:D155 D50:D73 D5:D15" xr:uid="{00000000-0002-0000-0200-000000000000}">
      <formula1>"L, P"</formula1>
    </dataValidation>
  </dataValidations>
  <pageMargins left="1.1023622047244095" right="0.31496062992125984" top="0.23622047244094491" bottom="0.23622047244094491" header="0.31496062992125984" footer="0.31496062992125984"/>
  <pageSetup paperSize="14" scale="80" orientation="landscape" horizont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I235"/>
  <sheetViews>
    <sheetView topLeftCell="A146" workbookViewId="0">
      <selection activeCell="E155" sqref="E155:E175"/>
    </sheetView>
  </sheetViews>
  <sheetFormatPr defaultRowHeight="15" x14ac:dyDescent="0.25"/>
  <cols>
    <col min="3" max="3" width="15.42578125" customWidth="1"/>
    <col min="5" max="5" width="25.7109375" customWidth="1"/>
  </cols>
  <sheetData>
    <row r="3" spans="2:9" x14ac:dyDescent="0.25">
      <c r="B3" s="1">
        <v>1</v>
      </c>
      <c r="C3" s="81" t="s">
        <v>2598</v>
      </c>
      <c r="D3" s="81" t="s">
        <v>49</v>
      </c>
      <c r="E3" s="92" t="str">
        <f>C3&amp;""&amp;D3</f>
        <v>121135190007260010</v>
      </c>
      <c r="F3" s="1">
        <v>1</v>
      </c>
      <c r="I3">
        <v>1</v>
      </c>
    </row>
    <row r="4" spans="2:9" x14ac:dyDescent="0.25">
      <c r="B4" s="1">
        <v>2</v>
      </c>
      <c r="C4" s="81" t="s">
        <v>2598</v>
      </c>
      <c r="D4" s="81" t="s">
        <v>50</v>
      </c>
      <c r="E4" s="92" t="str">
        <f t="shared" ref="E4:E67" si="0">C4&amp;""&amp;D4</f>
        <v>121135190007260011</v>
      </c>
      <c r="F4" s="1">
        <v>2</v>
      </c>
      <c r="I4">
        <v>2</v>
      </c>
    </row>
    <row r="5" spans="2:9" x14ac:dyDescent="0.25">
      <c r="B5" s="1">
        <v>3</v>
      </c>
      <c r="C5" s="81" t="s">
        <v>2598</v>
      </c>
      <c r="D5" s="81" t="s">
        <v>51</v>
      </c>
      <c r="E5" s="92" t="str">
        <f t="shared" si="0"/>
        <v>121135190007260012</v>
      </c>
      <c r="F5" s="1">
        <v>3</v>
      </c>
      <c r="I5">
        <v>3</v>
      </c>
    </row>
    <row r="6" spans="2:9" x14ac:dyDescent="0.25">
      <c r="B6" s="1">
        <v>4</v>
      </c>
      <c r="C6" s="81" t="s">
        <v>2598</v>
      </c>
      <c r="D6" s="81" t="s">
        <v>52</v>
      </c>
      <c r="E6" s="92" t="str">
        <f t="shared" si="0"/>
        <v>121135190007260013</v>
      </c>
      <c r="F6" s="1">
        <v>4</v>
      </c>
      <c r="I6">
        <v>4</v>
      </c>
    </row>
    <row r="7" spans="2:9" x14ac:dyDescent="0.25">
      <c r="B7" s="1">
        <v>5</v>
      </c>
      <c r="C7" s="81" t="s">
        <v>2598</v>
      </c>
      <c r="D7" s="81" t="s">
        <v>53</v>
      </c>
      <c r="E7" s="92" t="str">
        <f t="shared" si="0"/>
        <v>121135190007260014</v>
      </c>
      <c r="F7" s="1">
        <v>5</v>
      </c>
      <c r="I7">
        <v>5</v>
      </c>
    </row>
    <row r="8" spans="2:9" x14ac:dyDescent="0.25">
      <c r="B8" s="1">
        <v>6</v>
      </c>
      <c r="C8" s="81" t="s">
        <v>2598</v>
      </c>
      <c r="D8" s="81" t="s">
        <v>54</v>
      </c>
      <c r="E8" s="92" t="str">
        <f t="shared" si="0"/>
        <v>121135190007260015</v>
      </c>
      <c r="F8" s="1">
        <v>6</v>
      </c>
      <c r="I8">
        <v>6</v>
      </c>
    </row>
    <row r="9" spans="2:9" x14ac:dyDescent="0.25">
      <c r="B9" s="1">
        <v>7</v>
      </c>
      <c r="C9" s="81" t="s">
        <v>2598</v>
      </c>
      <c r="D9" s="81" t="s">
        <v>55</v>
      </c>
      <c r="E9" s="92" t="str">
        <f t="shared" si="0"/>
        <v>121135190007260016</v>
      </c>
      <c r="F9" s="1">
        <v>7</v>
      </c>
      <c r="I9">
        <v>7</v>
      </c>
    </row>
    <row r="10" spans="2:9" x14ac:dyDescent="0.25">
      <c r="B10" s="1">
        <v>8</v>
      </c>
      <c r="C10" s="81" t="s">
        <v>2598</v>
      </c>
      <c r="D10" s="81" t="s">
        <v>56</v>
      </c>
      <c r="E10" s="92" t="str">
        <f t="shared" si="0"/>
        <v>121135190007260017</v>
      </c>
      <c r="F10" s="1">
        <v>8</v>
      </c>
      <c r="I10">
        <v>8</v>
      </c>
    </row>
    <row r="11" spans="2:9" x14ac:dyDescent="0.25">
      <c r="B11" s="1">
        <v>9</v>
      </c>
      <c r="C11" s="81" t="s">
        <v>2598</v>
      </c>
      <c r="D11" s="81" t="s">
        <v>57</v>
      </c>
      <c r="E11" s="92" t="str">
        <f t="shared" si="0"/>
        <v>121135190007260018</v>
      </c>
      <c r="F11" s="1">
        <v>9</v>
      </c>
      <c r="I11">
        <v>9</v>
      </c>
    </row>
    <row r="12" spans="2:9" x14ac:dyDescent="0.25">
      <c r="B12" s="1">
        <v>10</v>
      </c>
      <c r="C12" s="81" t="s">
        <v>2598</v>
      </c>
      <c r="D12" s="81" t="s">
        <v>58</v>
      </c>
      <c r="E12" s="92" t="str">
        <f t="shared" si="0"/>
        <v>121135190007260019</v>
      </c>
      <c r="F12" s="1">
        <v>10</v>
      </c>
      <c r="I12">
        <v>10</v>
      </c>
    </row>
    <row r="13" spans="2:9" x14ac:dyDescent="0.25">
      <c r="B13" s="1">
        <v>11</v>
      </c>
      <c r="C13" s="81" t="s">
        <v>2598</v>
      </c>
      <c r="D13" s="81" t="s">
        <v>59</v>
      </c>
      <c r="E13" s="92" t="str">
        <f t="shared" si="0"/>
        <v>121135190007260020</v>
      </c>
      <c r="F13" s="1">
        <v>11</v>
      </c>
      <c r="I13">
        <v>11</v>
      </c>
    </row>
    <row r="14" spans="2:9" x14ac:dyDescent="0.25">
      <c r="B14" s="1">
        <v>12</v>
      </c>
      <c r="C14" s="81" t="s">
        <v>2598</v>
      </c>
      <c r="D14" s="81" t="s">
        <v>60</v>
      </c>
      <c r="E14" s="92" t="str">
        <f t="shared" si="0"/>
        <v>121135190007260021</v>
      </c>
      <c r="F14" s="1">
        <v>12</v>
      </c>
      <c r="I14">
        <v>12</v>
      </c>
    </row>
    <row r="15" spans="2:9" x14ac:dyDescent="0.25">
      <c r="B15" s="1">
        <v>13</v>
      </c>
      <c r="C15" s="81" t="s">
        <v>2598</v>
      </c>
      <c r="D15" s="81" t="s">
        <v>61</v>
      </c>
      <c r="E15" s="92" t="str">
        <f t="shared" si="0"/>
        <v>121135190007260022</v>
      </c>
      <c r="F15" s="1">
        <v>13</v>
      </c>
      <c r="I15">
        <v>13</v>
      </c>
    </row>
    <row r="16" spans="2:9" x14ac:dyDescent="0.25">
      <c r="B16" s="1">
        <v>14</v>
      </c>
      <c r="C16" s="81" t="s">
        <v>2598</v>
      </c>
      <c r="D16" s="81" t="s">
        <v>62</v>
      </c>
      <c r="E16" s="92" t="str">
        <f t="shared" si="0"/>
        <v>121135190007260023</v>
      </c>
      <c r="F16" s="1">
        <v>14</v>
      </c>
      <c r="I16">
        <v>14</v>
      </c>
    </row>
    <row r="17" spans="2:9" x14ac:dyDescent="0.25">
      <c r="B17" s="1">
        <v>15</v>
      </c>
      <c r="C17" s="81" t="s">
        <v>2598</v>
      </c>
      <c r="D17" s="81" t="s">
        <v>63</v>
      </c>
      <c r="E17" s="92" t="str">
        <f t="shared" si="0"/>
        <v>121135190007260024</v>
      </c>
      <c r="F17" s="1">
        <v>15</v>
      </c>
      <c r="I17">
        <v>15</v>
      </c>
    </row>
    <row r="18" spans="2:9" x14ac:dyDescent="0.25">
      <c r="B18" s="1">
        <v>16</v>
      </c>
      <c r="C18" s="81" t="s">
        <v>2598</v>
      </c>
      <c r="D18" s="81" t="s">
        <v>64</v>
      </c>
      <c r="E18" s="92" t="str">
        <f t="shared" si="0"/>
        <v>121135190007260025</v>
      </c>
      <c r="F18" s="1">
        <v>16</v>
      </c>
      <c r="I18">
        <v>16</v>
      </c>
    </row>
    <row r="19" spans="2:9" x14ac:dyDescent="0.25">
      <c r="B19" s="1">
        <v>17</v>
      </c>
      <c r="C19" s="81" t="s">
        <v>2598</v>
      </c>
      <c r="D19" s="81" t="s">
        <v>65</v>
      </c>
      <c r="E19" s="92" t="str">
        <f t="shared" si="0"/>
        <v>121135190007260026</v>
      </c>
      <c r="F19" s="1">
        <v>17</v>
      </c>
      <c r="I19">
        <v>17</v>
      </c>
    </row>
    <row r="20" spans="2:9" x14ac:dyDescent="0.25">
      <c r="B20" s="1">
        <v>18</v>
      </c>
      <c r="C20" s="81" t="s">
        <v>2598</v>
      </c>
      <c r="D20" s="81" t="s">
        <v>66</v>
      </c>
      <c r="E20" s="92" t="str">
        <f t="shared" si="0"/>
        <v>121135190007260027</v>
      </c>
      <c r="F20" s="1">
        <v>18</v>
      </c>
      <c r="I20">
        <v>18</v>
      </c>
    </row>
    <row r="21" spans="2:9" x14ac:dyDescent="0.25">
      <c r="B21" s="1">
        <v>19</v>
      </c>
      <c r="C21" s="81" t="s">
        <v>2598</v>
      </c>
      <c r="D21" s="81" t="s">
        <v>67</v>
      </c>
      <c r="E21" s="92" t="str">
        <f t="shared" si="0"/>
        <v>121135190007260028</v>
      </c>
      <c r="F21" s="1">
        <v>19</v>
      </c>
      <c r="I21">
        <v>19</v>
      </c>
    </row>
    <row r="22" spans="2:9" x14ac:dyDescent="0.25">
      <c r="B22" s="1">
        <v>20</v>
      </c>
      <c r="C22" s="81" t="s">
        <v>2598</v>
      </c>
      <c r="D22" s="81" t="s">
        <v>68</v>
      </c>
      <c r="E22" s="92" t="str">
        <f t="shared" si="0"/>
        <v>121135190007260029</v>
      </c>
      <c r="F22" s="1">
        <v>20</v>
      </c>
      <c r="I22">
        <v>20</v>
      </c>
    </row>
    <row r="23" spans="2:9" x14ac:dyDescent="0.25">
      <c r="B23" s="1">
        <v>21</v>
      </c>
      <c r="C23" s="81" t="s">
        <v>2598</v>
      </c>
      <c r="D23" s="81" t="s">
        <v>69</v>
      </c>
      <c r="E23" s="92" t="str">
        <f t="shared" si="0"/>
        <v>121135190007260030</v>
      </c>
      <c r="F23" s="1">
        <v>21</v>
      </c>
      <c r="I23">
        <v>21</v>
      </c>
    </row>
    <row r="24" spans="2:9" x14ac:dyDescent="0.25">
      <c r="B24" s="1">
        <v>22</v>
      </c>
      <c r="C24" s="81" t="s">
        <v>2598</v>
      </c>
      <c r="D24" s="81" t="s">
        <v>70</v>
      </c>
      <c r="E24" s="92" t="str">
        <f t="shared" si="0"/>
        <v>121135190007260031</v>
      </c>
      <c r="F24" s="1">
        <v>22</v>
      </c>
      <c r="I24">
        <v>22</v>
      </c>
    </row>
    <row r="25" spans="2:9" x14ac:dyDescent="0.25">
      <c r="B25" s="1">
        <v>23</v>
      </c>
      <c r="C25" s="81" t="s">
        <v>2598</v>
      </c>
      <c r="D25" s="81" t="s">
        <v>71</v>
      </c>
      <c r="E25" s="92" t="str">
        <f t="shared" si="0"/>
        <v>121135190007260032</v>
      </c>
      <c r="F25" s="1">
        <v>23</v>
      </c>
      <c r="I25">
        <v>23</v>
      </c>
    </row>
    <row r="26" spans="2:9" x14ac:dyDescent="0.25">
      <c r="B26" s="1">
        <v>24</v>
      </c>
      <c r="C26" s="81" t="s">
        <v>2598</v>
      </c>
      <c r="D26" s="81" t="s">
        <v>72</v>
      </c>
      <c r="E26" s="92" t="str">
        <f t="shared" si="0"/>
        <v>121135190007260033</v>
      </c>
      <c r="F26" s="1">
        <v>24</v>
      </c>
      <c r="I26">
        <v>24</v>
      </c>
    </row>
    <row r="27" spans="2:9" x14ac:dyDescent="0.25">
      <c r="B27" s="1">
        <v>25</v>
      </c>
      <c r="C27" s="81" t="s">
        <v>2598</v>
      </c>
      <c r="D27" s="81" t="s">
        <v>73</v>
      </c>
      <c r="E27" s="92" t="str">
        <f t="shared" si="0"/>
        <v>121135190007260034</v>
      </c>
      <c r="F27" s="1">
        <v>25</v>
      </c>
      <c r="I27">
        <v>25</v>
      </c>
    </row>
    <row r="28" spans="2:9" x14ac:dyDescent="0.25">
      <c r="B28" s="1">
        <v>26</v>
      </c>
      <c r="C28" s="81" t="s">
        <v>2598</v>
      </c>
      <c r="D28" s="81" t="s">
        <v>74</v>
      </c>
      <c r="E28" s="92" t="str">
        <f t="shared" si="0"/>
        <v>121135190007260035</v>
      </c>
      <c r="F28" s="1">
        <v>26</v>
      </c>
      <c r="I28">
        <v>26</v>
      </c>
    </row>
    <row r="29" spans="2:9" x14ac:dyDescent="0.25">
      <c r="B29" s="1">
        <v>27</v>
      </c>
      <c r="C29" s="81" t="s">
        <v>2598</v>
      </c>
      <c r="D29" s="81" t="s">
        <v>75</v>
      </c>
      <c r="E29" s="92" t="str">
        <f t="shared" si="0"/>
        <v>121135190007260036</v>
      </c>
      <c r="F29" s="1">
        <v>27</v>
      </c>
      <c r="I29">
        <v>27</v>
      </c>
    </row>
    <row r="30" spans="2:9" x14ac:dyDescent="0.25">
      <c r="B30" s="1">
        <v>28</v>
      </c>
      <c r="C30" s="81" t="s">
        <v>2598</v>
      </c>
      <c r="D30" s="81" t="s">
        <v>76</v>
      </c>
      <c r="E30" s="92" t="str">
        <f t="shared" si="0"/>
        <v>121135190007260037</v>
      </c>
      <c r="F30" s="1">
        <v>1</v>
      </c>
      <c r="I30">
        <v>28</v>
      </c>
    </row>
    <row r="31" spans="2:9" x14ac:dyDescent="0.25">
      <c r="B31" s="1">
        <v>29</v>
      </c>
      <c r="C31" s="81" t="s">
        <v>2598</v>
      </c>
      <c r="D31" s="81" t="s">
        <v>77</v>
      </c>
      <c r="E31" s="92" t="str">
        <f t="shared" si="0"/>
        <v>121135190007260038</v>
      </c>
      <c r="F31" s="1">
        <v>2</v>
      </c>
      <c r="I31">
        <v>29</v>
      </c>
    </row>
    <row r="32" spans="2:9" x14ac:dyDescent="0.25">
      <c r="B32" s="1">
        <v>30</v>
      </c>
      <c r="C32" s="81" t="s">
        <v>2598</v>
      </c>
      <c r="D32" s="81" t="s">
        <v>78</v>
      </c>
      <c r="E32" s="92" t="str">
        <f t="shared" si="0"/>
        <v>121135190007260039</v>
      </c>
      <c r="F32" s="1">
        <v>3</v>
      </c>
      <c r="I32">
        <v>30</v>
      </c>
    </row>
    <row r="33" spans="2:9" x14ac:dyDescent="0.25">
      <c r="B33" s="1">
        <v>31</v>
      </c>
      <c r="C33" s="81" t="s">
        <v>2598</v>
      </c>
      <c r="D33" s="81" t="s">
        <v>79</v>
      </c>
      <c r="E33" s="92" t="str">
        <f t="shared" si="0"/>
        <v>121135190007260040</v>
      </c>
      <c r="F33" s="1">
        <v>4</v>
      </c>
      <c r="I33">
        <v>31</v>
      </c>
    </row>
    <row r="34" spans="2:9" x14ac:dyDescent="0.25">
      <c r="B34" s="1">
        <v>32</v>
      </c>
      <c r="C34" s="81" t="s">
        <v>2598</v>
      </c>
      <c r="D34" s="81" t="s">
        <v>80</v>
      </c>
      <c r="E34" s="92" t="str">
        <f t="shared" si="0"/>
        <v>121135190007260041</v>
      </c>
      <c r="F34" s="1">
        <v>5</v>
      </c>
      <c r="I34">
        <v>32</v>
      </c>
    </row>
    <row r="35" spans="2:9" x14ac:dyDescent="0.25">
      <c r="B35" s="1">
        <v>33</v>
      </c>
      <c r="C35" s="81" t="s">
        <v>2598</v>
      </c>
      <c r="D35" s="81" t="s">
        <v>81</v>
      </c>
      <c r="E35" s="93" t="str">
        <f t="shared" si="0"/>
        <v>121135190007260042</v>
      </c>
      <c r="F35" s="1">
        <v>6</v>
      </c>
      <c r="I35">
        <v>33</v>
      </c>
    </row>
    <row r="36" spans="2:9" x14ac:dyDescent="0.25">
      <c r="B36" s="1">
        <v>34</v>
      </c>
      <c r="C36" s="81" t="s">
        <v>2598</v>
      </c>
      <c r="D36" s="81" t="s">
        <v>82</v>
      </c>
      <c r="E36" s="93" t="str">
        <f t="shared" si="0"/>
        <v>121135190007260043</v>
      </c>
      <c r="F36" s="1">
        <v>7</v>
      </c>
      <c r="I36">
        <v>34</v>
      </c>
    </row>
    <row r="37" spans="2:9" x14ac:dyDescent="0.25">
      <c r="B37" s="1">
        <v>35</v>
      </c>
      <c r="C37" s="81" t="s">
        <v>2598</v>
      </c>
      <c r="D37" s="81" t="s">
        <v>83</v>
      </c>
      <c r="E37" s="93" t="str">
        <f t="shared" si="0"/>
        <v>121135190007260044</v>
      </c>
      <c r="F37" s="1">
        <v>8</v>
      </c>
      <c r="I37">
        <v>35</v>
      </c>
    </row>
    <row r="38" spans="2:9" x14ac:dyDescent="0.25">
      <c r="B38" s="1">
        <v>36</v>
      </c>
      <c r="C38" s="81" t="s">
        <v>2598</v>
      </c>
      <c r="D38" s="81" t="s">
        <v>84</v>
      </c>
      <c r="E38" s="93" t="str">
        <f t="shared" si="0"/>
        <v>121135190007260045</v>
      </c>
      <c r="F38" s="1">
        <v>9</v>
      </c>
      <c r="I38">
        <v>36</v>
      </c>
    </row>
    <row r="39" spans="2:9" x14ac:dyDescent="0.25">
      <c r="B39" s="1">
        <v>37</v>
      </c>
      <c r="C39" s="81" t="s">
        <v>2598</v>
      </c>
      <c r="D39" s="81" t="s">
        <v>85</v>
      </c>
      <c r="E39" s="93" t="str">
        <f t="shared" si="0"/>
        <v>121135190007260046</v>
      </c>
      <c r="F39" s="1">
        <v>10</v>
      </c>
      <c r="I39">
        <v>37</v>
      </c>
    </row>
    <row r="40" spans="2:9" x14ac:dyDescent="0.25">
      <c r="B40" s="1">
        <v>38</v>
      </c>
      <c r="C40" s="81" t="s">
        <v>2598</v>
      </c>
      <c r="D40" s="81" t="s">
        <v>86</v>
      </c>
      <c r="E40" s="93" t="str">
        <f t="shared" si="0"/>
        <v>121135190007260047</v>
      </c>
      <c r="F40" s="1">
        <v>11</v>
      </c>
      <c r="I40">
        <v>38</v>
      </c>
    </row>
    <row r="41" spans="2:9" x14ac:dyDescent="0.25">
      <c r="B41" s="1">
        <v>39</v>
      </c>
      <c r="C41" s="81" t="s">
        <v>2598</v>
      </c>
      <c r="D41" s="81" t="s">
        <v>87</v>
      </c>
      <c r="E41" s="93" t="str">
        <f t="shared" si="0"/>
        <v>121135190007260048</v>
      </c>
      <c r="F41" s="1">
        <v>12</v>
      </c>
      <c r="I41">
        <v>39</v>
      </c>
    </row>
    <row r="42" spans="2:9" x14ac:dyDescent="0.25">
      <c r="B42" s="1">
        <v>40</v>
      </c>
      <c r="C42" s="81" t="s">
        <v>2598</v>
      </c>
      <c r="D42" s="81" t="s">
        <v>88</v>
      </c>
      <c r="E42" s="93" t="str">
        <f t="shared" si="0"/>
        <v>121135190007260049</v>
      </c>
      <c r="F42" s="1">
        <v>13</v>
      </c>
      <c r="I42">
        <v>40</v>
      </c>
    </row>
    <row r="43" spans="2:9" x14ac:dyDescent="0.25">
      <c r="B43" s="1">
        <v>41</v>
      </c>
      <c r="C43" s="81" t="s">
        <v>2598</v>
      </c>
      <c r="D43" s="81" t="s">
        <v>89</v>
      </c>
      <c r="E43" s="93" t="str">
        <f t="shared" si="0"/>
        <v>121135190007260050</v>
      </c>
      <c r="F43" s="1">
        <v>14</v>
      </c>
      <c r="I43">
        <v>41</v>
      </c>
    </row>
    <row r="44" spans="2:9" x14ac:dyDescent="0.25">
      <c r="B44" s="1">
        <v>42</v>
      </c>
      <c r="C44" s="81" t="s">
        <v>2598</v>
      </c>
      <c r="D44" s="81" t="s">
        <v>90</v>
      </c>
      <c r="E44" s="93" t="str">
        <f t="shared" si="0"/>
        <v>121135190007260051</v>
      </c>
      <c r="F44" s="1">
        <v>15</v>
      </c>
      <c r="I44">
        <v>42</v>
      </c>
    </row>
    <row r="45" spans="2:9" x14ac:dyDescent="0.25">
      <c r="B45" s="1">
        <v>43</v>
      </c>
      <c r="C45" s="81" t="s">
        <v>2598</v>
      </c>
      <c r="D45" s="81" t="s">
        <v>91</v>
      </c>
      <c r="E45" s="93" t="str">
        <f t="shared" si="0"/>
        <v>121135190007260052</v>
      </c>
      <c r="F45" s="1">
        <v>16</v>
      </c>
      <c r="I45">
        <v>43</v>
      </c>
    </row>
    <row r="46" spans="2:9" x14ac:dyDescent="0.25">
      <c r="B46" s="1">
        <v>44</v>
      </c>
      <c r="C46" s="81" t="s">
        <v>2598</v>
      </c>
      <c r="D46" s="81" t="s">
        <v>92</v>
      </c>
      <c r="E46" s="93" t="str">
        <f t="shared" si="0"/>
        <v>121135190007260053</v>
      </c>
      <c r="F46" s="1">
        <v>17</v>
      </c>
      <c r="I46">
        <v>44</v>
      </c>
    </row>
    <row r="47" spans="2:9" x14ac:dyDescent="0.25">
      <c r="B47" s="1">
        <v>45</v>
      </c>
      <c r="C47" s="81" t="s">
        <v>2598</v>
      </c>
      <c r="D47" s="81" t="s">
        <v>93</v>
      </c>
      <c r="E47" s="93" t="str">
        <f t="shared" si="0"/>
        <v>121135190007260054</v>
      </c>
      <c r="F47" s="1">
        <v>18</v>
      </c>
      <c r="I47">
        <v>45</v>
      </c>
    </row>
    <row r="48" spans="2:9" x14ac:dyDescent="0.25">
      <c r="B48" s="1">
        <v>46</v>
      </c>
      <c r="C48" s="81" t="s">
        <v>2598</v>
      </c>
      <c r="D48" s="81" t="s">
        <v>94</v>
      </c>
      <c r="E48" s="93" t="str">
        <f t="shared" si="0"/>
        <v>121135190007260055</v>
      </c>
      <c r="F48" s="1">
        <v>19</v>
      </c>
      <c r="I48">
        <v>46</v>
      </c>
    </row>
    <row r="49" spans="2:9" x14ac:dyDescent="0.25">
      <c r="B49" s="1">
        <v>47</v>
      </c>
      <c r="C49" s="81" t="s">
        <v>2598</v>
      </c>
      <c r="D49" s="81" t="s">
        <v>95</v>
      </c>
      <c r="E49" s="93" t="str">
        <f t="shared" si="0"/>
        <v>121135190007260056</v>
      </c>
      <c r="F49" s="1">
        <v>20</v>
      </c>
      <c r="I49">
        <v>47</v>
      </c>
    </row>
    <row r="50" spans="2:9" x14ac:dyDescent="0.25">
      <c r="B50" s="1">
        <v>48</v>
      </c>
      <c r="C50" s="81" t="s">
        <v>2598</v>
      </c>
      <c r="D50" s="81" t="s">
        <v>96</v>
      </c>
      <c r="E50" s="93" t="str">
        <f t="shared" si="0"/>
        <v>121135190007260057</v>
      </c>
      <c r="F50" s="1">
        <v>21</v>
      </c>
      <c r="I50">
        <v>48</v>
      </c>
    </row>
    <row r="51" spans="2:9" x14ac:dyDescent="0.25">
      <c r="B51" s="1">
        <v>49</v>
      </c>
      <c r="C51" s="81" t="s">
        <v>2598</v>
      </c>
      <c r="D51" s="81" t="s">
        <v>97</v>
      </c>
      <c r="E51" s="93" t="str">
        <f t="shared" si="0"/>
        <v>121135190007260058</v>
      </c>
      <c r="F51" s="1">
        <v>22</v>
      </c>
      <c r="I51">
        <v>49</v>
      </c>
    </row>
    <row r="52" spans="2:9" x14ac:dyDescent="0.25">
      <c r="B52" s="1">
        <v>50</v>
      </c>
      <c r="C52" s="81" t="s">
        <v>2598</v>
      </c>
      <c r="D52" s="81" t="s">
        <v>98</v>
      </c>
      <c r="E52" s="93" t="str">
        <f t="shared" si="0"/>
        <v>121135190007260059</v>
      </c>
      <c r="F52" s="1">
        <v>23</v>
      </c>
      <c r="I52">
        <v>50</v>
      </c>
    </row>
    <row r="53" spans="2:9" x14ac:dyDescent="0.25">
      <c r="B53" s="1">
        <v>51</v>
      </c>
      <c r="C53" s="81" t="s">
        <v>2598</v>
      </c>
      <c r="D53" s="81" t="s">
        <v>99</v>
      </c>
      <c r="E53" s="93" t="str">
        <f t="shared" si="0"/>
        <v>121135190007260060</v>
      </c>
      <c r="F53" s="1">
        <v>24</v>
      </c>
      <c r="I53">
        <v>51</v>
      </c>
    </row>
    <row r="54" spans="2:9" x14ac:dyDescent="0.25">
      <c r="B54" s="1">
        <v>52</v>
      </c>
      <c r="C54" s="81" t="s">
        <v>2598</v>
      </c>
      <c r="D54" s="81" t="s">
        <v>100</v>
      </c>
      <c r="E54" s="93" t="str">
        <f t="shared" si="0"/>
        <v>121135190007260061</v>
      </c>
      <c r="F54" s="1">
        <v>25</v>
      </c>
      <c r="I54">
        <v>52</v>
      </c>
    </row>
    <row r="55" spans="2:9" x14ac:dyDescent="0.25">
      <c r="B55" s="1">
        <v>53</v>
      </c>
      <c r="C55" s="81" t="s">
        <v>2598</v>
      </c>
      <c r="D55" s="81" t="s">
        <v>101</v>
      </c>
      <c r="E55" s="93" t="str">
        <f t="shared" si="0"/>
        <v>121135190007260062</v>
      </c>
      <c r="F55" s="1">
        <v>26</v>
      </c>
    </row>
    <row r="56" spans="2:9" x14ac:dyDescent="0.25">
      <c r="B56" s="1">
        <v>54</v>
      </c>
      <c r="C56" s="81" t="s">
        <v>2598</v>
      </c>
      <c r="D56" s="81" t="s">
        <v>102</v>
      </c>
      <c r="E56" s="93" t="str">
        <f t="shared" si="0"/>
        <v>121135190007260063</v>
      </c>
      <c r="F56" s="1">
        <v>27</v>
      </c>
    </row>
    <row r="57" spans="2:9" x14ac:dyDescent="0.25">
      <c r="B57" s="1">
        <v>55</v>
      </c>
      <c r="C57" s="81" t="s">
        <v>2598</v>
      </c>
      <c r="D57" s="81" t="s">
        <v>103</v>
      </c>
      <c r="E57" s="93" t="str">
        <f t="shared" si="0"/>
        <v>121135190007260064</v>
      </c>
      <c r="F57" s="1">
        <v>1</v>
      </c>
    </row>
    <row r="58" spans="2:9" x14ac:dyDescent="0.25">
      <c r="B58" s="1">
        <v>56</v>
      </c>
      <c r="C58" s="81" t="s">
        <v>2598</v>
      </c>
      <c r="D58" s="81" t="s">
        <v>104</v>
      </c>
      <c r="E58" s="93" t="str">
        <f t="shared" si="0"/>
        <v>121135190007260065</v>
      </c>
      <c r="F58" s="1">
        <v>2</v>
      </c>
    </row>
    <row r="59" spans="2:9" x14ac:dyDescent="0.25">
      <c r="B59" s="1">
        <v>57</v>
      </c>
      <c r="C59" s="81" t="s">
        <v>2598</v>
      </c>
      <c r="D59" s="81" t="s">
        <v>105</v>
      </c>
      <c r="E59" s="93" t="str">
        <f t="shared" si="0"/>
        <v>121135190007260066</v>
      </c>
      <c r="F59" s="1">
        <v>3</v>
      </c>
    </row>
    <row r="60" spans="2:9" x14ac:dyDescent="0.25">
      <c r="B60" s="1">
        <v>58</v>
      </c>
      <c r="C60" s="81" t="s">
        <v>2598</v>
      </c>
      <c r="D60" s="81" t="s">
        <v>106</v>
      </c>
      <c r="E60" s="93" t="str">
        <f t="shared" si="0"/>
        <v>121135190007260067</v>
      </c>
      <c r="F60" s="1">
        <v>4</v>
      </c>
    </row>
    <row r="61" spans="2:9" x14ac:dyDescent="0.25">
      <c r="B61" s="1">
        <v>59</v>
      </c>
      <c r="C61" s="81" t="s">
        <v>2598</v>
      </c>
      <c r="D61" s="81" t="s">
        <v>107</v>
      </c>
      <c r="E61" s="93" t="str">
        <f t="shared" si="0"/>
        <v>121135190007260068</v>
      </c>
      <c r="F61" s="1">
        <v>5</v>
      </c>
    </row>
    <row r="62" spans="2:9" x14ac:dyDescent="0.25">
      <c r="B62" s="1">
        <v>60</v>
      </c>
      <c r="C62" s="81" t="s">
        <v>2598</v>
      </c>
      <c r="D62" s="81" t="s">
        <v>108</v>
      </c>
      <c r="E62" s="93" t="str">
        <f t="shared" si="0"/>
        <v>121135190007260069</v>
      </c>
      <c r="F62" s="1">
        <v>6</v>
      </c>
    </row>
    <row r="63" spans="2:9" x14ac:dyDescent="0.25">
      <c r="B63" s="1">
        <v>61</v>
      </c>
      <c r="C63" s="81" t="s">
        <v>2598</v>
      </c>
      <c r="D63" s="81" t="s">
        <v>109</v>
      </c>
      <c r="E63" s="93" t="str">
        <f t="shared" si="0"/>
        <v>121135190007260070</v>
      </c>
      <c r="F63" s="1">
        <v>7</v>
      </c>
    </row>
    <row r="64" spans="2:9" x14ac:dyDescent="0.25">
      <c r="B64" s="1">
        <v>62</v>
      </c>
      <c r="C64" s="81" t="s">
        <v>2598</v>
      </c>
      <c r="D64" s="81" t="s">
        <v>110</v>
      </c>
      <c r="E64" s="93" t="str">
        <f t="shared" si="0"/>
        <v>121135190007260071</v>
      </c>
      <c r="F64" s="1">
        <v>8</v>
      </c>
    </row>
    <row r="65" spans="2:6" x14ac:dyDescent="0.25">
      <c r="B65" s="1">
        <v>63</v>
      </c>
      <c r="C65" s="81" t="s">
        <v>2598</v>
      </c>
      <c r="D65" s="81" t="s">
        <v>111</v>
      </c>
      <c r="E65" s="93" t="str">
        <f t="shared" si="0"/>
        <v>121135190007260072</v>
      </c>
      <c r="F65" s="1">
        <v>9</v>
      </c>
    </row>
    <row r="66" spans="2:6" x14ac:dyDescent="0.25">
      <c r="B66" s="1">
        <v>64</v>
      </c>
      <c r="C66" s="81" t="s">
        <v>2598</v>
      </c>
      <c r="D66" s="81" t="s">
        <v>112</v>
      </c>
      <c r="E66" s="94" t="str">
        <f t="shared" si="0"/>
        <v>121135190007260073</v>
      </c>
      <c r="F66" s="1">
        <v>10</v>
      </c>
    </row>
    <row r="67" spans="2:6" x14ac:dyDescent="0.25">
      <c r="B67" s="1">
        <v>65</v>
      </c>
      <c r="C67" s="81" t="s">
        <v>2598</v>
      </c>
      <c r="D67" s="81" t="s">
        <v>113</v>
      </c>
      <c r="E67" s="94" t="str">
        <f t="shared" si="0"/>
        <v>121135190007260074</v>
      </c>
      <c r="F67" s="1">
        <v>11</v>
      </c>
    </row>
    <row r="68" spans="2:6" x14ac:dyDescent="0.25">
      <c r="B68" s="1">
        <v>66</v>
      </c>
      <c r="C68" s="81" t="s">
        <v>2598</v>
      </c>
      <c r="D68" s="81" t="s">
        <v>114</v>
      </c>
      <c r="E68" s="94" t="str">
        <f t="shared" ref="E68:E131" si="1">C68&amp;""&amp;D68</f>
        <v>121135190007260075</v>
      </c>
      <c r="F68" s="1">
        <v>12</v>
      </c>
    </row>
    <row r="69" spans="2:6" x14ac:dyDescent="0.25">
      <c r="B69" s="1">
        <v>67</v>
      </c>
      <c r="C69" s="81" t="s">
        <v>2598</v>
      </c>
      <c r="D69" s="81" t="s">
        <v>115</v>
      </c>
      <c r="E69" s="94" t="str">
        <f t="shared" si="1"/>
        <v>121135190007260076</v>
      </c>
      <c r="F69" s="1">
        <v>13</v>
      </c>
    </row>
    <row r="70" spans="2:6" x14ac:dyDescent="0.25">
      <c r="B70" s="1">
        <v>68</v>
      </c>
      <c r="C70" s="81" t="s">
        <v>2598</v>
      </c>
      <c r="D70" s="81" t="s">
        <v>116</v>
      </c>
      <c r="E70" s="94" t="str">
        <f t="shared" si="1"/>
        <v>121135190007260077</v>
      </c>
      <c r="F70" s="1">
        <v>14</v>
      </c>
    </row>
    <row r="71" spans="2:6" x14ac:dyDescent="0.25">
      <c r="B71" s="1">
        <v>69</v>
      </c>
      <c r="C71" s="81" t="s">
        <v>2598</v>
      </c>
      <c r="D71" s="81" t="s">
        <v>117</v>
      </c>
      <c r="E71" s="94" t="str">
        <f t="shared" si="1"/>
        <v>121135190007260078</v>
      </c>
      <c r="F71" s="1">
        <v>15</v>
      </c>
    </row>
    <row r="72" spans="2:6" x14ac:dyDescent="0.25">
      <c r="B72" s="1">
        <v>70</v>
      </c>
      <c r="C72" s="81" t="s">
        <v>2598</v>
      </c>
      <c r="D72" s="81" t="s">
        <v>118</v>
      </c>
      <c r="E72" s="94" t="str">
        <f t="shared" si="1"/>
        <v>121135190007260079</v>
      </c>
      <c r="F72" s="1">
        <v>16</v>
      </c>
    </row>
    <row r="73" spans="2:6" x14ac:dyDescent="0.25">
      <c r="B73" s="1">
        <v>71</v>
      </c>
      <c r="C73" s="81" t="s">
        <v>2598</v>
      </c>
      <c r="D73" s="81" t="s">
        <v>119</v>
      </c>
      <c r="E73" s="94" t="str">
        <f t="shared" si="1"/>
        <v>121135190007260080</v>
      </c>
      <c r="F73" s="1">
        <v>17</v>
      </c>
    </row>
    <row r="74" spans="2:6" x14ac:dyDescent="0.25">
      <c r="B74" s="1">
        <v>72</v>
      </c>
      <c r="C74" s="81" t="s">
        <v>2598</v>
      </c>
      <c r="D74" s="81" t="s">
        <v>120</v>
      </c>
      <c r="E74" s="94" t="str">
        <f t="shared" si="1"/>
        <v>121135190007260081</v>
      </c>
      <c r="F74" s="1">
        <v>18</v>
      </c>
    </row>
    <row r="75" spans="2:6" x14ac:dyDescent="0.25">
      <c r="B75" s="1">
        <v>73</v>
      </c>
      <c r="C75" s="81" t="s">
        <v>2598</v>
      </c>
      <c r="D75" s="81" t="s">
        <v>121</v>
      </c>
      <c r="E75" s="94" t="str">
        <f t="shared" si="1"/>
        <v>121135190007260082</v>
      </c>
      <c r="F75" s="1">
        <v>19</v>
      </c>
    </row>
    <row r="76" spans="2:6" x14ac:dyDescent="0.25">
      <c r="B76" s="1">
        <v>74</v>
      </c>
      <c r="C76" s="81" t="s">
        <v>2598</v>
      </c>
      <c r="D76" s="81" t="s">
        <v>122</v>
      </c>
      <c r="E76" s="94" t="str">
        <f t="shared" si="1"/>
        <v>121135190007260083</v>
      </c>
      <c r="F76" s="1">
        <v>20</v>
      </c>
    </row>
    <row r="77" spans="2:6" x14ac:dyDescent="0.25">
      <c r="B77" s="1">
        <v>75</v>
      </c>
      <c r="C77" s="81" t="s">
        <v>2598</v>
      </c>
      <c r="D77" s="81" t="s">
        <v>123</v>
      </c>
      <c r="E77" s="94" t="str">
        <f t="shared" si="1"/>
        <v>121135190007260084</v>
      </c>
      <c r="F77" s="1">
        <v>21</v>
      </c>
    </row>
    <row r="78" spans="2:6" x14ac:dyDescent="0.25">
      <c r="B78" s="1">
        <v>76</v>
      </c>
      <c r="C78" s="81" t="s">
        <v>2598</v>
      </c>
      <c r="D78" s="81" t="s">
        <v>124</v>
      </c>
      <c r="E78" s="94" t="str">
        <f t="shared" si="1"/>
        <v>121135190007260085</v>
      </c>
      <c r="F78" s="1">
        <v>22</v>
      </c>
    </row>
    <row r="79" spans="2:6" x14ac:dyDescent="0.25">
      <c r="B79" s="1">
        <v>77</v>
      </c>
      <c r="C79" s="81" t="s">
        <v>2598</v>
      </c>
      <c r="D79" s="81" t="s">
        <v>125</v>
      </c>
      <c r="E79" s="94" t="str">
        <f t="shared" si="1"/>
        <v>121135190007260086</v>
      </c>
      <c r="F79" s="1">
        <v>23</v>
      </c>
    </row>
    <row r="80" spans="2:6" x14ac:dyDescent="0.25">
      <c r="B80" s="1">
        <v>78</v>
      </c>
      <c r="C80" s="81" t="s">
        <v>2598</v>
      </c>
      <c r="D80" s="81" t="s">
        <v>126</v>
      </c>
      <c r="E80" s="94" t="str">
        <f t="shared" si="1"/>
        <v>121135190007260087</v>
      </c>
      <c r="F80" s="1">
        <v>24</v>
      </c>
    </row>
    <row r="81" spans="2:6" x14ac:dyDescent="0.25">
      <c r="B81" s="1">
        <v>79</v>
      </c>
      <c r="C81" s="81" t="s">
        <v>2598</v>
      </c>
      <c r="D81" s="81" t="s">
        <v>127</v>
      </c>
      <c r="E81" s="94" t="str">
        <f t="shared" si="1"/>
        <v>121135190007260088</v>
      </c>
      <c r="F81" s="1">
        <v>25</v>
      </c>
    </row>
    <row r="82" spans="2:6" x14ac:dyDescent="0.25">
      <c r="B82" s="1">
        <v>80</v>
      </c>
      <c r="C82" s="81" t="s">
        <v>2598</v>
      </c>
      <c r="D82" s="81" t="s">
        <v>128</v>
      </c>
      <c r="E82" s="94" t="str">
        <f t="shared" si="1"/>
        <v>121135190007260089</v>
      </c>
      <c r="F82" s="1">
        <v>26</v>
      </c>
    </row>
    <row r="83" spans="2:6" x14ac:dyDescent="0.25">
      <c r="B83" s="1">
        <v>81</v>
      </c>
      <c r="C83" s="81" t="s">
        <v>2598</v>
      </c>
      <c r="D83" s="81" t="s">
        <v>129</v>
      </c>
      <c r="E83" s="94" t="str">
        <f t="shared" si="1"/>
        <v>121135190007260090</v>
      </c>
      <c r="F83" s="1">
        <v>27</v>
      </c>
    </row>
    <row r="84" spans="2:6" x14ac:dyDescent="0.25">
      <c r="B84" s="1">
        <v>82</v>
      </c>
      <c r="C84" s="81" t="s">
        <v>2598</v>
      </c>
      <c r="D84" s="81" t="s">
        <v>130</v>
      </c>
      <c r="E84" s="94" t="str">
        <f t="shared" si="1"/>
        <v>121135190007260091</v>
      </c>
      <c r="F84" s="1">
        <v>1</v>
      </c>
    </row>
    <row r="85" spans="2:6" x14ac:dyDescent="0.25">
      <c r="B85" s="1">
        <v>83</v>
      </c>
      <c r="C85" s="81" t="s">
        <v>2598</v>
      </c>
      <c r="D85" s="81" t="s">
        <v>131</v>
      </c>
      <c r="E85" s="94" t="str">
        <f t="shared" si="1"/>
        <v>121135190007260092</v>
      </c>
      <c r="F85" s="1">
        <v>2</v>
      </c>
    </row>
    <row r="86" spans="2:6" x14ac:dyDescent="0.25">
      <c r="B86" s="1">
        <v>84</v>
      </c>
      <c r="C86" s="81" t="s">
        <v>2598</v>
      </c>
      <c r="D86" s="81" t="s">
        <v>132</v>
      </c>
      <c r="E86" s="94" t="str">
        <f t="shared" si="1"/>
        <v>121135190007260093</v>
      </c>
      <c r="F86" s="1">
        <v>3</v>
      </c>
    </row>
    <row r="87" spans="2:6" x14ac:dyDescent="0.25">
      <c r="B87" s="1">
        <v>85</v>
      </c>
      <c r="C87" s="81" t="s">
        <v>2598</v>
      </c>
      <c r="D87" s="81" t="s">
        <v>133</v>
      </c>
      <c r="E87" s="94" t="str">
        <f t="shared" si="1"/>
        <v>121135190007260094</v>
      </c>
      <c r="F87" s="1">
        <v>4</v>
      </c>
    </row>
    <row r="88" spans="2:6" x14ac:dyDescent="0.25">
      <c r="B88" s="1">
        <v>86</v>
      </c>
      <c r="C88" s="81" t="s">
        <v>2598</v>
      </c>
      <c r="D88" s="81" t="s">
        <v>134</v>
      </c>
      <c r="E88" s="94" t="str">
        <f t="shared" si="1"/>
        <v>121135190007260095</v>
      </c>
      <c r="F88" s="1">
        <v>5</v>
      </c>
    </row>
    <row r="89" spans="2:6" x14ac:dyDescent="0.25">
      <c r="B89" s="1">
        <v>87</v>
      </c>
      <c r="C89" s="81" t="s">
        <v>2598</v>
      </c>
      <c r="D89" s="81" t="s">
        <v>135</v>
      </c>
      <c r="E89" s="94" t="str">
        <f t="shared" si="1"/>
        <v>121135190007260096</v>
      </c>
      <c r="F89" s="1">
        <v>6</v>
      </c>
    </row>
    <row r="90" spans="2:6" x14ac:dyDescent="0.25">
      <c r="B90" s="1">
        <v>88</v>
      </c>
      <c r="C90" s="81" t="s">
        <v>2598</v>
      </c>
      <c r="D90" s="81" t="s">
        <v>136</v>
      </c>
      <c r="E90" s="94" t="str">
        <f t="shared" si="1"/>
        <v>121135190007260097</v>
      </c>
      <c r="F90" s="1">
        <v>7</v>
      </c>
    </row>
    <row r="91" spans="2:6" x14ac:dyDescent="0.25">
      <c r="B91" s="1">
        <v>89</v>
      </c>
      <c r="C91" s="81" t="s">
        <v>2598</v>
      </c>
      <c r="D91" s="81" t="s">
        <v>137</v>
      </c>
      <c r="E91" s="94" t="str">
        <f t="shared" si="1"/>
        <v>121135190007260098</v>
      </c>
      <c r="F91" s="1">
        <v>8</v>
      </c>
    </row>
    <row r="92" spans="2:6" x14ac:dyDescent="0.25">
      <c r="B92" s="1">
        <v>90</v>
      </c>
      <c r="C92" s="81" t="s">
        <v>2598</v>
      </c>
      <c r="D92" s="81" t="s">
        <v>138</v>
      </c>
      <c r="E92" s="94" t="str">
        <f t="shared" si="1"/>
        <v>121135190007260099</v>
      </c>
      <c r="F92" s="1">
        <v>9</v>
      </c>
    </row>
    <row r="93" spans="2:6" x14ac:dyDescent="0.25">
      <c r="B93" s="1">
        <v>91</v>
      </c>
      <c r="C93" s="81" t="s">
        <v>2598</v>
      </c>
      <c r="D93" s="81" t="s">
        <v>139</v>
      </c>
      <c r="E93" s="94" t="str">
        <f t="shared" si="1"/>
        <v>121135190007260100</v>
      </c>
      <c r="F93" s="1">
        <v>10</v>
      </c>
    </row>
    <row r="94" spans="2:6" x14ac:dyDescent="0.25">
      <c r="B94" s="1">
        <v>92</v>
      </c>
      <c r="C94" s="81" t="s">
        <v>2598</v>
      </c>
      <c r="D94" s="81" t="s">
        <v>140</v>
      </c>
      <c r="E94" s="94" t="str">
        <f t="shared" si="1"/>
        <v>121135190007260101</v>
      </c>
      <c r="F94" s="1">
        <v>11</v>
      </c>
    </row>
    <row r="95" spans="2:6" x14ac:dyDescent="0.25">
      <c r="B95" s="1">
        <v>93</v>
      </c>
      <c r="C95" s="81" t="s">
        <v>2598</v>
      </c>
      <c r="D95" s="81" t="s">
        <v>141</v>
      </c>
      <c r="E95" s="94" t="str">
        <f t="shared" si="1"/>
        <v>121135190007260102</v>
      </c>
      <c r="F95" s="1">
        <v>12</v>
      </c>
    </row>
    <row r="96" spans="2:6" x14ac:dyDescent="0.25">
      <c r="B96" s="1">
        <v>94</v>
      </c>
      <c r="C96" s="81" t="s">
        <v>2598</v>
      </c>
      <c r="D96" s="81" t="s">
        <v>142</v>
      </c>
      <c r="E96" s="94" t="str">
        <f t="shared" si="1"/>
        <v>121135190007260103</v>
      </c>
      <c r="F96" s="1">
        <v>13</v>
      </c>
    </row>
    <row r="97" spans="2:6" x14ac:dyDescent="0.25">
      <c r="B97" s="1">
        <v>95</v>
      </c>
      <c r="C97" s="81" t="s">
        <v>2598</v>
      </c>
      <c r="D97" s="81" t="s">
        <v>143</v>
      </c>
      <c r="E97" s="95" t="str">
        <f t="shared" si="1"/>
        <v>121135190007260104</v>
      </c>
      <c r="F97" s="1">
        <v>14</v>
      </c>
    </row>
    <row r="98" spans="2:6" x14ac:dyDescent="0.25">
      <c r="B98" s="1">
        <v>96</v>
      </c>
      <c r="C98" s="81" t="s">
        <v>2598</v>
      </c>
      <c r="D98" s="81" t="s">
        <v>144</v>
      </c>
      <c r="E98" s="95" t="str">
        <f t="shared" si="1"/>
        <v>121135190007260105</v>
      </c>
      <c r="F98" s="1">
        <v>15</v>
      </c>
    </row>
    <row r="99" spans="2:6" x14ac:dyDescent="0.25">
      <c r="B99" s="1">
        <v>97</v>
      </c>
      <c r="C99" s="81" t="s">
        <v>2598</v>
      </c>
      <c r="D99" s="81" t="s">
        <v>145</v>
      </c>
      <c r="E99" s="95" t="str">
        <f t="shared" si="1"/>
        <v>121135190007260106</v>
      </c>
      <c r="F99" s="1">
        <v>16</v>
      </c>
    </row>
    <row r="100" spans="2:6" x14ac:dyDescent="0.25">
      <c r="B100" s="1">
        <v>98</v>
      </c>
      <c r="C100" s="81" t="s">
        <v>2598</v>
      </c>
      <c r="D100" s="81" t="s">
        <v>146</v>
      </c>
      <c r="E100" s="95" t="str">
        <f t="shared" si="1"/>
        <v>121135190007260107</v>
      </c>
      <c r="F100" s="1">
        <v>17</v>
      </c>
    </row>
    <row r="101" spans="2:6" x14ac:dyDescent="0.25">
      <c r="B101" s="1">
        <v>99</v>
      </c>
      <c r="C101" s="81" t="s">
        <v>2598</v>
      </c>
      <c r="D101" s="81" t="s">
        <v>147</v>
      </c>
      <c r="E101" s="95" t="str">
        <f t="shared" si="1"/>
        <v>121135190007260108</v>
      </c>
      <c r="F101" s="1">
        <v>18</v>
      </c>
    </row>
    <row r="102" spans="2:6" x14ac:dyDescent="0.25">
      <c r="B102" s="1">
        <v>100</v>
      </c>
      <c r="C102" s="81" t="s">
        <v>2598</v>
      </c>
      <c r="D102" s="81" t="s">
        <v>148</v>
      </c>
      <c r="E102" s="95" t="str">
        <f t="shared" si="1"/>
        <v>121135190007260109</v>
      </c>
      <c r="F102" s="1">
        <v>19</v>
      </c>
    </row>
    <row r="103" spans="2:6" x14ac:dyDescent="0.25">
      <c r="B103" s="1">
        <v>101</v>
      </c>
      <c r="C103" s="81" t="s">
        <v>2598</v>
      </c>
      <c r="D103" s="81" t="s">
        <v>149</v>
      </c>
      <c r="E103" s="95" t="str">
        <f t="shared" si="1"/>
        <v>121135190007260110</v>
      </c>
      <c r="F103" s="1">
        <v>20</v>
      </c>
    </row>
    <row r="104" spans="2:6" x14ac:dyDescent="0.25">
      <c r="B104" s="1">
        <v>102</v>
      </c>
      <c r="C104" s="81" t="s">
        <v>2598</v>
      </c>
      <c r="D104" s="81" t="s">
        <v>150</v>
      </c>
      <c r="E104" s="95" t="str">
        <f t="shared" si="1"/>
        <v>121135190007260111</v>
      </c>
      <c r="F104" s="1">
        <v>21</v>
      </c>
    </row>
    <row r="105" spans="2:6" x14ac:dyDescent="0.25">
      <c r="B105" s="1">
        <v>103</v>
      </c>
      <c r="C105" s="81" t="s">
        <v>2598</v>
      </c>
      <c r="D105" s="81" t="s">
        <v>151</v>
      </c>
      <c r="E105" s="95" t="str">
        <f t="shared" si="1"/>
        <v>121135190007260112</v>
      </c>
      <c r="F105" s="1">
        <v>22</v>
      </c>
    </row>
    <row r="106" spans="2:6" x14ac:dyDescent="0.25">
      <c r="B106" s="1">
        <v>104</v>
      </c>
      <c r="C106" s="81" t="s">
        <v>2598</v>
      </c>
      <c r="D106" s="81" t="s">
        <v>152</v>
      </c>
      <c r="E106" s="95" t="str">
        <f t="shared" si="1"/>
        <v>121135190007260113</v>
      </c>
      <c r="F106" s="1">
        <v>23</v>
      </c>
    </row>
    <row r="107" spans="2:6" x14ac:dyDescent="0.25">
      <c r="B107" s="1">
        <v>105</v>
      </c>
      <c r="C107" s="81" t="s">
        <v>2598</v>
      </c>
      <c r="D107" s="81" t="s">
        <v>153</v>
      </c>
      <c r="E107" s="95" t="str">
        <f t="shared" si="1"/>
        <v>121135190007260114</v>
      </c>
      <c r="F107" s="1">
        <v>24</v>
      </c>
    </row>
    <row r="108" spans="2:6" x14ac:dyDescent="0.25">
      <c r="B108" s="1">
        <v>106</v>
      </c>
      <c r="C108" s="81" t="s">
        <v>2598</v>
      </c>
      <c r="D108" s="81" t="s">
        <v>154</v>
      </c>
      <c r="E108" s="95" t="str">
        <f t="shared" si="1"/>
        <v>121135190007260115</v>
      </c>
      <c r="F108" s="1">
        <v>25</v>
      </c>
    </row>
    <row r="109" spans="2:6" x14ac:dyDescent="0.25">
      <c r="B109" s="1">
        <v>107</v>
      </c>
      <c r="C109" s="81" t="s">
        <v>2598</v>
      </c>
      <c r="D109" s="81" t="s">
        <v>155</v>
      </c>
      <c r="E109" s="95" t="str">
        <f t="shared" si="1"/>
        <v>121135190007260116</v>
      </c>
      <c r="F109" s="1">
        <v>26</v>
      </c>
    </row>
    <row r="110" spans="2:6" x14ac:dyDescent="0.25">
      <c r="B110" s="1">
        <v>108</v>
      </c>
      <c r="C110" s="81" t="s">
        <v>2598</v>
      </c>
      <c r="D110" s="81" t="s">
        <v>156</v>
      </c>
      <c r="E110" s="95" t="str">
        <f t="shared" si="1"/>
        <v>121135190007260117</v>
      </c>
      <c r="F110" s="1">
        <v>27</v>
      </c>
    </row>
    <row r="111" spans="2:6" x14ac:dyDescent="0.25">
      <c r="B111" s="1">
        <v>109</v>
      </c>
      <c r="C111" s="81" t="s">
        <v>2598</v>
      </c>
      <c r="D111" s="81" t="s">
        <v>157</v>
      </c>
      <c r="E111" s="95" t="str">
        <f t="shared" si="1"/>
        <v>121135190007260118</v>
      </c>
      <c r="F111" s="1">
        <v>28</v>
      </c>
    </row>
    <row r="112" spans="2:6" x14ac:dyDescent="0.25">
      <c r="B112" s="1">
        <v>110</v>
      </c>
      <c r="C112" s="81" t="s">
        <v>2598</v>
      </c>
      <c r="D112" s="81" t="s">
        <v>158</v>
      </c>
      <c r="E112" s="95" t="str">
        <f t="shared" si="1"/>
        <v>121135190007260119</v>
      </c>
      <c r="F112" s="1">
        <v>1</v>
      </c>
    </row>
    <row r="113" spans="2:6" x14ac:dyDescent="0.25">
      <c r="B113" s="1">
        <v>111</v>
      </c>
      <c r="C113" s="81" t="s">
        <v>2598</v>
      </c>
      <c r="D113" s="81" t="s">
        <v>159</v>
      </c>
      <c r="E113" s="95" t="str">
        <f t="shared" si="1"/>
        <v>121135190007260120</v>
      </c>
      <c r="F113" s="1">
        <v>2</v>
      </c>
    </row>
    <row r="114" spans="2:6" x14ac:dyDescent="0.25">
      <c r="B114" s="1">
        <v>112</v>
      </c>
      <c r="C114" s="81" t="s">
        <v>2598</v>
      </c>
      <c r="D114" s="81" t="s">
        <v>160</v>
      </c>
      <c r="E114" s="95" t="str">
        <f t="shared" si="1"/>
        <v>121135190007260121</v>
      </c>
      <c r="F114" s="1">
        <v>3</v>
      </c>
    </row>
    <row r="115" spans="2:6" x14ac:dyDescent="0.25">
      <c r="B115" s="1">
        <v>113</v>
      </c>
      <c r="C115" s="81" t="s">
        <v>2598</v>
      </c>
      <c r="D115" s="81" t="s">
        <v>161</v>
      </c>
      <c r="E115" s="95" t="str">
        <f t="shared" si="1"/>
        <v>121135190007260122</v>
      </c>
      <c r="F115" s="1">
        <v>4</v>
      </c>
    </row>
    <row r="116" spans="2:6" x14ac:dyDescent="0.25">
      <c r="B116" s="1">
        <v>114</v>
      </c>
      <c r="C116" s="81" t="s">
        <v>2598</v>
      </c>
      <c r="D116" s="81" t="s">
        <v>162</v>
      </c>
      <c r="E116" s="95" t="str">
        <f t="shared" si="1"/>
        <v>121135190007260123</v>
      </c>
      <c r="F116" s="1">
        <v>5</v>
      </c>
    </row>
    <row r="117" spans="2:6" x14ac:dyDescent="0.25">
      <c r="B117" s="1">
        <v>115</v>
      </c>
      <c r="C117" s="81" t="s">
        <v>2598</v>
      </c>
      <c r="D117" s="81" t="s">
        <v>163</v>
      </c>
      <c r="E117" s="95" t="str">
        <f t="shared" si="1"/>
        <v>121135190007260124</v>
      </c>
      <c r="F117" s="1">
        <v>6</v>
      </c>
    </row>
    <row r="118" spans="2:6" x14ac:dyDescent="0.25">
      <c r="B118" s="1">
        <v>116</v>
      </c>
      <c r="C118" s="81" t="s">
        <v>2598</v>
      </c>
      <c r="D118" s="81" t="s">
        <v>164</v>
      </c>
      <c r="E118" s="95" t="str">
        <f t="shared" si="1"/>
        <v>121135190007260125</v>
      </c>
      <c r="F118" s="1">
        <v>7</v>
      </c>
    </row>
    <row r="119" spans="2:6" x14ac:dyDescent="0.25">
      <c r="B119" s="1">
        <v>117</v>
      </c>
      <c r="C119" s="81" t="s">
        <v>2598</v>
      </c>
      <c r="D119" s="81" t="s">
        <v>165</v>
      </c>
      <c r="E119" s="95" t="str">
        <f t="shared" si="1"/>
        <v>121135190007260126</v>
      </c>
      <c r="F119" s="1">
        <v>8</v>
      </c>
    </row>
    <row r="120" spans="2:6" x14ac:dyDescent="0.25">
      <c r="B120" s="1">
        <v>118</v>
      </c>
      <c r="C120" s="81" t="s">
        <v>2598</v>
      </c>
      <c r="D120" s="81" t="s">
        <v>166</v>
      </c>
      <c r="E120" s="95" t="str">
        <f t="shared" si="1"/>
        <v>121135190007260127</v>
      </c>
      <c r="F120" s="1">
        <v>9</v>
      </c>
    </row>
    <row r="121" spans="2:6" x14ac:dyDescent="0.25">
      <c r="B121" s="1">
        <v>119</v>
      </c>
      <c r="C121" s="81" t="s">
        <v>2598</v>
      </c>
      <c r="D121" s="81" t="s">
        <v>167</v>
      </c>
      <c r="E121" s="95" t="str">
        <f t="shared" si="1"/>
        <v>121135190007260128</v>
      </c>
      <c r="F121" s="1">
        <v>10</v>
      </c>
    </row>
    <row r="122" spans="2:6" x14ac:dyDescent="0.25">
      <c r="B122" s="1">
        <v>120</v>
      </c>
      <c r="C122" s="81" t="s">
        <v>2598</v>
      </c>
      <c r="D122" s="81" t="s">
        <v>168</v>
      </c>
      <c r="E122" s="95" t="str">
        <f t="shared" si="1"/>
        <v>121135190007260129</v>
      </c>
      <c r="F122" s="1">
        <v>11</v>
      </c>
    </row>
    <row r="123" spans="2:6" x14ac:dyDescent="0.25">
      <c r="B123" s="1">
        <v>121</v>
      </c>
      <c r="C123" s="81" t="s">
        <v>2598</v>
      </c>
      <c r="D123" s="81" t="s">
        <v>169</v>
      </c>
      <c r="E123" s="95" t="str">
        <f t="shared" si="1"/>
        <v>121135190007260130</v>
      </c>
      <c r="F123" s="1">
        <v>12</v>
      </c>
    </row>
    <row r="124" spans="2:6" x14ac:dyDescent="0.25">
      <c r="B124" s="1">
        <v>122</v>
      </c>
      <c r="C124" s="81" t="s">
        <v>2598</v>
      </c>
      <c r="D124" s="81" t="s">
        <v>170</v>
      </c>
      <c r="E124" s="95" t="str">
        <f t="shared" si="1"/>
        <v>121135190007260131</v>
      </c>
      <c r="F124" s="1">
        <v>13</v>
      </c>
    </row>
    <row r="125" spans="2:6" x14ac:dyDescent="0.25">
      <c r="B125" s="1">
        <v>123</v>
      </c>
      <c r="C125" s="81" t="s">
        <v>2598</v>
      </c>
      <c r="D125" s="81" t="s">
        <v>171</v>
      </c>
      <c r="E125" s="95" t="str">
        <f t="shared" si="1"/>
        <v>121135190007260132</v>
      </c>
      <c r="F125" s="1">
        <v>14</v>
      </c>
    </row>
    <row r="126" spans="2:6" x14ac:dyDescent="0.25">
      <c r="B126" s="1">
        <v>124</v>
      </c>
      <c r="C126" s="81" t="s">
        <v>2598</v>
      </c>
      <c r="D126" s="81" t="s">
        <v>172</v>
      </c>
      <c r="E126" s="95" t="str">
        <f t="shared" si="1"/>
        <v>121135190007260133</v>
      </c>
      <c r="F126" s="1">
        <v>15</v>
      </c>
    </row>
    <row r="127" spans="2:6" x14ac:dyDescent="0.25">
      <c r="B127" s="1">
        <v>125</v>
      </c>
      <c r="C127" s="81" t="s">
        <v>2598</v>
      </c>
      <c r="D127" s="81" t="s">
        <v>173</v>
      </c>
      <c r="E127" s="95" t="str">
        <f t="shared" si="1"/>
        <v>121135190007260134</v>
      </c>
      <c r="F127" s="1">
        <v>16</v>
      </c>
    </row>
    <row r="128" spans="2:6" x14ac:dyDescent="0.25">
      <c r="B128" s="1">
        <v>126</v>
      </c>
      <c r="C128" s="81" t="s">
        <v>2598</v>
      </c>
      <c r="D128" s="81" t="s">
        <v>174</v>
      </c>
      <c r="E128" s="1" t="str">
        <f t="shared" si="1"/>
        <v>121135190007260135</v>
      </c>
      <c r="F128" s="1">
        <v>17</v>
      </c>
    </row>
    <row r="129" spans="2:6" x14ac:dyDescent="0.25">
      <c r="B129" s="1">
        <v>127</v>
      </c>
      <c r="C129" s="81" t="s">
        <v>2598</v>
      </c>
      <c r="D129" s="81" t="s">
        <v>175</v>
      </c>
      <c r="E129" s="1" t="str">
        <f t="shared" si="1"/>
        <v>121135190007260136</v>
      </c>
      <c r="F129" s="1">
        <v>18</v>
      </c>
    </row>
    <row r="130" spans="2:6" x14ac:dyDescent="0.25">
      <c r="B130" s="1">
        <v>128</v>
      </c>
      <c r="C130" s="81" t="s">
        <v>2598</v>
      </c>
      <c r="D130" s="81" t="s">
        <v>176</v>
      </c>
      <c r="E130" s="1" t="str">
        <f t="shared" si="1"/>
        <v>121135190007260137</v>
      </c>
      <c r="F130" s="1">
        <v>19</v>
      </c>
    </row>
    <row r="131" spans="2:6" x14ac:dyDescent="0.25">
      <c r="B131" s="1">
        <v>129</v>
      </c>
      <c r="C131" s="81" t="s">
        <v>2598</v>
      </c>
      <c r="D131" s="81" t="s">
        <v>177</v>
      </c>
      <c r="E131" s="1" t="str">
        <f t="shared" si="1"/>
        <v>121135190007260138</v>
      </c>
      <c r="F131" s="1">
        <v>20</v>
      </c>
    </row>
    <row r="132" spans="2:6" x14ac:dyDescent="0.25">
      <c r="B132" s="1">
        <v>130</v>
      </c>
      <c r="C132" s="81" t="s">
        <v>2598</v>
      </c>
      <c r="D132" s="81" t="s">
        <v>178</v>
      </c>
      <c r="E132" s="1" t="str">
        <f t="shared" ref="E132:E195" si="2">C132&amp;""&amp;D132</f>
        <v>121135190007260139</v>
      </c>
      <c r="F132" s="1">
        <v>21</v>
      </c>
    </row>
    <row r="133" spans="2:6" x14ac:dyDescent="0.25">
      <c r="B133" s="1">
        <v>131</v>
      </c>
      <c r="C133" s="81" t="s">
        <v>2598</v>
      </c>
      <c r="D133" s="81" t="s">
        <v>179</v>
      </c>
      <c r="E133" s="1" t="str">
        <f t="shared" si="2"/>
        <v>121135190007260140</v>
      </c>
      <c r="F133" s="1">
        <v>22</v>
      </c>
    </row>
    <row r="134" spans="2:6" x14ac:dyDescent="0.25">
      <c r="B134" s="1">
        <v>132</v>
      </c>
      <c r="C134" s="81" t="s">
        <v>2598</v>
      </c>
      <c r="D134" s="81" t="s">
        <v>180</v>
      </c>
      <c r="E134" s="1" t="str">
        <f t="shared" si="2"/>
        <v>121135190007260141</v>
      </c>
      <c r="F134" s="1">
        <v>23</v>
      </c>
    </row>
    <row r="135" spans="2:6" x14ac:dyDescent="0.25">
      <c r="B135" s="1">
        <v>133</v>
      </c>
      <c r="C135" s="81" t="s">
        <v>2598</v>
      </c>
      <c r="D135" s="81" t="s">
        <v>181</v>
      </c>
      <c r="E135" s="1" t="str">
        <f t="shared" si="2"/>
        <v>121135190007260142</v>
      </c>
      <c r="F135" s="1">
        <v>1</v>
      </c>
    </row>
    <row r="136" spans="2:6" x14ac:dyDescent="0.25">
      <c r="B136" s="1">
        <v>134</v>
      </c>
      <c r="C136" s="81" t="s">
        <v>2598</v>
      </c>
      <c r="D136" s="81" t="s">
        <v>182</v>
      </c>
      <c r="E136" s="1" t="str">
        <f t="shared" si="2"/>
        <v>121135190007260143</v>
      </c>
      <c r="F136" s="1">
        <v>2</v>
      </c>
    </row>
    <row r="137" spans="2:6" x14ac:dyDescent="0.25">
      <c r="B137" s="1">
        <v>135</v>
      </c>
      <c r="C137" s="81" t="s">
        <v>2598</v>
      </c>
      <c r="D137" s="81" t="s">
        <v>183</v>
      </c>
      <c r="E137" s="1" t="str">
        <f t="shared" si="2"/>
        <v>121135190007260144</v>
      </c>
      <c r="F137" s="1">
        <v>3</v>
      </c>
    </row>
    <row r="138" spans="2:6" x14ac:dyDescent="0.25">
      <c r="B138" s="1">
        <v>136</v>
      </c>
      <c r="C138" s="81" t="s">
        <v>2598</v>
      </c>
      <c r="D138" s="81" t="s">
        <v>184</v>
      </c>
      <c r="E138" s="1" t="str">
        <f t="shared" si="2"/>
        <v>121135190007260145</v>
      </c>
      <c r="F138" s="1">
        <v>4</v>
      </c>
    </row>
    <row r="139" spans="2:6" x14ac:dyDescent="0.25">
      <c r="B139" s="1">
        <v>137</v>
      </c>
      <c r="C139" s="81" t="s">
        <v>2598</v>
      </c>
      <c r="D139" s="81" t="s">
        <v>185</v>
      </c>
      <c r="E139" s="1" t="str">
        <f t="shared" si="2"/>
        <v>121135190007260146</v>
      </c>
      <c r="F139" s="1">
        <v>5</v>
      </c>
    </row>
    <row r="140" spans="2:6" x14ac:dyDescent="0.25">
      <c r="B140" s="1">
        <v>138</v>
      </c>
      <c r="C140" s="81" t="s">
        <v>2598</v>
      </c>
      <c r="D140" s="81" t="s">
        <v>186</v>
      </c>
      <c r="E140" s="1" t="str">
        <f t="shared" si="2"/>
        <v>121135190007260147</v>
      </c>
      <c r="F140" s="1">
        <v>6</v>
      </c>
    </row>
    <row r="141" spans="2:6" x14ac:dyDescent="0.25">
      <c r="B141" s="1">
        <v>139</v>
      </c>
      <c r="C141" s="81" t="s">
        <v>2598</v>
      </c>
      <c r="D141" s="81" t="s">
        <v>187</v>
      </c>
      <c r="E141" s="1" t="str">
        <f t="shared" si="2"/>
        <v>121135190007260148</v>
      </c>
      <c r="F141" s="1">
        <v>7</v>
      </c>
    </row>
    <row r="142" spans="2:6" x14ac:dyDescent="0.25">
      <c r="B142" s="1">
        <v>140</v>
      </c>
      <c r="C142" s="81" t="s">
        <v>2598</v>
      </c>
      <c r="D142" s="81" t="s">
        <v>188</v>
      </c>
      <c r="E142" s="1" t="str">
        <f t="shared" si="2"/>
        <v>121135190007260149</v>
      </c>
      <c r="F142" s="1">
        <v>8</v>
      </c>
    </row>
    <row r="143" spans="2:6" x14ac:dyDescent="0.25">
      <c r="B143" s="1">
        <v>141</v>
      </c>
      <c r="C143" s="81" t="s">
        <v>2598</v>
      </c>
      <c r="D143" s="81" t="s">
        <v>189</v>
      </c>
      <c r="E143" s="1" t="str">
        <f t="shared" si="2"/>
        <v>121135190007260150</v>
      </c>
      <c r="F143" s="1">
        <v>9</v>
      </c>
    </row>
    <row r="144" spans="2:6" x14ac:dyDescent="0.25">
      <c r="B144" s="1">
        <v>142</v>
      </c>
      <c r="C144" s="81" t="s">
        <v>2598</v>
      </c>
      <c r="D144" s="81" t="s">
        <v>190</v>
      </c>
      <c r="E144" s="1" t="str">
        <f t="shared" si="2"/>
        <v>121135190007260151</v>
      </c>
      <c r="F144" s="1">
        <v>10</v>
      </c>
    </row>
    <row r="145" spans="2:6" x14ac:dyDescent="0.25">
      <c r="B145" s="1">
        <v>143</v>
      </c>
      <c r="C145" s="81" t="s">
        <v>2598</v>
      </c>
      <c r="D145" s="81" t="s">
        <v>191</v>
      </c>
      <c r="E145" s="1" t="str">
        <f t="shared" si="2"/>
        <v>121135190007260152</v>
      </c>
      <c r="F145" s="1">
        <v>11</v>
      </c>
    </row>
    <row r="146" spans="2:6" x14ac:dyDescent="0.25">
      <c r="B146" s="1">
        <v>144</v>
      </c>
      <c r="C146" s="81" t="s">
        <v>2598</v>
      </c>
      <c r="D146" s="81" t="s">
        <v>192</v>
      </c>
      <c r="E146" s="1" t="str">
        <f t="shared" si="2"/>
        <v>121135190007260153</v>
      </c>
      <c r="F146" s="1">
        <v>12</v>
      </c>
    </row>
    <row r="147" spans="2:6" x14ac:dyDescent="0.25">
      <c r="B147" s="1">
        <v>145</v>
      </c>
      <c r="C147" s="81" t="s">
        <v>2598</v>
      </c>
      <c r="D147" s="81" t="s">
        <v>193</v>
      </c>
      <c r="E147" s="1" t="str">
        <f t="shared" si="2"/>
        <v>121135190007260154</v>
      </c>
      <c r="F147" s="1">
        <v>13</v>
      </c>
    </row>
    <row r="148" spans="2:6" x14ac:dyDescent="0.25">
      <c r="B148" s="1">
        <v>146</v>
      </c>
      <c r="C148" s="81" t="s">
        <v>2598</v>
      </c>
      <c r="D148" s="81" t="s">
        <v>194</v>
      </c>
      <c r="E148" s="1" t="str">
        <f t="shared" si="2"/>
        <v>121135190007260155</v>
      </c>
      <c r="F148" s="1">
        <v>14</v>
      </c>
    </row>
    <row r="149" spans="2:6" x14ac:dyDescent="0.25">
      <c r="B149" s="1">
        <v>147</v>
      </c>
      <c r="C149" s="81" t="s">
        <v>2598</v>
      </c>
      <c r="D149" s="81" t="s">
        <v>195</v>
      </c>
      <c r="E149" s="1" t="str">
        <f t="shared" si="2"/>
        <v>121135190007260156</v>
      </c>
      <c r="F149" s="1">
        <v>15</v>
      </c>
    </row>
    <row r="150" spans="2:6" x14ac:dyDescent="0.25">
      <c r="B150" s="1">
        <v>148</v>
      </c>
      <c r="C150" s="81" t="s">
        <v>2598</v>
      </c>
      <c r="D150" s="81" t="s">
        <v>196</v>
      </c>
      <c r="E150" s="1" t="str">
        <f t="shared" si="2"/>
        <v>121135190007260157</v>
      </c>
      <c r="F150" s="1">
        <v>16</v>
      </c>
    </row>
    <row r="151" spans="2:6" x14ac:dyDescent="0.25">
      <c r="B151" s="1">
        <v>149</v>
      </c>
      <c r="C151" s="81" t="s">
        <v>2598</v>
      </c>
      <c r="D151" s="81" t="s">
        <v>197</v>
      </c>
      <c r="E151" s="1" t="str">
        <f t="shared" si="2"/>
        <v>121135190007260158</v>
      </c>
      <c r="F151" s="1">
        <v>17</v>
      </c>
    </row>
    <row r="152" spans="2:6" x14ac:dyDescent="0.25">
      <c r="B152" s="1">
        <v>150</v>
      </c>
      <c r="C152" s="81" t="s">
        <v>2598</v>
      </c>
      <c r="D152" s="81" t="s">
        <v>198</v>
      </c>
      <c r="E152" s="1" t="str">
        <f t="shared" si="2"/>
        <v>121135190007260159</v>
      </c>
      <c r="F152" s="1">
        <v>18</v>
      </c>
    </row>
    <row r="153" spans="2:6" x14ac:dyDescent="0.25">
      <c r="B153" s="1">
        <v>151</v>
      </c>
      <c r="C153" s="81" t="s">
        <v>2598</v>
      </c>
      <c r="D153" s="81" t="s">
        <v>199</v>
      </c>
      <c r="E153" s="1" t="str">
        <f t="shared" si="2"/>
        <v>121135190007260160</v>
      </c>
      <c r="F153" s="1">
        <v>19</v>
      </c>
    </row>
    <row r="154" spans="2:6" x14ac:dyDescent="0.25">
      <c r="B154" s="1">
        <v>152</v>
      </c>
      <c r="C154" s="81" t="s">
        <v>2598</v>
      </c>
      <c r="D154" s="81" t="s">
        <v>200</v>
      </c>
      <c r="E154" s="1" t="str">
        <f t="shared" si="2"/>
        <v>121135190007260161</v>
      </c>
      <c r="F154" s="1">
        <v>20</v>
      </c>
    </row>
    <row r="155" spans="2:6" x14ac:dyDescent="0.25">
      <c r="B155" s="1">
        <v>153</v>
      </c>
      <c r="C155" s="81" t="s">
        <v>2598</v>
      </c>
      <c r="D155" s="81" t="s">
        <v>201</v>
      </c>
      <c r="E155" s="1" t="str">
        <f t="shared" si="2"/>
        <v>121135190007260162</v>
      </c>
      <c r="F155" s="1">
        <v>1</v>
      </c>
    </row>
    <row r="156" spans="2:6" x14ac:dyDescent="0.25">
      <c r="B156" s="1">
        <v>154</v>
      </c>
      <c r="C156" s="81" t="s">
        <v>2598</v>
      </c>
      <c r="D156" s="81" t="s">
        <v>202</v>
      </c>
      <c r="E156" s="1" t="str">
        <f t="shared" si="2"/>
        <v>121135190007260163</v>
      </c>
      <c r="F156" s="1">
        <v>2</v>
      </c>
    </row>
    <row r="157" spans="2:6" x14ac:dyDescent="0.25">
      <c r="B157" s="1">
        <v>155</v>
      </c>
      <c r="C157" s="81" t="s">
        <v>2598</v>
      </c>
      <c r="D157" s="81" t="s">
        <v>203</v>
      </c>
      <c r="E157" s="1" t="str">
        <f t="shared" si="2"/>
        <v>121135190007260164</v>
      </c>
      <c r="F157" s="1">
        <v>3</v>
      </c>
    </row>
    <row r="158" spans="2:6" x14ac:dyDescent="0.25">
      <c r="B158" s="1">
        <v>156</v>
      </c>
      <c r="C158" s="81" t="s">
        <v>2598</v>
      </c>
      <c r="D158" s="81" t="s">
        <v>204</v>
      </c>
      <c r="E158" s="1" t="str">
        <f t="shared" si="2"/>
        <v>121135190007260165</v>
      </c>
      <c r="F158" s="1">
        <v>4</v>
      </c>
    </row>
    <row r="159" spans="2:6" x14ac:dyDescent="0.25">
      <c r="B159" s="1">
        <v>157</v>
      </c>
      <c r="C159" s="81" t="s">
        <v>2598</v>
      </c>
      <c r="D159" s="81" t="s">
        <v>205</v>
      </c>
      <c r="E159" s="96" t="str">
        <f t="shared" si="2"/>
        <v>121135190007260166</v>
      </c>
      <c r="F159" s="1">
        <v>5</v>
      </c>
    </row>
    <row r="160" spans="2:6" x14ac:dyDescent="0.25">
      <c r="B160" s="1">
        <v>158</v>
      </c>
      <c r="C160" s="81" t="s">
        <v>2598</v>
      </c>
      <c r="D160" s="81" t="s">
        <v>206</v>
      </c>
      <c r="E160" s="96" t="str">
        <f t="shared" si="2"/>
        <v>121135190007260167</v>
      </c>
      <c r="F160" s="1">
        <v>6</v>
      </c>
    </row>
    <row r="161" spans="2:6" x14ac:dyDescent="0.25">
      <c r="B161" s="1">
        <v>159</v>
      </c>
      <c r="C161" s="81" t="s">
        <v>2598</v>
      </c>
      <c r="D161" s="81" t="s">
        <v>207</v>
      </c>
      <c r="E161" s="96" t="str">
        <f t="shared" si="2"/>
        <v>121135190007260168</v>
      </c>
      <c r="F161" s="1">
        <v>7</v>
      </c>
    </row>
    <row r="162" spans="2:6" x14ac:dyDescent="0.25">
      <c r="B162" s="1">
        <v>160</v>
      </c>
      <c r="C162" s="81" t="s">
        <v>2598</v>
      </c>
      <c r="D162" s="81" t="s">
        <v>208</v>
      </c>
      <c r="E162" s="96" t="str">
        <f t="shared" si="2"/>
        <v>121135190007260169</v>
      </c>
      <c r="F162" s="1">
        <v>8</v>
      </c>
    </row>
    <row r="163" spans="2:6" x14ac:dyDescent="0.25">
      <c r="B163" s="1">
        <v>161</v>
      </c>
      <c r="C163" s="81" t="s">
        <v>2598</v>
      </c>
      <c r="D163" s="81" t="s">
        <v>209</v>
      </c>
      <c r="E163" s="96" t="str">
        <f t="shared" si="2"/>
        <v>121135190007260170</v>
      </c>
      <c r="F163" s="1">
        <v>9</v>
      </c>
    </row>
    <row r="164" spans="2:6" x14ac:dyDescent="0.25">
      <c r="B164" s="1">
        <v>162</v>
      </c>
      <c r="C164" s="81" t="s">
        <v>2598</v>
      </c>
      <c r="D164" s="81" t="s">
        <v>210</v>
      </c>
      <c r="E164" s="96" t="str">
        <f t="shared" si="2"/>
        <v>121135190007260171</v>
      </c>
      <c r="F164" s="1">
        <v>10</v>
      </c>
    </row>
    <row r="165" spans="2:6" x14ac:dyDescent="0.25">
      <c r="B165" s="1">
        <v>163</v>
      </c>
      <c r="C165" s="81" t="s">
        <v>2598</v>
      </c>
      <c r="D165" s="81" t="s">
        <v>211</v>
      </c>
      <c r="E165" s="96" t="str">
        <f t="shared" si="2"/>
        <v>121135190007260172</v>
      </c>
      <c r="F165" s="1">
        <v>11</v>
      </c>
    </row>
    <row r="166" spans="2:6" x14ac:dyDescent="0.25">
      <c r="B166" s="1">
        <v>164</v>
      </c>
      <c r="C166" s="81" t="s">
        <v>2598</v>
      </c>
      <c r="D166" s="81" t="s">
        <v>212</v>
      </c>
      <c r="E166" s="96" t="str">
        <f t="shared" si="2"/>
        <v>121135190007260173</v>
      </c>
      <c r="F166" s="1">
        <v>12</v>
      </c>
    </row>
    <row r="167" spans="2:6" x14ac:dyDescent="0.25">
      <c r="B167" s="1">
        <v>165</v>
      </c>
      <c r="C167" s="81" t="s">
        <v>2598</v>
      </c>
      <c r="D167" s="81" t="s">
        <v>213</v>
      </c>
      <c r="E167" s="96" t="str">
        <f t="shared" si="2"/>
        <v>121135190007260174</v>
      </c>
      <c r="F167" s="1">
        <v>13</v>
      </c>
    </row>
    <row r="168" spans="2:6" x14ac:dyDescent="0.25">
      <c r="B168" s="1">
        <v>166</v>
      </c>
      <c r="C168" s="81" t="s">
        <v>2598</v>
      </c>
      <c r="D168" s="81" t="s">
        <v>214</v>
      </c>
      <c r="E168" s="96" t="str">
        <f t="shared" si="2"/>
        <v>121135190007260175</v>
      </c>
      <c r="F168" s="1">
        <v>14</v>
      </c>
    </row>
    <row r="169" spans="2:6" x14ac:dyDescent="0.25">
      <c r="B169" s="1">
        <v>167</v>
      </c>
      <c r="C169" s="81" t="s">
        <v>2598</v>
      </c>
      <c r="D169" s="81" t="s">
        <v>215</v>
      </c>
      <c r="E169" s="96" t="str">
        <f t="shared" si="2"/>
        <v>121135190007260176</v>
      </c>
      <c r="F169" s="1">
        <v>15</v>
      </c>
    </row>
    <row r="170" spans="2:6" x14ac:dyDescent="0.25">
      <c r="B170" s="1">
        <v>168</v>
      </c>
      <c r="C170" s="81" t="s">
        <v>2598</v>
      </c>
      <c r="D170" s="81" t="s">
        <v>216</v>
      </c>
      <c r="E170" s="96" t="str">
        <f t="shared" si="2"/>
        <v>121135190007260177</v>
      </c>
      <c r="F170" s="1">
        <v>16</v>
      </c>
    </row>
    <row r="171" spans="2:6" x14ac:dyDescent="0.25">
      <c r="B171" s="1">
        <v>169</v>
      </c>
      <c r="C171" s="81" t="s">
        <v>2598</v>
      </c>
      <c r="D171" s="81" t="s">
        <v>217</v>
      </c>
      <c r="E171" s="96" t="str">
        <f t="shared" si="2"/>
        <v>121135190007260178</v>
      </c>
      <c r="F171" s="1">
        <v>17</v>
      </c>
    </row>
    <row r="172" spans="2:6" x14ac:dyDescent="0.25">
      <c r="B172" s="1">
        <v>170</v>
      </c>
      <c r="C172" s="81" t="s">
        <v>2598</v>
      </c>
      <c r="D172" s="81" t="s">
        <v>218</v>
      </c>
      <c r="E172" s="96" t="str">
        <f t="shared" si="2"/>
        <v>121135190007260179</v>
      </c>
      <c r="F172" s="1">
        <v>18</v>
      </c>
    </row>
    <row r="173" spans="2:6" x14ac:dyDescent="0.25">
      <c r="B173" s="1">
        <v>171</v>
      </c>
      <c r="C173" s="81" t="s">
        <v>2598</v>
      </c>
      <c r="D173" s="81" t="s">
        <v>219</v>
      </c>
      <c r="E173" s="96" t="str">
        <f t="shared" si="2"/>
        <v>121135190007260180</v>
      </c>
      <c r="F173" s="1">
        <v>19</v>
      </c>
    </row>
    <row r="174" spans="2:6" x14ac:dyDescent="0.25">
      <c r="B174" s="1">
        <v>172</v>
      </c>
      <c r="C174" s="81" t="s">
        <v>2598</v>
      </c>
      <c r="D174" s="81" t="s">
        <v>220</v>
      </c>
      <c r="E174" s="96" t="str">
        <f t="shared" si="2"/>
        <v>121135190007260181</v>
      </c>
      <c r="F174" s="1">
        <v>20</v>
      </c>
    </row>
    <row r="175" spans="2:6" x14ac:dyDescent="0.25">
      <c r="B175" s="1">
        <v>173</v>
      </c>
      <c r="C175" s="81" t="s">
        <v>2598</v>
      </c>
      <c r="D175" s="81" t="s">
        <v>221</v>
      </c>
      <c r="E175" s="96" t="str">
        <f t="shared" si="2"/>
        <v>121135190007260182</v>
      </c>
      <c r="F175" s="1">
        <v>21</v>
      </c>
    </row>
    <row r="176" spans="2:6" x14ac:dyDescent="0.25">
      <c r="B176" s="1">
        <v>174</v>
      </c>
      <c r="C176" s="81" t="s">
        <v>2598</v>
      </c>
      <c r="D176" s="81" t="s">
        <v>222</v>
      </c>
      <c r="E176" s="96" t="str">
        <f t="shared" si="2"/>
        <v>121135190007260183</v>
      </c>
      <c r="F176" s="1"/>
    </row>
    <row r="177" spans="2:6" x14ac:dyDescent="0.25">
      <c r="B177" s="1">
        <v>175</v>
      </c>
      <c r="C177" s="81" t="s">
        <v>2598</v>
      </c>
      <c r="D177" s="81" t="s">
        <v>223</v>
      </c>
      <c r="E177" s="96" t="str">
        <f t="shared" si="2"/>
        <v>121135190007260184</v>
      </c>
      <c r="F177" s="1"/>
    </row>
    <row r="178" spans="2:6" x14ac:dyDescent="0.25">
      <c r="B178" s="1">
        <v>176</v>
      </c>
      <c r="C178" s="81" t="s">
        <v>2598</v>
      </c>
      <c r="D178" s="81" t="s">
        <v>224</v>
      </c>
      <c r="E178" s="96" t="str">
        <f t="shared" si="2"/>
        <v>121135190007260185</v>
      </c>
      <c r="F178" s="1"/>
    </row>
    <row r="179" spans="2:6" x14ac:dyDescent="0.25">
      <c r="B179" s="1">
        <v>177</v>
      </c>
      <c r="C179" s="81" t="s">
        <v>2598</v>
      </c>
      <c r="D179" s="81" t="s">
        <v>225</v>
      </c>
      <c r="E179" s="96" t="str">
        <f t="shared" si="2"/>
        <v>121135190007260186</v>
      </c>
      <c r="F179" s="1"/>
    </row>
    <row r="180" spans="2:6" x14ac:dyDescent="0.25">
      <c r="B180" s="1">
        <v>178</v>
      </c>
      <c r="C180" s="81" t="s">
        <v>2598</v>
      </c>
      <c r="D180" s="81" t="s">
        <v>226</v>
      </c>
      <c r="E180" s="96" t="str">
        <f t="shared" si="2"/>
        <v>121135190007260187</v>
      </c>
      <c r="F180" s="1"/>
    </row>
    <row r="181" spans="2:6" x14ac:dyDescent="0.25">
      <c r="B181" s="1">
        <v>179</v>
      </c>
      <c r="C181" s="81" t="s">
        <v>2598</v>
      </c>
      <c r="D181" s="81" t="s">
        <v>227</v>
      </c>
      <c r="E181" s="96" t="str">
        <f t="shared" si="2"/>
        <v>121135190007260188</v>
      </c>
      <c r="F181" s="1"/>
    </row>
    <row r="182" spans="2:6" x14ac:dyDescent="0.25">
      <c r="B182" s="1">
        <v>180</v>
      </c>
      <c r="C182" s="81" t="s">
        <v>2598</v>
      </c>
      <c r="D182" s="81" t="s">
        <v>228</v>
      </c>
      <c r="E182" s="96" t="str">
        <f t="shared" si="2"/>
        <v>121135190007260189</v>
      </c>
      <c r="F182" s="1"/>
    </row>
    <row r="183" spans="2:6" x14ac:dyDescent="0.25">
      <c r="B183" s="1">
        <v>181</v>
      </c>
      <c r="C183" s="81" t="s">
        <v>2598</v>
      </c>
      <c r="D183" s="81" t="s">
        <v>229</v>
      </c>
      <c r="E183" s="96" t="str">
        <f t="shared" si="2"/>
        <v>121135190007260190</v>
      </c>
      <c r="F183" s="1"/>
    </row>
    <row r="184" spans="2:6" x14ac:dyDescent="0.25">
      <c r="B184" s="1">
        <v>182</v>
      </c>
      <c r="C184" s="81" t="s">
        <v>2598</v>
      </c>
      <c r="D184" s="81" t="s">
        <v>230</v>
      </c>
      <c r="E184" s="96" t="str">
        <f t="shared" si="2"/>
        <v>121135190007260191</v>
      </c>
      <c r="F184" s="1"/>
    </row>
    <row r="185" spans="2:6" x14ac:dyDescent="0.25">
      <c r="B185" s="1">
        <v>183</v>
      </c>
      <c r="C185" s="81" t="s">
        <v>2598</v>
      </c>
      <c r="D185" s="81" t="s">
        <v>231</v>
      </c>
      <c r="E185" s="96" t="str">
        <f t="shared" si="2"/>
        <v>121135190007260192</v>
      </c>
      <c r="F185" s="1"/>
    </row>
    <row r="186" spans="2:6" x14ac:dyDescent="0.25">
      <c r="B186" s="1">
        <v>184</v>
      </c>
      <c r="C186" s="81" t="s">
        <v>2598</v>
      </c>
      <c r="D186" s="81" t="s">
        <v>232</v>
      </c>
      <c r="E186" s="96" t="str">
        <f t="shared" si="2"/>
        <v>121135190007260193</v>
      </c>
      <c r="F186" s="1"/>
    </row>
    <row r="187" spans="2:6" x14ac:dyDescent="0.25">
      <c r="B187" s="1">
        <v>185</v>
      </c>
      <c r="C187" s="81" t="s">
        <v>2598</v>
      </c>
      <c r="D187" s="81" t="s">
        <v>233</v>
      </c>
      <c r="E187" s="96" t="str">
        <f t="shared" si="2"/>
        <v>121135190007260194</v>
      </c>
      <c r="F187" s="1"/>
    </row>
    <row r="188" spans="2:6" x14ac:dyDescent="0.25">
      <c r="B188" s="1">
        <v>186</v>
      </c>
      <c r="C188" s="81" t="s">
        <v>2598</v>
      </c>
      <c r="D188" s="81" t="s">
        <v>234</v>
      </c>
      <c r="E188" s="96" t="str">
        <f t="shared" si="2"/>
        <v>121135190007260195</v>
      </c>
      <c r="F188" s="1"/>
    </row>
    <row r="189" spans="2:6" x14ac:dyDescent="0.25">
      <c r="B189" s="1">
        <v>187</v>
      </c>
      <c r="C189" s="81" t="s">
        <v>2598</v>
      </c>
      <c r="D189" s="81" t="s">
        <v>235</v>
      </c>
      <c r="E189" s="96" t="str">
        <f t="shared" si="2"/>
        <v>121135190007260196</v>
      </c>
      <c r="F189" s="1"/>
    </row>
    <row r="190" spans="2:6" x14ac:dyDescent="0.25">
      <c r="B190" s="1">
        <v>188</v>
      </c>
      <c r="C190" s="81" t="s">
        <v>2598</v>
      </c>
      <c r="D190" s="81" t="s">
        <v>236</v>
      </c>
      <c r="E190" s="1" t="str">
        <f t="shared" si="2"/>
        <v>121135190007260197</v>
      </c>
      <c r="F190" s="1"/>
    </row>
    <row r="191" spans="2:6" x14ac:dyDescent="0.25">
      <c r="B191" s="1">
        <v>189</v>
      </c>
      <c r="C191" s="81" t="s">
        <v>2598</v>
      </c>
      <c r="D191" s="81" t="s">
        <v>237</v>
      </c>
      <c r="E191" s="1" t="str">
        <f t="shared" si="2"/>
        <v>121135190007260198</v>
      </c>
      <c r="F191" s="1"/>
    </row>
    <row r="192" spans="2:6" x14ac:dyDescent="0.25">
      <c r="B192" s="1">
        <v>190</v>
      </c>
      <c r="C192" s="81" t="s">
        <v>2598</v>
      </c>
      <c r="D192" s="81" t="s">
        <v>238</v>
      </c>
      <c r="E192" s="1" t="str">
        <f t="shared" si="2"/>
        <v>121135190007260199</v>
      </c>
      <c r="F192" s="1"/>
    </row>
    <row r="193" spans="2:6" x14ac:dyDescent="0.25">
      <c r="B193" s="1">
        <v>191</v>
      </c>
      <c r="C193" s="81" t="s">
        <v>2598</v>
      </c>
      <c r="D193" s="81" t="s">
        <v>239</v>
      </c>
      <c r="E193" s="1" t="str">
        <f t="shared" si="2"/>
        <v>121135190007260200</v>
      </c>
      <c r="F193" s="1"/>
    </row>
    <row r="194" spans="2:6" x14ac:dyDescent="0.25">
      <c r="B194" s="1">
        <v>192</v>
      </c>
      <c r="C194" s="81" t="s">
        <v>2598</v>
      </c>
      <c r="D194" s="81" t="s">
        <v>240</v>
      </c>
      <c r="E194" s="1" t="str">
        <f t="shared" si="2"/>
        <v>121135190007260201</v>
      </c>
      <c r="F194" s="1"/>
    </row>
    <row r="195" spans="2:6" x14ac:dyDescent="0.25">
      <c r="B195" s="1">
        <v>193</v>
      </c>
      <c r="C195" s="81" t="s">
        <v>2598</v>
      </c>
      <c r="D195" s="81" t="s">
        <v>241</v>
      </c>
      <c r="E195" s="1" t="str">
        <f t="shared" si="2"/>
        <v>121135190007260202</v>
      </c>
      <c r="F195" s="1"/>
    </row>
    <row r="196" spans="2:6" x14ac:dyDescent="0.25">
      <c r="B196" s="1">
        <v>194</v>
      </c>
      <c r="C196" s="81" t="s">
        <v>2598</v>
      </c>
      <c r="D196" s="81" t="s">
        <v>242</v>
      </c>
      <c r="E196" s="1" t="str">
        <f t="shared" ref="E196:E235" si="3">C196&amp;""&amp;D196</f>
        <v>121135190007260203</v>
      </c>
      <c r="F196" s="1"/>
    </row>
    <row r="197" spans="2:6" x14ac:dyDescent="0.25">
      <c r="B197" s="1">
        <v>195</v>
      </c>
      <c r="C197" s="81" t="s">
        <v>2598</v>
      </c>
      <c r="D197" s="81" t="s">
        <v>35</v>
      </c>
      <c r="E197" s="1" t="str">
        <f t="shared" si="3"/>
        <v>121135190007260204</v>
      </c>
      <c r="F197" s="1"/>
    </row>
    <row r="198" spans="2:6" x14ac:dyDescent="0.25">
      <c r="B198" s="1">
        <v>196</v>
      </c>
      <c r="C198" s="81" t="s">
        <v>2598</v>
      </c>
      <c r="D198" s="81" t="s">
        <v>36</v>
      </c>
      <c r="E198" s="1" t="str">
        <f t="shared" si="3"/>
        <v>121135190007260205</v>
      </c>
      <c r="F198" s="1"/>
    </row>
    <row r="199" spans="2:6" x14ac:dyDescent="0.25">
      <c r="B199" s="1">
        <v>197</v>
      </c>
      <c r="C199" s="81" t="s">
        <v>2598</v>
      </c>
      <c r="D199" s="81" t="s">
        <v>37</v>
      </c>
      <c r="E199" s="1" t="str">
        <f t="shared" si="3"/>
        <v>121135190007260206</v>
      </c>
      <c r="F199" s="1"/>
    </row>
    <row r="200" spans="2:6" x14ac:dyDescent="0.25">
      <c r="B200" s="1">
        <v>198</v>
      </c>
      <c r="C200" s="81" t="s">
        <v>2598</v>
      </c>
      <c r="D200" s="81" t="s">
        <v>38</v>
      </c>
      <c r="E200" s="1" t="str">
        <f t="shared" si="3"/>
        <v>121135190007260207</v>
      </c>
      <c r="F200" s="1"/>
    </row>
    <row r="201" spans="2:6" x14ac:dyDescent="0.25">
      <c r="B201" s="1">
        <v>199</v>
      </c>
      <c r="C201" s="81" t="s">
        <v>2598</v>
      </c>
      <c r="D201" s="81" t="s">
        <v>39</v>
      </c>
      <c r="E201" s="1" t="str">
        <f t="shared" si="3"/>
        <v>121135190007260208</v>
      </c>
      <c r="F201" s="1"/>
    </row>
    <row r="202" spans="2:6" x14ac:dyDescent="0.25">
      <c r="B202" s="1">
        <v>200</v>
      </c>
      <c r="C202" s="81" t="s">
        <v>2598</v>
      </c>
      <c r="D202" s="81" t="s">
        <v>40</v>
      </c>
      <c r="E202" s="1" t="str">
        <f t="shared" si="3"/>
        <v>121135190007260209</v>
      </c>
      <c r="F202" s="1"/>
    </row>
    <row r="203" spans="2:6" x14ac:dyDescent="0.25">
      <c r="B203" s="1">
        <v>201</v>
      </c>
      <c r="C203" s="81" t="s">
        <v>2598</v>
      </c>
      <c r="D203" s="81" t="s">
        <v>41</v>
      </c>
      <c r="E203" s="1" t="str">
        <f t="shared" si="3"/>
        <v>121135190007260210</v>
      </c>
      <c r="F203" s="1"/>
    </row>
    <row r="204" spans="2:6" x14ac:dyDescent="0.25">
      <c r="B204" s="1">
        <v>202</v>
      </c>
      <c r="C204" s="81" t="s">
        <v>2598</v>
      </c>
      <c r="D204" s="81" t="s">
        <v>42</v>
      </c>
      <c r="E204" s="1" t="str">
        <f t="shared" si="3"/>
        <v>121135190007260211</v>
      </c>
      <c r="F204" s="1"/>
    </row>
    <row r="205" spans="2:6" x14ac:dyDescent="0.25">
      <c r="B205" s="1">
        <v>203</v>
      </c>
      <c r="C205" s="81" t="s">
        <v>2598</v>
      </c>
      <c r="D205" s="81" t="s">
        <v>43</v>
      </c>
      <c r="E205" s="1" t="str">
        <f t="shared" si="3"/>
        <v>121135190007260212</v>
      </c>
      <c r="F205" s="1"/>
    </row>
    <row r="206" spans="2:6" x14ac:dyDescent="0.25">
      <c r="B206" s="1">
        <v>204</v>
      </c>
      <c r="C206" s="81" t="s">
        <v>2598</v>
      </c>
      <c r="D206" s="81" t="s">
        <v>44</v>
      </c>
      <c r="E206" s="1" t="str">
        <f t="shared" si="3"/>
        <v>121135190007260213</v>
      </c>
      <c r="F206" s="1"/>
    </row>
    <row r="207" spans="2:6" x14ac:dyDescent="0.25">
      <c r="B207" s="1">
        <v>205</v>
      </c>
      <c r="C207" s="81" t="s">
        <v>2598</v>
      </c>
      <c r="D207" s="81" t="s">
        <v>45</v>
      </c>
      <c r="E207" s="1" t="str">
        <f t="shared" si="3"/>
        <v>121135190007260214</v>
      </c>
      <c r="F207" s="1"/>
    </row>
    <row r="208" spans="2:6" x14ac:dyDescent="0.25">
      <c r="B208" s="1">
        <v>206</v>
      </c>
      <c r="C208" s="81" t="s">
        <v>2598</v>
      </c>
      <c r="D208" s="81" t="s">
        <v>46</v>
      </c>
      <c r="E208" s="1" t="str">
        <f t="shared" si="3"/>
        <v>121135190007260215</v>
      </c>
      <c r="F208" s="1"/>
    </row>
    <row r="209" spans="2:6" x14ac:dyDescent="0.25">
      <c r="B209" s="1">
        <v>207</v>
      </c>
      <c r="C209" s="81" t="s">
        <v>2598</v>
      </c>
      <c r="D209" s="81" t="s">
        <v>47</v>
      </c>
      <c r="E209" s="1" t="str">
        <f t="shared" si="3"/>
        <v>121135190007260216</v>
      </c>
      <c r="F209" s="1"/>
    </row>
    <row r="210" spans="2:6" x14ac:dyDescent="0.25">
      <c r="B210" s="1">
        <v>208</v>
      </c>
      <c r="C210" s="81" t="s">
        <v>2598</v>
      </c>
      <c r="D210" s="81" t="s">
        <v>48</v>
      </c>
      <c r="E210" s="1" t="str">
        <f t="shared" si="3"/>
        <v>121135190007260217</v>
      </c>
      <c r="F210" s="1"/>
    </row>
    <row r="211" spans="2:6" x14ac:dyDescent="0.25">
      <c r="B211" s="1">
        <v>209</v>
      </c>
      <c r="C211" s="81" t="s">
        <v>2598</v>
      </c>
      <c r="D211" s="81" t="s">
        <v>894</v>
      </c>
      <c r="E211" s="1" t="str">
        <f t="shared" si="3"/>
        <v>121135190007260218</v>
      </c>
      <c r="F211" s="1"/>
    </row>
    <row r="212" spans="2:6" x14ac:dyDescent="0.25">
      <c r="B212" s="1">
        <v>210</v>
      </c>
      <c r="C212" s="81" t="s">
        <v>2598</v>
      </c>
      <c r="D212" s="81" t="s">
        <v>895</v>
      </c>
      <c r="E212" s="1" t="str">
        <f t="shared" si="3"/>
        <v>121135190007260219</v>
      </c>
      <c r="F212" s="1"/>
    </row>
    <row r="213" spans="2:6" x14ac:dyDescent="0.25">
      <c r="B213" s="1">
        <v>211</v>
      </c>
      <c r="C213" s="81" t="s">
        <v>2598</v>
      </c>
      <c r="D213" s="81" t="s">
        <v>896</v>
      </c>
      <c r="E213" s="1" t="str">
        <f t="shared" si="3"/>
        <v>121135190007260220</v>
      </c>
      <c r="F213" s="1"/>
    </row>
    <row r="214" spans="2:6" x14ac:dyDescent="0.25">
      <c r="B214" s="1">
        <v>212</v>
      </c>
      <c r="C214" s="81" t="s">
        <v>2598</v>
      </c>
      <c r="D214" s="81" t="s">
        <v>897</v>
      </c>
      <c r="E214" s="1" t="str">
        <f t="shared" si="3"/>
        <v>121135190007260221</v>
      </c>
      <c r="F214" s="1"/>
    </row>
    <row r="215" spans="2:6" x14ac:dyDescent="0.25">
      <c r="B215" s="1">
        <v>213</v>
      </c>
      <c r="C215" s="81" t="s">
        <v>2598</v>
      </c>
      <c r="D215" s="81" t="s">
        <v>898</v>
      </c>
      <c r="E215" s="1" t="str">
        <f t="shared" si="3"/>
        <v>121135190007260222</v>
      </c>
      <c r="F215" s="1"/>
    </row>
    <row r="216" spans="2:6" x14ac:dyDescent="0.25">
      <c r="B216" s="1">
        <v>214</v>
      </c>
      <c r="C216" s="81" t="s">
        <v>2598</v>
      </c>
      <c r="D216" s="81" t="s">
        <v>899</v>
      </c>
      <c r="E216" s="1" t="str">
        <f t="shared" si="3"/>
        <v>121135190007260223</v>
      </c>
      <c r="F216" s="1"/>
    </row>
    <row r="217" spans="2:6" x14ac:dyDescent="0.25">
      <c r="B217" s="1">
        <v>215</v>
      </c>
      <c r="C217" s="81" t="s">
        <v>2598</v>
      </c>
      <c r="D217" s="81" t="s">
        <v>900</v>
      </c>
      <c r="E217" s="1" t="str">
        <f t="shared" si="3"/>
        <v>121135190007260224</v>
      </c>
      <c r="F217" s="1"/>
    </row>
    <row r="218" spans="2:6" x14ac:dyDescent="0.25">
      <c r="B218" s="1">
        <v>216</v>
      </c>
      <c r="C218" s="81" t="s">
        <v>2598</v>
      </c>
      <c r="D218" s="81" t="s">
        <v>901</v>
      </c>
      <c r="E218" s="1" t="str">
        <f t="shared" si="3"/>
        <v>121135190007260225</v>
      </c>
      <c r="F218" s="1"/>
    </row>
    <row r="219" spans="2:6" x14ac:dyDescent="0.25">
      <c r="B219" s="1">
        <v>217</v>
      </c>
      <c r="C219" s="81" t="s">
        <v>2598</v>
      </c>
      <c r="D219" s="81" t="s">
        <v>902</v>
      </c>
      <c r="E219" s="1" t="str">
        <f t="shared" si="3"/>
        <v>121135190007260226</v>
      </c>
      <c r="F219" s="1"/>
    </row>
    <row r="220" spans="2:6" x14ac:dyDescent="0.25">
      <c r="B220" s="1">
        <v>218</v>
      </c>
      <c r="C220" s="81" t="s">
        <v>2598</v>
      </c>
      <c r="D220" s="81" t="s">
        <v>903</v>
      </c>
      <c r="E220" s="1" t="str">
        <f t="shared" si="3"/>
        <v>121135190007260227</v>
      </c>
      <c r="F220" s="1"/>
    </row>
    <row r="221" spans="2:6" x14ac:dyDescent="0.25">
      <c r="B221" s="1">
        <v>219</v>
      </c>
      <c r="C221" s="81" t="s">
        <v>2598</v>
      </c>
      <c r="D221" s="81" t="s">
        <v>904</v>
      </c>
      <c r="E221" s="1" t="str">
        <f t="shared" si="3"/>
        <v>121135190007260228</v>
      </c>
      <c r="F221" s="1"/>
    </row>
    <row r="222" spans="2:6" x14ac:dyDescent="0.25">
      <c r="B222" s="1">
        <v>220</v>
      </c>
      <c r="C222" s="81" t="s">
        <v>2598</v>
      </c>
      <c r="D222" s="81" t="s">
        <v>905</v>
      </c>
      <c r="E222" s="1" t="str">
        <f t="shared" si="3"/>
        <v>121135190007260229</v>
      </c>
      <c r="F222" s="1"/>
    </row>
    <row r="223" spans="2:6" x14ac:dyDescent="0.25">
      <c r="B223" s="1">
        <v>221</v>
      </c>
      <c r="C223" s="81" t="s">
        <v>2598</v>
      </c>
      <c r="D223" s="81" t="s">
        <v>906</v>
      </c>
      <c r="E223" s="1" t="str">
        <f t="shared" si="3"/>
        <v>121135190007260230</v>
      </c>
      <c r="F223" s="1"/>
    </row>
    <row r="224" spans="2:6" x14ac:dyDescent="0.25">
      <c r="B224" s="1">
        <v>222</v>
      </c>
      <c r="C224" s="81" t="s">
        <v>2598</v>
      </c>
      <c r="D224" s="81" t="s">
        <v>907</v>
      </c>
      <c r="E224" s="1" t="str">
        <f t="shared" si="3"/>
        <v>121135190007260231</v>
      </c>
      <c r="F224" s="1"/>
    </row>
    <row r="225" spans="2:6" x14ac:dyDescent="0.25">
      <c r="B225" s="1">
        <v>223</v>
      </c>
      <c r="C225" s="81" t="s">
        <v>2598</v>
      </c>
      <c r="D225" s="81" t="s">
        <v>908</v>
      </c>
      <c r="E225" s="1" t="str">
        <f t="shared" si="3"/>
        <v>121135190007260232</v>
      </c>
      <c r="F225" s="1"/>
    </row>
    <row r="226" spans="2:6" x14ac:dyDescent="0.25">
      <c r="B226" s="1">
        <v>224</v>
      </c>
      <c r="C226" s="81" t="s">
        <v>2598</v>
      </c>
      <c r="D226" s="81" t="s">
        <v>909</v>
      </c>
      <c r="E226" s="1" t="str">
        <f t="shared" si="3"/>
        <v>121135190007260233</v>
      </c>
      <c r="F226" s="1"/>
    </row>
    <row r="227" spans="2:6" x14ac:dyDescent="0.25">
      <c r="B227" s="1">
        <v>225</v>
      </c>
      <c r="C227" s="81" t="s">
        <v>2598</v>
      </c>
      <c r="D227" s="81" t="s">
        <v>2599</v>
      </c>
      <c r="E227" s="1" t="str">
        <f t="shared" si="3"/>
        <v>121135190007260234</v>
      </c>
      <c r="F227" s="1"/>
    </row>
    <row r="228" spans="2:6" x14ac:dyDescent="0.25">
      <c r="B228" s="1">
        <v>226</v>
      </c>
      <c r="C228" s="81" t="s">
        <v>2598</v>
      </c>
      <c r="D228" s="81" t="s">
        <v>2600</v>
      </c>
      <c r="E228" s="1" t="str">
        <f t="shared" si="3"/>
        <v>121135190007260235</v>
      </c>
      <c r="F228" s="1"/>
    </row>
    <row r="229" spans="2:6" x14ac:dyDescent="0.25">
      <c r="B229" s="1">
        <v>227</v>
      </c>
      <c r="C229" s="81" t="s">
        <v>2598</v>
      </c>
      <c r="D229" s="81" t="s">
        <v>2601</v>
      </c>
      <c r="E229" s="1" t="str">
        <f t="shared" si="3"/>
        <v>121135190007260236</v>
      </c>
      <c r="F229" s="1"/>
    </row>
    <row r="230" spans="2:6" x14ac:dyDescent="0.25">
      <c r="B230" s="1">
        <v>228</v>
      </c>
      <c r="C230" s="81" t="s">
        <v>2598</v>
      </c>
      <c r="D230" s="81" t="s">
        <v>2602</v>
      </c>
      <c r="E230" s="1" t="str">
        <f t="shared" si="3"/>
        <v>121135190007260237</v>
      </c>
      <c r="F230" s="1"/>
    </row>
    <row r="231" spans="2:6" x14ac:dyDescent="0.25">
      <c r="B231" s="1">
        <v>229</v>
      </c>
      <c r="C231" s="81" t="s">
        <v>2598</v>
      </c>
      <c r="D231" s="81" t="s">
        <v>2603</v>
      </c>
      <c r="E231" s="1" t="str">
        <f t="shared" si="3"/>
        <v>121135190007260238</v>
      </c>
      <c r="F231" s="1"/>
    </row>
    <row r="232" spans="2:6" x14ac:dyDescent="0.25">
      <c r="B232" s="1">
        <v>230</v>
      </c>
      <c r="C232" s="81" t="s">
        <v>2598</v>
      </c>
      <c r="D232" s="81" t="s">
        <v>2604</v>
      </c>
      <c r="E232" s="1" t="str">
        <f t="shared" si="3"/>
        <v>121135190007260239</v>
      </c>
      <c r="F232" s="1"/>
    </row>
    <row r="233" spans="2:6" x14ac:dyDescent="0.25">
      <c r="B233" s="1">
        <v>231</v>
      </c>
      <c r="C233" s="81" t="s">
        <v>2598</v>
      </c>
      <c r="D233" s="81" t="s">
        <v>2605</v>
      </c>
      <c r="E233" s="1" t="str">
        <f t="shared" si="3"/>
        <v>121135190007260240</v>
      </c>
      <c r="F233" s="1"/>
    </row>
    <row r="234" spans="2:6" x14ac:dyDescent="0.25">
      <c r="B234" s="1">
        <v>232</v>
      </c>
      <c r="C234" s="81" t="s">
        <v>2598</v>
      </c>
      <c r="D234" s="81" t="s">
        <v>2606</v>
      </c>
      <c r="E234" s="1" t="str">
        <f t="shared" si="3"/>
        <v>121135190007260241</v>
      </c>
      <c r="F234" s="1"/>
    </row>
    <row r="235" spans="2:6" x14ac:dyDescent="0.25">
      <c r="B235" s="1">
        <v>233</v>
      </c>
      <c r="C235" s="81" t="s">
        <v>2598</v>
      </c>
      <c r="D235" s="81" t="s">
        <v>2607</v>
      </c>
      <c r="E235" s="1" t="str">
        <f t="shared" si="3"/>
        <v>121135190007260242</v>
      </c>
      <c r="F235" s="1"/>
    </row>
  </sheetData>
  <phoneticPr fontId="2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Kelas 7</vt:lpstr>
      <vt:lpstr>Kelas 8</vt:lpstr>
      <vt:lpstr>Kelas 9</vt:lpstr>
      <vt:lpstr>Lulus 2026</vt:lpstr>
      <vt:lpstr>Lulus 2025</vt:lpstr>
      <vt:lpstr>Lulus 2024</vt:lpstr>
      <vt:lpstr>Sheet1</vt:lpstr>
      <vt:lpstr>'Lulus 2024'!Print_Area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Doni</dc:creator>
  <cp:lastModifiedBy>USER</cp:lastModifiedBy>
  <cp:lastPrinted>2026-07-23T06:16:18Z</cp:lastPrinted>
  <dcterms:created xsi:type="dcterms:W3CDTF">2017-07-31T01:45:08Z</dcterms:created>
  <dcterms:modified xsi:type="dcterms:W3CDTF">2026-09-01T08:12:04Z</dcterms:modified>
</cp:coreProperties>
</file>