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SISWA\DATA SISWA TP 26.27\"/>
    </mc:Choice>
  </mc:AlternateContent>
  <xr:revisionPtr revIDLastSave="0" documentId="13_ncr:1_{37C433F2-A172-4508-844B-BB6122554059}" xr6:coauthVersionLast="47" xr6:coauthVersionMax="47" xr10:uidLastSave="{00000000-0000-0000-0000-000000000000}"/>
  <bookViews>
    <workbookView xWindow="-120" yWindow="-120" windowWidth="20730" windowHeight="11160" tabRatio="809" xr2:uid="{00000000-000D-0000-FFFF-FFFF00000000}"/>
  </bookViews>
  <sheets>
    <sheet name="7.3 (2)" sheetId="69" r:id="rId1"/>
    <sheet name="7.2 (2)" sheetId="68" r:id="rId2"/>
    <sheet name="7.1 (2)" sheetId="67" r:id="rId3"/>
    <sheet name="7.1" sheetId="55" r:id="rId4"/>
    <sheet name="7.2" sheetId="56" r:id="rId5"/>
    <sheet name="7.3" sheetId="54" r:id="rId6"/>
    <sheet name="DATA SISWA KLS 7" sheetId="26" r:id="rId7"/>
    <sheet name="Sheet1" sheetId="37" r:id="rId8"/>
    <sheet name="Sheet2" sheetId="38" r:id="rId9"/>
    <sheet name="guuru" sheetId="49" r:id="rId10"/>
    <sheet name="DAFTAR TTD RAPOT" sheetId="66" r:id="rId11"/>
  </sheets>
  <definedNames>
    <definedName name="_xlnm._FilterDatabase" localSheetId="6" hidden="1">'DATA SISWA KLS 7'!$A$1:$D$136</definedName>
    <definedName name="DATA">'DATA SISWA KLS 7'!#REF!</definedName>
    <definedName name="DATA1">'DATA SISWA KLS 7'!#REF!</definedName>
    <definedName name="_xlnm.Print_Area" localSheetId="3">'7.1'!$A$1:$P$52</definedName>
    <definedName name="_xlnm.Print_Area" localSheetId="2">'7.1 (2)'!$A$1:$J$52</definedName>
    <definedName name="_xlnm.Print_Area" localSheetId="4">'7.2'!$A$1:$P$52</definedName>
    <definedName name="_xlnm.Print_Area" localSheetId="1">'7.2 (2)'!$A$1:$J$52</definedName>
    <definedName name="_xlnm.Print_Area" localSheetId="5">'7.3'!$A$1:$P$53</definedName>
    <definedName name="_xlnm.Print_Area" localSheetId="0">'7.3 (2)'!$A$1:$J$52</definedName>
    <definedName name="_xlnm.Print_Area" localSheetId="10">'DAFTAR TTD RAPOT'!$A$1:$P$50</definedName>
    <definedName name="_xlnm.Print_Area" localSheetId="6">'DATA SISWA KLS 7'!$A$2:$D$136</definedName>
  </definedNames>
  <calcPr calcId="181029"/>
</workbook>
</file>

<file path=xl/calcChain.xml><?xml version="1.0" encoding="utf-8"?>
<calcChain xmlns="http://schemas.openxmlformats.org/spreadsheetml/2006/main">
  <c r="C52" i="69" l="1"/>
  <c r="D45" i="69"/>
  <c r="B45" i="69"/>
  <c r="D44" i="69"/>
  <c r="B44" i="69"/>
  <c r="D43" i="69"/>
  <c r="B43" i="69"/>
  <c r="D42" i="69"/>
  <c r="B42" i="69"/>
  <c r="D41" i="69"/>
  <c r="B41" i="69"/>
  <c r="D40" i="69"/>
  <c r="B40" i="69"/>
  <c r="D39" i="69"/>
  <c r="B39" i="69"/>
  <c r="D38" i="69"/>
  <c r="B38" i="69"/>
  <c r="D37" i="69"/>
  <c r="B37" i="69"/>
  <c r="D36" i="69"/>
  <c r="B36" i="69"/>
  <c r="D35" i="69"/>
  <c r="B35" i="69"/>
  <c r="D34" i="69"/>
  <c r="B34" i="69"/>
  <c r="D33" i="69"/>
  <c r="B33" i="69"/>
  <c r="D32" i="69"/>
  <c r="B32" i="69"/>
  <c r="D31" i="69"/>
  <c r="B31" i="69"/>
  <c r="D30" i="69"/>
  <c r="B30" i="69"/>
  <c r="D29" i="69"/>
  <c r="B29" i="69"/>
  <c r="D28" i="69"/>
  <c r="B28" i="69"/>
  <c r="D27" i="69"/>
  <c r="B27" i="69"/>
  <c r="D26" i="69"/>
  <c r="B26" i="69"/>
  <c r="D25" i="69"/>
  <c r="B25" i="69"/>
  <c r="D24" i="69"/>
  <c r="B24" i="69"/>
  <c r="D23" i="69"/>
  <c r="B23" i="69"/>
  <c r="D22" i="69"/>
  <c r="B22" i="69"/>
  <c r="D21" i="69"/>
  <c r="B21" i="69"/>
  <c r="D20" i="69"/>
  <c r="B20" i="69"/>
  <c r="D19" i="69"/>
  <c r="B19" i="69"/>
  <c r="D18" i="69"/>
  <c r="B18" i="69"/>
  <c r="D17" i="69"/>
  <c r="B17" i="69"/>
  <c r="D16" i="69"/>
  <c r="B16" i="69"/>
  <c r="D15" i="69"/>
  <c r="B15" i="69"/>
  <c r="D14" i="69"/>
  <c r="B14" i="69"/>
  <c r="D13" i="69"/>
  <c r="B13" i="69"/>
  <c r="D12" i="69"/>
  <c r="B12" i="69"/>
  <c r="D11" i="69"/>
  <c r="C49" i="69" s="1"/>
  <c r="B11" i="69"/>
  <c r="D10" i="69"/>
  <c r="C50" i="69" s="1"/>
  <c r="B10" i="69"/>
  <c r="D9" i="69"/>
  <c r="B9" i="69"/>
  <c r="C51" i="68"/>
  <c r="D44" i="68"/>
  <c r="B44" i="68"/>
  <c r="D43" i="68"/>
  <c r="B43" i="68"/>
  <c r="D42" i="68"/>
  <c r="B42" i="68"/>
  <c r="D41" i="68"/>
  <c r="B41" i="68"/>
  <c r="D40" i="68"/>
  <c r="B40" i="68"/>
  <c r="D39" i="68"/>
  <c r="B39" i="68"/>
  <c r="D38" i="68"/>
  <c r="B38" i="68"/>
  <c r="D37" i="68"/>
  <c r="B37" i="68"/>
  <c r="D36" i="68"/>
  <c r="B36" i="68"/>
  <c r="D35" i="68"/>
  <c r="B35" i="68"/>
  <c r="D34" i="68"/>
  <c r="B34" i="68"/>
  <c r="D33" i="68"/>
  <c r="B33" i="68"/>
  <c r="D32" i="68"/>
  <c r="B32" i="68"/>
  <c r="D31" i="68"/>
  <c r="B31" i="68"/>
  <c r="D30" i="68"/>
  <c r="B30" i="68"/>
  <c r="D29" i="68"/>
  <c r="B29" i="68"/>
  <c r="D28" i="68"/>
  <c r="B28" i="68"/>
  <c r="D27" i="68"/>
  <c r="B27" i="68"/>
  <c r="D26" i="68"/>
  <c r="B26" i="68"/>
  <c r="D25" i="68"/>
  <c r="B25" i="68"/>
  <c r="D24" i="68"/>
  <c r="B24" i="68"/>
  <c r="D23" i="68"/>
  <c r="B23" i="68"/>
  <c r="D22" i="68"/>
  <c r="B22" i="68"/>
  <c r="D21" i="68"/>
  <c r="B21" i="68"/>
  <c r="D20" i="68"/>
  <c r="B20" i="68"/>
  <c r="D19" i="68"/>
  <c r="B19" i="68"/>
  <c r="D18" i="68"/>
  <c r="B18" i="68"/>
  <c r="D17" i="68"/>
  <c r="B17" i="68"/>
  <c r="D16" i="68"/>
  <c r="B16" i="68"/>
  <c r="D15" i="68"/>
  <c r="B15" i="68"/>
  <c r="D14" i="68"/>
  <c r="B14" i="68"/>
  <c r="D13" i="68"/>
  <c r="B13" i="68"/>
  <c r="D12" i="68"/>
  <c r="B12" i="68"/>
  <c r="D11" i="68"/>
  <c r="B11" i="68"/>
  <c r="D10" i="68"/>
  <c r="B10" i="68"/>
  <c r="D9" i="68"/>
  <c r="C49" i="68" s="1"/>
  <c r="B9" i="68"/>
  <c r="C51" i="67"/>
  <c r="D44" i="67"/>
  <c r="B44" i="67"/>
  <c r="D43" i="67"/>
  <c r="B43" i="67"/>
  <c r="D42" i="67"/>
  <c r="B42" i="67"/>
  <c r="D41" i="67"/>
  <c r="B41" i="67"/>
  <c r="D40" i="67"/>
  <c r="B40" i="67"/>
  <c r="D39" i="67"/>
  <c r="B39" i="67"/>
  <c r="D38" i="67"/>
  <c r="B38" i="67"/>
  <c r="D37" i="67"/>
  <c r="B37" i="67"/>
  <c r="D36" i="67"/>
  <c r="B36" i="67"/>
  <c r="D35" i="67"/>
  <c r="B35" i="67"/>
  <c r="D34" i="67"/>
  <c r="B34" i="67"/>
  <c r="D33" i="67"/>
  <c r="B33" i="67"/>
  <c r="D32" i="67"/>
  <c r="B32" i="67"/>
  <c r="D31" i="67"/>
  <c r="B31" i="67"/>
  <c r="D30" i="67"/>
  <c r="B30" i="67"/>
  <c r="D29" i="67"/>
  <c r="B29" i="67"/>
  <c r="D28" i="67"/>
  <c r="B28" i="67"/>
  <c r="D27" i="67"/>
  <c r="B27" i="67"/>
  <c r="D26" i="67"/>
  <c r="B26" i="67"/>
  <c r="D25" i="67"/>
  <c r="B25" i="67"/>
  <c r="D24" i="67"/>
  <c r="B24" i="67"/>
  <c r="D23" i="67"/>
  <c r="B23" i="67"/>
  <c r="D22" i="67"/>
  <c r="B22" i="67"/>
  <c r="D21" i="67"/>
  <c r="B21" i="67"/>
  <c r="D20" i="67"/>
  <c r="B20" i="67"/>
  <c r="D19" i="67"/>
  <c r="B19" i="67"/>
  <c r="D18" i="67"/>
  <c r="B18" i="67"/>
  <c r="D17" i="67"/>
  <c r="B17" i="67"/>
  <c r="D16" i="67"/>
  <c r="B16" i="67"/>
  <c r="D15" i="67"/>
  <c r="B15" i="67"/>
  <c r="D14" i="67"/>
  <c r="B14" i="67"/>
  <c r="D13" i="67"/>
  <c r="B13" i="67"/>
  <c r="D12" i="67"/>
  <c r="B12" i="67"/>
  <c r="D11" i="67"/>
  <c r="B11" i="67"/>
  <c r="D10" i="67"/>
  <c r="B10" i="67"/>
  <c r="D9" i="67"/>
  <c r="C49" i="67" s="1"/>
  <c r="B9" i="67"/>
  <c r="E22" i="54"/>
  <c r="E10" i="54"/>
  <c r="E11" i="54"/>
  <c r="E12" i="54"/>
  <c r="E13" i="54"/>
  <c r="E14" i="54"/>
  <c r="E15" i="54"/>
  <c r="E16" i="54"/>
  <c r="E17" i="54"/>
  <c r="E18" i="54"/>
  <c r="E19" i="54"/>
  <c r="E20" i="54"/>
  <c r="E21" i="54"/>
  <c r="E23" i="54"/>
  <c r="E24" i="54"/>
  <c r="E25" i="54"/>
  <c r="E26" i="54"/>
  <c r="E27" i="54"/>
  <c r="E28" i="54"/>
  <c r="E29" i="54"/>
  <c r="E30" i="54"/>
  <c r="E31" i="54"/>
  <c r="E32" i="54"/>
  <c r="E33" i="54"/>
  <c r="E34" i="54"/>
  <c r="E35" i="54"/>
  <c r="E36" i="54"/>
  <c r="E37" i="54"/>
  <c r="E38" i="54"/>
  <c r="E39" i="54"/>
  <c r="E40" i="54"/>
  <c r="E41" i="54"/>
  <c r="E42" i="54"/>
  <c r="E43" i="54"/>
  <c r="E44" i="54"/>
  <c r="E45" i="54"/>
  <c r="E10" i="56"/>
  <c r="E11" i="56"/>
  <c r="E12" i="56"/>
  <c r="E13" i="56"/>
  <c r="E14" i="56"/>
  <c r="E15" i="56"/>
  <c r="E16" i="56"/>
  <c r="E17" i="56"/>
  <c r="E18" i="56"/>
  <c r="E19" i="56"/>
  <c r="E20" i="56"/>
  <c r="E21" i="56"/>
  <c r="E22" i="56"/>
  <c r="E23" i="56"/>
  <c r="E24" i="56"/>
  <c r="E25" i="56"/>
  <c r="E26" i="56"/>
  <c r="E27" i="56"/>
  <c r="E28" i="56"/>
  <c r="E29" i="56"/>
  <c r="E30" i="56"/>
  <c r="E31" i="56"/>
  <c r="E32" i="56"/>
  <c r="E33" i="56"/>
  <c r="E34" i="56"/>
  <c r="E35" i="56"/>
  <c r="E36" i="56"/>
  <c r="E37" i="56"/>
  <c r="E38" i="56"/>
  <c r="E39" i="56"/>
  <c r="E40" i="56"/>
  <c r="E41" i="56"/>
  <c r="E42" i="56"/>
  <c r="E43" i="56"/>
  <c r="E44" i="56"/>
  <c r="E10" i="55"/>
  <c r="E11" i="55"/>
  <c r="E12" i="55"/>
  <c r="E13" i="55"/>
  <c r="E14" i="55"/>
  <c r="E15" i="55"/>
  <c r="E16" i="55"/>
  <c r="E17" i="55"/>
  <c r="E18" i="55"/>
  <c r="E19" i="55"/>
  <c r="E20" i="55"/>
  <c r="E21" i="55"/>
  <c r="E22" i="55"/>
  <c r="E23" i="55"/>
  <c r="E24" i="55"/>
  <c r="E25" i="55"/>
  <c r="E26" i="55"/>
  <c r="E27" i="55"/>
  <c r="E28" i="55"/>
  <c r="E29" i="55"/>
  <c r="E30" i="55"/>
  <c r="E31" i="55"/>
  <c r="E32" i="55"/>
  <c r="E33" i="55"/>
  <c r="E34" i="55"/>
  <c r="E35" i="55"/>
  <c r="E36" i="55"/>
  <c r="E37" i="55"/>
  <c r="E38" i="55"/>
  <c r="E39" i="55"/>
  <c r="E40" i="55"/>
  <c r="E41" i="55"/>
  <c r="E42" i="55"/>
  <c r="E43" i="55"/>
  <c r="E44" i="55"/>
  <c r="E9" i="54"/>
  <c r="E9" i="56"/>
  <c r="E9" i="55"/>
  <c r="B10" i="54"/>
  <c r="B11" i="54"/>
  <c r="B12" i="54"/>
  <c r="B13" i="54"/>
  <c r="B14" i="54"/>
  <c r="B15" i="54"/>
  <c r="B16" i="54"/>
  <c r="B17" i="54"/>
  <c r="B18" i="54"/>
  <c r="B19" i="54"/>
  <c r="B20" i="54"/>
  <c r="B21" i="54"/>
  <c r="B22" i="54"/>
  <c r="B23" i="54"/>
  <c r="B24" i="54"/>
  <c r="B25" i="54"/>
  <c r="B26" i="54"/>
  <c r="B27" i="54"/>
  <c r="B28" i="54"/>
  <c r="B29" i="54"/>
  <c r="B30" i="54"/>
  <c r="B31" i="54"/>
  <c r="B32" i="54"/>
  <c r="B33" i="54"/>
  <c r="B34" i="54"/>
  <c r="B35" i="54"/>
  <c r="B36" i="54"/>
  <c r="B37" i="54"/>
  <c r="B38" i="54"/>
  <c r="B39" i="54"/>
  <c r="B40" i="54"/>
  <c r="B41" i="54"/>
  <c r="B42" i="54"/>
  <c r="B43" i="54"/>
  <c r="B44" i="54"/>
  <c r="B45" i="54"/>
  <c r="B9" i="54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9" i="56"/>
  <c r="B10" i="55"/>
  <c r="B11" i="55"/>
  <c r="B12" i="55"/>
  <c r="B13" i="55"/>
  <c r="B14" i="55"/>
  <c r="B15" i="55"/>
  <c r="B16" i="55"/>
  <c r="B17" i="55"/>
  <c r="B18" i="55"/>
  <c r="B19" i="55"/>
  <c r="B20" i="55"/>
  <c r="B21" i="55"/>
  <c r="B22" i="55"/>
  <c r="B23" i="55"/>
  <c r="B24" i="55"/>
  <c r="B25" i="55"/>
  <c r="B26" i="55"/>
  <c r="B27" i="55"/>
  <c r="B28" i="55"/>
  <c r="B29" i="55"/>
  <c r="B30" i="55"/>
  <c r="B31" i="55"/>
  <c r="B32" i="55"/>
  <c r="B33" i="55"/>
  <c r="B34" i="55"/>
  <c r="B35" i="55"/>
  <c r="B36" i="55"/>
  <c r="B37" i="55"/>
  <c r="B38" i="55"/>
  <c r="B39" i="55"/>
  <c r="B40" i="55"/>
  <c r="B41" i="55"/>
  <c r="B42" i="55"/>
  <c r="B43" i="55"/>
  <c r="B44" i="55"/>
  <c r="B9" i="55"/>
  <c r="D9" i="55"/>
  <c r="C52" i="54"/>
  <c r="C51" i="56"/>
  <c r="D43" i="56"/>
  <c r="D44" i="56"/>
  <c r="C51" i="55"/>
  <c r="D45" i="54"/>
  <c r="D10" i="55"/>
  <c r="D11" i="55"/>
  <c r="D12" i="55"/>
  <c r="D13" i="55"/>
  <c r="D14" i="55"/>
  <c r="D15" i="55"/>
  <c r="D16" i="55"/>
  <c r="D17" i="55"/>
  <c r="D18" i="55"/>
  <c r="D19" i="55"/>
  <c r="D20" i="55"/>
  <c r="D21" i="55"/>
  <c r="D22" i="55"/>
  <c r="D23" i="55"/>
  <c r="D24" i="55"/>
  <c r="D25" i="55"/>
  <c r="D26" i="55"/>
  <c r="D27" i="55"/>
  <c r="D28" i="55"/>
  <c r="D29" i="55"/>
  <c r="D30" i="55"/>
  <c r="D31" i="55"/>
  <c r="D32" i="55"/>
  <c r="D33" i="55"/>
  <c r="D34" i="55"/>
  <c r="D35" i="55"/>
  <c r="D36" i="55"/>
  <c r="D37" i="55"/>
  <c r="D38" i="55"/>
  <c r="D39" i="55"/>
  <c r="D40" i="55"/>
  <c r="D41" i="55"/>
  <c r="D42" i="55"/>
  <c r="D43" i="55"/>
  <c r="D44" i="55"/>
  <c r="D10" i="54"/>
  <c r="D11" i="54"/>
  <c r="D12" i="54"/>
  <c r="D13" i="54"/>
  <c r="D14" i="54"/>
  <c r="D15" i="54"/>
  <c r="D16" i="54"/>
  <c r="D17" i="54"/>
  <c r="D18" i="54"/>
  <c r="D19" i="54"/>
  <c r="D20" i="54"/>
  <c r="D21" i="54"/>
  <c r="D22" i="54"/>
  <c r="D23" i="54"/>
  <c r="D24" i="54"/>
  <c r="D25" i="54"/>
  <c r="D26" i="54"/>
  <c r="D27" i="54"/>
  <c r="D28" i="54"/>
  <c r="D29" i="54"/>
  <c r="D30" i="54"/>
  <c r="D31" i="54"/>
  <c r="D32" i="54"/>
  <c r="D33" i="54"/>
  <c r="D34" i="54"/>
  <c r="D35" i="54"/>
  <c r="D36" i="54"/>
  <c r="D37" i="54"/>
  <c r="D38" i="54"/>
  <c r="D39" i="54"/>
  <c r="D40" i="54"/>
  <c r="D41" i="54"/>
  <c r="D42" i="54"/>
  <c r="D43" i="54"/>
  <c r="D44" i="54"/>
  <c r="D9" i="54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D39" i="56"/>
  <c r="D40" i="56"/>
  <c r="D41" i="56"/>
  <c r="D42" i="56"/>
  <c r="D9" i="56"/>
  <c r="C51" i="69" l="1"/>
  <c r="C48" i="68"/>
  <c r="C50" i="68" s="1"/>
  <c r="C48" i="67"/>
  <c r="C50" i="67"/>
  <c r="C49" i="56"/>
  <c r="C48" i="55"/>
  <c r="C49" i="54"/>
  <c r="C48" i="56"/>
  <c r="C49" i="55"/>
  <c r="B43" i="66" l="1"/>
  <c r="D42" i="66"/>
  <c r="B42" i="66"/>
  <c r="D41" i="66"/>
  <c r="B41" i="66"/>
  <c r="D40" i="66"/>
  <c r="B40" i="66"/>
  <c r="D39" i="66"/>
  <c r="B39" i="66"/>
  <c r="D38" i="66"/>
  <c r="B38" i="66"/>
  <c r="D37" i="66"/>
  <c r="B37" i="66"/>
  <c r="D36" i="66"/>
  <c r="B36" i="66"/>
  <c r="D35" i="66"/>
  <c r="B35" i="66"/>
  <c r="D34" i="66"/>
  <c r="B34" i="66"/>
  <c r="D33" i="66"/>
  <c r="B33" i="66"/>
  <c r="D32" i="66"/>
  <c r="B32" i="66"/>
  <c r="D31" i="66"/>
  <c r="B31" i="66"/>
  <c r="D30" i="66"/>
  <c r="B30" i="66"/>
  <c r="D29" i="66"/>
  <c r="B29" i="66"/>
  <c r="D28" i="66"/>
  <c r="B28" i="66"/>
  <c r="D27" i="66"/>
  <c r="B27" i="66"/>
  <c r="D26" i="66"/>
  <c r="B26" i="66"/>
  <c r="D25" i="66"/>
  <c r="B25" i="66"/>
  <c r="D24" i="66"/>
  <c r="B24" i="66"/>
  <c r="D23" i="66"/>
  <c r="B23" i="66"/>
  <c r="D22" i="66"/>
  <c r="B22" i="66"/>
  <c r="D21" i="66"/>
  <c r="B21" i="66"/>
  <c r="D20" i="66"/>
  <c r="B20" i="66"/>
  <c r="D19" i="66"/>
  <c r="B19" i="66"/>
  <c r="D18" i="66"/>
  <c r="B18" i="66"/>
  <c r="D17" i="66"/>
  <c r="B17" i="66"/>
  <c r="D16" i="66"/>
  <c r="B16" i="66"/>
  <c r="D15" i="66"/>
  <c r="B15" i="66"/>
  <c r="D14" i="66"/>
  <c r="B14" i="66"/>
  <c r="D13" i="66"/>
  <c r="B13" i="66"/>
  <c r="D12" i="66"/>
  <c r="B12" i="66"/>
  <c r="D11" i="66"/>
  <c r="B11" i="66"/>
  <c r="D10" i="66"/>
  <c r="B10" i="66"/>
  <c r="D9" i="66"/>
  <c r="B9" i="66"/>
  <c r="D8" i="66"/>
  <c r="B8" i="66"/>
  <c r="C47" i="66" l="1"/>
  <c r="C46" i="66"/>
  <c r="C48" i="66" l="1"/>
  <c r="C50" i="54" l="1"/>
  <c r="C50" i="55" l="1"/>
  <c r="C50" i="56"/>
  <c r="C51" i="54"/>
  <c r="K16" i="37"/>
  <c r="G16" i="37"/>
  <c r="E16" i="37"/>
  <c r="B12" i="38"/>
  <c r="B11" i="38"/>
  <c r="B10" i="38"/>
  <c r="B14" i="37" l="1"/>
  <c r="C14" i="37"/>
  <c r="D14" i="37"/>
  <c r="E14" i="37"/>
  <c r="F14" i="37"/>
  <c r="G14" i="37"/>
  <c r="H14" i="37"/>
  <c r="I14" i="37"/>
  <c r="J14" i="37"/>
  <c r="K14" i="37"/>
  <c r="L14" i="37"/>
  <c r="M14" i="37"/>
  <c r="N14" i="37"/>
  <c r="O14" i="37"/>
  <c r="P14" i="37"/>
  <c r="Q14" i="37"/>
  <c r="R14" i="37"/>
  <c r="S14" i="37"/>
  <c r="T14" i="37"/>
  <c r="U14" i="37"/>
  <c r="V14" i="37"/>
  <c r="W14" i="37"/>
  <c r="X14" i="37"/>
  <c r="Y14" i="37"/>
  <c r="Z14" i="37"/>
  <c r="AA14" i="37"/>
  <c r="A14" i="37"/>
  <c r="C15" i="37" l="1"/>
  <c r="A15" i="37"/>
  <c r="X15" i="37"/>
  <c r="T15" i="37"/>
  <c r="P15" i="37"/>
  <c r="L15" i="37"/>
  <c r="H15" i="37"/>
  <c r="D15" i="37"/>
  <c r="Z15" i="37"/>
  <c r="V15" i="37"/>
  <c r="R15" i="37"/>
  <c r="N15" i="37"/>
  <c r="J15" i="37"/>
  <c r="F15" i="37"/>
  <c r="B15" i="37"/>
  <c r="AA15" i="37"/>
  <c r="Y15" i="37"/>
  <c r="W15" i="37"/>
  <c r="U15" i="37"/>
  <c r="S15" i="37"/>
  <c r="Q15" i="37"/>
  <c r="O15" i="37"/>
  <c r="M15" i="37"/>
  <c r="K15" i="37"/>
  <c r="I15" i="37"/>
  <c r="G15" i="37"/>
  <c r="E15" i="37"/>
</calcChain>
</file>

<file path=xl/sharedStrings.xml><?xml version="1.0" encoding="utf-8"?>
<sst xmlns="http://schemas.openxmlformats.org/spreadsheetml/2006/main" count="803" uniqueCount="227">
  <si>
    <t>NO</t>
  </si>
  <si>
    <t>Urut</t>
  </si>
  <si>
    <t>Induk</t>
  </si>
  <si>
    <t>L/P</t>
  </si>
  <si>
    <t>L</t>
  </si>
  <si>
    <t>P</t>
  </si>
  <si>
    <t>Laki-laki</t>
  </si>
  <si>
    <t>Perempuan</t>
  </si>
  <si>
    <t>Jumlah</t>
  </si>
  <si>
    <t>Wali Kelas</t>
  </si>
  <si>
    <t>:</t>
  </si>
  <si>
    <t xml:space="preserve">Jakarta                  </t>
  </si>
  <si>
    <t xml:space="preserve">Guru Mat Pel      </t>
  </si>
  <si>
    <t xml:space="preserve">Tanda Tangan    </t>
  </si>
  <si>
    <t xml:space="preserve">Nama Jelas          </t>
  </si>
  <si>
    <t>NAMA PESERTA DIDIK</t>
  </si>
  <si>
    <t>DAFTAR PERINGKAT SISWA SEMESTER GENAP</t>
  </si>
  <si>
    <t>KELAS</t>
  </si>
  <si>
    <t xml:space="preserve">PERINGKAT </t>
  </si>
  <si>
    <t>JUMLAH NILAI</t>
  </si>
  <si>
    <t>RATA-RATA</t>
  </si>
  <si>
    <t>NAMA</t>
  </si>
  <si>
    <t>DEWI NOPITA SARI</t>
  </si>
  <si>
    <t xml:space="preserve">EKA DHANI </t>
  </si>
  <si>
    <t>ISNAINI RAHMADANI</t>
  </si>
  <si>
    <t>PENGETAHUAN</t>
  </si>
  <si>
    <t>KETRAMPILAN</t>
  </si>
  <si>
    <t xml:space="preserve"> TAHUN PELAJARAN 2017/2019</t>
  </si>
  <si>
    <t xml:space="preserve"> SMP TUNAS HARAPAN</t>
  </si>
  <si>
    <t>I</t>
  </si>
  <si>
    <t>II</t>
  </si>
  <si>
    <t>III</t>
  </si>
  <si>
    <t>VIII.1</t>
  </si>
  <si>
    <t>VIII.2</t>
  </si>
  <si>
    <t>VIII.3</t>
  </si>
  <si>
    <t>VII.1</t>
  </si>
  <si>
    <t>VII.2</t>
  </si>
  <si>
    <t>VII.3</t>
  </si>
  <si>
    <t>Jakarta, 29 Juni 2008</t>
  </si>
  <si>
    <t>PANITIA UAS</t>
  </si>
  <si>
    <t>JABATAN</t>
  </si>
  <si>
    <t>Siti Sundari, S.Pd, MM</t>
  </si>
  <si>
    <t>Kusdaryono, S.Th</t>
  </si>
  <si>
    <t>Agus Sigit Pamungkas, S.Pd</t>
  </si>
  <si>
    <t>Ferni Fajarwati, S.Pd</t>
  </si>
  <si>
    <t>Bayu Fitriatmoko, S.E</t>
  </si>
  <si>
    <t>Istighfria Romadlonawati, S.Pd</t>
  </si>
  <si>
    <t>Pradipta Arjunanta, S.Pd</t>
  </si>
  <si>
    <t>Desman Manik, S.Pd</t>
  </si>
  <si>
    <t>Agus Sumarsono</t>
  </si>
  <si>
    <t>Supangadi</t>
  </si>
  <si>
    <t>Ostina Lumban Batu, S.Pd</t>
  </si>
  <si>
    <t>SMP TUNAS HARAPAN</t>
  </si>
  <si>
    <t>DAFTAR PESERTA DIDIK</t>
  </si>
  <si>
    <t>AISYAH</t>
  </si>
  <si>
    <t xml:space="preserve">AJILA KANA PUTRI </t>
  </si>
  <si>
    <t>ALEA PARAS ZIVILIA</t>
  </si>
  <si>
    <t>ALGI PACHRI SYAHPUTRA</t>
  </si>
  <si>
    <t>ASQY KEVIN PRAYOGA</t>
  </si>
  <si>
    <t>AURA FITRI DWIKHARIRA</t>
  </si>
  <si>
    <t>AURA MAHARANI PUTRI</t>
  </si>
  <si>
    <t>BAGAS FATHUR RACHMANSYAH</t>
  </si>
  <si>
    <t>CINTA SALSABILA</t>
  </si>
  <si>
    <t>DERIP PANI</t>
  </si>
  <si>
    <t>DERLY RAVIANSA</t>
  </si>
  <si>
    <t>DION DENILSON SINAGA</t>
  </si>
  <si>
    <t>DWI AADIBAH PUTRI</t>
  </si>
  <si>
    <t>FADLAN AL JUNIOR AQIRON</t>
  </si>
  <si>
    <t>GHENDIS AULIA ZEFANA</t>
  </si>
  <si>
    <t>GIFARI BELVA PRATAMA</t>
  </si>
  <si>
    <t>JESLIN DEFINA FRANCITA</t>
  </si>
  <si>
    <t>JOSLIN DEFINA FRANCITA</t>
  </si>
  <si>
    <t>KEYLA AGUSTIN RAMADHANI</t>
  </si>
  <si>
    <t>MOVIC SATRIANI PRATAMA YUNIOR</t>
  </si>
  <si>
    <t>MUHAMMAD BALQIS</t>
  </si>
  <si>
    <t>MUHTAR LATIF</t>
  </si>
  <si>
    <t xml:space="preserve">NADINE NADA SUBHAN </t>
  </si>
  <si>
    <t>NAYYA GEVIRA AURORA WIJAYA</t>
  </si>
  <si>
    <t>NIKY RAHMADHANI</t>
  </si>
  <si>
    <t>NURUL NIKI HAFIZAH</t>
  </si>
  <si>
    <t>PANJI GANJAR ABIMANYU</t>
  </si>
  <si>
    <t>PRASETYO JATI NURCAHY0NO</t>
  </si>
  <si>
    <t>SABRINA VALERIA</t>
  </si>
  <si>
    <t xml:space="preserve">SEPTIANA RAMADAN </t>
  </si>
  <si>
    <t>SYIFA AMELIA</t>
  </si>
  <si>
    <t>TRENDON DELAPENA</t>
  </si>
  <si>
    <t>VALEN SABDA ALBANI</t>
  </si>
  <si>
    <t>ZAHRA JULITRIANITA</t>
  </si>
  <si>
    <t>ZILDZIAN ALPASHA FAHREZHI</t>
  </si>
  <si>
    <t>Jihan Fadyllah, S.Pd</t>
  </si>
  <si>
    <t xml:space="preserve"> TAHUN PELAJARAN 2023/2024</t>
  </si>
  <si>
    <t>Kelas : VII.1</t>
  </si>
  <si>
    <t>REVALINA DEWI</t>
  </si>
  <si>
    <t xml:space="preserve">TANDA TANGAN </t>
  </si>
  <si>
    <t>Jakarta                  :</t>
  </si>
  <si>
    <t>Tanda Tangan    :</t>
  </si>
  <si>
    <t xml:space="preserve">Nama Jelas         : </t>
  </si>
  <si>
    <t>Guru Mat Pel     :</t>
  </si>
  <si>
    <t xml:space="preserve"> </t>
  </si>
  <si>
    <t>Putri Rachmawati, S.Pd</t>
  </si>
  <si>
    <t>Suci Rahayu, S.S</t>
  </si>
  <si>
    <t>Ikhlas Munajati, S.Pd</t>
  </si>
  <si>
    <t>AGAMA</t>
  </si>
  <si>
    <t>Syaiful Anwar, S.Pd</t>
  </si>
  <si>
    <t>Kristianti, S.Pd</t>
  </si>
  <si>
    <t>Julias, S.Pd</t>
  </si>
  <si>
    <t>ARTA AZIZI AGUNG</t>
  </si>
  <si>
    <t>AHMAD ZULFIKAR</t>
  </si>
  <si>
    <t>RADITYA HIRMAWAN</t>
  </si>
  <si>
    <t>DEANTA LAMYA NAJMU ADDIEN</t>
  </si>
  <si>
    <t>RAINBOW RASWADI</t>
  </si>
  <si>
    <t>RESTU FAIRUZ PUTRA JAMIL</t>
  </si>
  <si>
    <t>FA'IQ ZULLATIF SUSETYA</t>
  </si>
  <si>
    <t>GIOVANI PUTRA ANGGARA</t>
  </si>
  <si>
    <t>AHLAM ZULFADLI FIRDAUS</t>
  </si>
  <si>
    <t>ALFINO ADITYA PRATAMA</t>
  </si>
  <si>
    <t>REVAND FAJAR MAULANA</t>
  </si>
  <si>
    <t>FEBRIAN PUTRA PRATAMA</t>
  </si>
  <si>
    <t>MUHAMMAD MU'AFA KHAIRULLAH</t>
  </si>
  <si>
    <t>ANANDA FADILLAH SYAHPUTRA</t>
  </si>
  <si>
    <t>DIMITRI ALVARO RAHMAT</t>
  </si>
  <si>
    <t>KETUT SHUDHARMA WIGUNA</t>
  </si>
  <si>
    <t>RADIT NIZAR RAHMAN</t>
  </si>
  <si>
    <t>MUHAMMAD MAULANA FAIS</t>
  </si>
  <si>
    <t>ERISKA LAURA ZAHRA</t>
  </si>
  <si>
    <t>SAURA RAMADHANI BAHRI PUTRI</t>
  </si>
  <si>
    <t>AMELIA NUR KHASANAH</t>
  </si>
  <si>
    <t>AJENG ANINDITA</t>
  </si>
  <si>
    <t>RADEN RORO KAYLA JULIA RAMADHANI</t>
  </si>
  <si>
    <t>MAY LANI INDAH PRATIWI</t>
  </si>
  <si>
    <t>QHEYLA SEPTIANA</t>
  </si>
  <si>
    <t>NAMEERA RASENDRYA LARASHATI</t>
  </si>
  <si>
    <t>AINIYA ZAHRA RATIFA</t>
  </si>
  <si>
    <t>DINDA AYU RENJANI</t>
  </si>
  <si>
    <t>AFRA ZAHRA RACHMAWATI</t>
  </si>
  <si>
    <t>MEIKHAYLA ARASSY</t>
  </si>
  <si>
    <t>ALYA MUTIA AZZAHRA</t>
  </si>
  <si>
    <t>NAYLA KHANZA AZAHRA</t>
  </si>
  <si>
    <t>SAKINATU MARWA</t>
  </si>
  <si>
    <t>MIKAYLA FREDELINA</t>
  </si>
  <si>
    <t>NADA FAJRIA SALSABILA</t>
  </si>
  <si>
    <t>NAURA NAFLA SYAKIRA</t>
  </si>
  <si>
    <t>MUHAMAD BAGAS FIKRI SENTOSA</t>
  </si>
  <si>
    <t>FADILAH INDRA JUNINO</t>
  </si>
  <si>
    <t>TEUKU ATHARISZ RAMAYA</t>
  </si>
  <si>
    <t>SHAKA RADHIKA PRATAMA</t>
  </si>
  <si>
    <t>AZKA IBRAHIM AWDEEP</t>
  </si>
  <si>
    <t>MUHAMMAD NAFIS QURTHUBI</t>
  </si>
  <si>
    <t>AL- AMIN RAFLI ABQARI</t>
  </si>
  <si>
    <t>FADLI FATUR RAHMAN</t>
  </si>
  <si>
    <t>FAIZ EFFENDI</t>
  </si>
  <si>
    <t>GALANG NAKHLA RASENDRIYA</t>
  </si>
  <si>
    <t>KIAN FADLI SHOLIKHIN</t>
  </si>
  <si>
    <t>MUHAMMAD RIFQI RAMADHAN</t>
  </si>
  <si>
    <t>MUHAMMAD ZIDDAN PUTRA GHOZALI</t>
  </si>
  <si>
    <t>REDI ALWIANSAH</t>
  </si>
  <si>
    <t>ALDY SAPUTRA</t>
  </si>
  <si>
    <t>ALKHALIFI ZIKRI ARIEF</t>
  </si>
  <si>
    <t>AHMAD ZAHIDAN NAUFAL</t>
  </si>
  <si>
    <t>FAJRI RAMADHAN</t>
  </si>
  <si>
    <t>ZALFA TSURAYA SAKHI</t>
  </si>
  <si>
    <t>DIAH AYU SEVINA</t>
  </si>
  <si>
    <t>JASMINE HAKIM</t>
  </si>
  <si>
    <t>KALILA RIFDA HARDIANTI</t>
  </si>
  <si>
    <t>VIOLA ANGELIKA WIJAYA</t>
  </si>
  <si>
    <t>ALIYA HAYATUL HUSNA</t>
  </si>
  <si>
    <t>HALIMAH ADAWIYAH</t>
  </si>
  <si>
    <t>SITI FATIMAH</t>
  </si>
  <si>
    <t>MARWAH</t>
  </si>
  <si>
    <t>ANDINI NUR OKTAVIANI</t>
  </si>
  <si>
    <t>VIOLA RAHMAWATI</t>
  </si>
  <si>
    <t>ZASKIA CLAUDIA</t>
  </si>
  <si>
    <t>HAFIZA SHIDQIA CHAIDIR</t>
  </si>
  <si>
    <t>SELIYA PUTRI MAWARNAH</t>
  </si>
  <si>
    <t>NAFEEZA SYAQILLA KHANZA</t>
  </si>
  <si>
    <t>ALIKA FARZANA AYUNINDIA</t>
  </si>
  <si>
    <t>KHANSA TALITA SAKHI</t>
  </si>
  <si>
    <t>NAILLA CITRA DEWI</t>
  </si>
  <si>
    <t>MEZZA SAPUTRA</t>
  </si>
  <si>
    <t>VICKRI RAFA DERMAWAN</t>
  </si>
  <si>
    <t>DITO ARYANDI MAULANA</t>
  </si>
  <si>
    <t>AQIL DAFFA SETIAWAN</t>
  </si>
  <si>
    <t>AUFAR ADZWAN</t>
  </si>
  <si>
    <t>ERLANGGA MAHARDIKA</t>
  </si>
  <si>
    <t>IBAIDILLAH RAMADHAN</t>
  </si>
  <si>
    <t>MAULANA BAGAS PRATAMA</t>
  </si>
  <si>
    <t>MOHAMMAD RAZA ALMAYRIE</t>
  </si>
  <si>
    <t>MUHAMAD DEVAN DEFYANSYAH</t>
  </si>
  <si>
    <t>MUHAMAD RIDO MISBAHUL MUNIR</t>
  </si>
  <si>
    <t>MUHAMMAD DARMANTO</t>
  </si>
  <si>
    <t>MUHAMMAD RIZQI</t>
  </si>
  <si>
    <t>MUHAMMAD TEGUH SETIAWAN</t>
  </si>
  <si>
    <t>SABIQ AL MUBAROK</t>
  </si>
  <si>
    <t>WAN MOIDEEN GHANDY</t>
  </si>
  <si>
    <t>OPIK HIDAYAT</t>
  </si>
  <si>
    <t>RUSMIATI</t>
  </si>
  <si>
    <t>AMELIA YUNI LISWANTI</t>
  </si>
  <si>
    <t>AZIZAH DWI NUR RIZKI</t>
  </si>
  <si>
    <t>DINAR RESTU WINDIANA</t>
  </si>
  <si>
    <t>HABSYAH RAMIZA NAIFA PULUNGAN</t>
  </si>
  <si>
    <t>KARISA NOVITA PUTRI AMRI</t>
  </si>
  <si>
    <t>KHALIZA PUTRI SUSILO</t>
  </si>
  <si>
    <t>KHANSA FADILAH</t>
  </si>
  <si>
    <t>MAYA THALITA SITIO</t>
  </si>
  <si>
    <t>MESCELLE FRENSISCA BUSSY</t>
  </si>
  <si>
    <t>NAJWA DESWITA SETYA DIRANI</t>
  </si>
  <si>
    <t>NASYA SHAKILA</t>
  </si>
  <si>
    <t>PUTRI AYUNDA NURKHOTIMAH</t>
  </si>
  <si>
    <t>NOVITA PUTRI ARIYANI</t>
  </si>
  <si>
    <t>NURUL FALAH</t>
  </si>
  <si>
    <t>RAHMA KAMILA RAMADHANI</t>
  </si>
  <si>
    <t>SHAKIRA PUTRI KIRANA</t>
  </si>
  <si>
    <t>SITI ROSALINDA</t>
  </si>
  <si>
    <t>SUCI ANGGRAENI</t>
  </si>
  <si>
    <t>ZAHARANI</t>
  </si>
  <si>
    <t>TAHUN PELAJARAN 2026/2027</t>
  </si>
  <si>
    <t>Kelas : VII.2</t>
  </si>
  <si>
    <t>Kelas : VII.3</t>
  </si>
  <si>
    <t>ISLAM</t>
  </si>
  <si>
    <t>HINDU</t>
  </si>
  <si>
    <t>KRISTEN</t>
  </si>
  <si>
    <t>BUKU</t>
  </si>
  <si>
    <t>ASTS 1</t>
  </si>
  <si>
    <t>LDKS</t>
  </si>
  <si>
    <t>ASAT 1</t>
  </si>
  <si>
    <t>ASTS 2</t>
  </si>
  <si>
    <t>ASAT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</si>
</sst>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* &quot;:&quot;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8"/>
      <color indexed="8"/>
      <name val="Bodoni MT Black"/>
      <family val="1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mbria"/>
      <family val="1"/>
      <scheme val="major"/>
    </font>
    <font>
      <sz val="10"/>
      <name val="Cambria"/>
      <family val="1"/>
      <scheme val="maj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mbria"/>
      <family val="1"/>
      <scheme val="major"/>
    </font>
    <font>
      <b/>
      <sz val="11"/>
      <name val="Calibri"/>
      <family val="2"/>
    </font>
    <font>
      <b/>
      <sz val="11"/>
      <color theme="1"/>
      <name val="Calibri"/>
      <family val="2"/>
      <charset val="1"/>
      <scheme val="minor"/>
    </font>
    <font>
      <sz val="1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Cambria"/>
      <family val="1"/>
      <scheme val="major"/>
    </font>
    <font>
      <b/>
      <sz val="11"/>
      <color theme="1"/>
      <name val="Cambria"/>
      <family val="1"/>
      <charset val="1"/>
      <scheme val="major"/>
    </font>
    <font>
      <b/>
      <sz val="10"/>
      <name val="Cambria"/>
      <family val="1"/>
      <charset val="1"/>
      <scheme val="major"/>
    </font>
    <font>
      <b/>
      <sz val="10"/>
      <color theme="1"/>
      <name val="Cambria"/>
      <family val="1"/>
      <charset val="1"/>
      <scheme val="major"/>
    </font>
    <font>
      <b/>
      <sz val="12"/>
      <color theme="1"/>
      <name val="Arial"/>
      <family val="2"/>
    </font>
    <font>
      <sz val="9"/>
      <name val="Cambria"/>
      <family val="1"/>
      <scheme val="major"/>
    </font>
    <font>
      <sz val="8.5"/>
      <name val="Cambria"/>
      <family val="1"/>
      <scheme val="major"/>
    </font>
    <font>
      <sz val="8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18"/>
      <color indexed="8"/>
      <name val="Bodoni MT Black"/>
      <family val="1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0" fillId="0" borderId="1" xfId="0" applyBorder="1"/>
    <xf numFmtId="0" fontId="2" fillId="0" borderId="0" xfId="0" applyFont="1"/>
    <xf numFmtId="0" fontId="9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9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vertical="center"/>
    </xf>
    <xf numFmtId="0" fontId="21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2" fontId="0" fillId="0" borderId="0" xfId="0" applyNumberFormat="1"/>
    <xf numFmtId="1" fontId="23" fillId="0" borderId="1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/>
    </xf>
    <xf numFmtId="0" fontId="2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5" fillId="2" borderId="1" xfId="0" applyFont="1" applyFill="1" applyBorder="1"/>
    <xf numFmtId="0" fontId="3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5" fillId="2" borderId="0" xfId="0" applyFont="1" applyFill="1"/>
    <xf numFmtId="0" fontId="5" fillId="2" borderId="1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0" fontId="2" fillId="2" borderId="4" xfId="0" applyFont="1" applyFill="1" applyBorder="1"/>
    <xf numFmtId="0" fontId="2" fillId="2" borderId="4" xfId="0" applyFont="1" applyFill="1" applyBorder="1" applyAlignment="1">
      <alignment horizontal="left" vertical="center"/>
    </xf>
    <xf numFmtId="0" fontId="2" fillId="2" borderId="3" xfId="0" applyFont="1" applyFill="1" applyBorder="1"/>
    <xf numFmtId="0" fontId="0" fillId="2" borderId="4" xfId="0" applyFill="1" applyBorder="1"/>
    <xf numFmtId="0" fontId="0" fillId="2" borderId="3" xfId="0" applyFill="1" applyBorder="1"/>
    <xf numFmtId="0" fontId="11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9" fillId="2" borderId="0" xfId="0" applyFont="1" applyFill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30" fillId="2" borderId="1" xfId="0" applyFont="1" applyFill="1" applyBorder="1" applyAlignment="1">
      <alignment wrapText="1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/>
    <xf numFmtId="0" fontId="7" fillId="2" borderId="15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/>
    </xf>
    <xf numFmtId="0" fontId="10" fillId="2" borderId="10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2" borderId="10" xfId="0" applyFill="1" applyBorder="1"/>
    <xf numFmtId="0" fontId="5" fillId="2" borderId="10" xfId="0" applyFont="1" applyFill="1" applyBorder="1" applyAlignment="1">
      <alignment horizontal="left" vertical="center" wrapText="1"/>
    </xf>
    <xf numFmtId="0" fontId="0" fillId="2" borderId="2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wrapText="1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3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7" fillId="0" borderId="4" xfId="0" applyFont="1" applyBorder="1" applyAlignment="1">
      <alignment horizontal="righ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2" borderId="0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0" fillId="2" borderId="0" xfId="0" applyFill="1" applyBorder="1"/>
  </cellXfs>
  <cellStyles count="2">
    <cellStyle name="Normal" xfId="0" builtinId="0"/>
    <cellStyle name="Normal 3" xfId="1" xr:uid="{00000000-0005-0000-0000-000001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7B92-D582-4F6F-92B5-0B598A1870B9}">
  <sheetPr>
    <pageSetUpPr fitToPage="1"/>
  </sheetPr>
  <dimension ref="A1:M54"/>
  <sheetViews>
    <sheetView tabSelected="1" zoomScaleNormal="100" workbookViewId="0">
      <selection sqref="A1:J52"/>
    </sheetView>
  </sheetViews>
  <sheetFormatPr defaultColWidth="8.85546875" defaultRowHeight="15" x14ac:dyDescent="0.25"/>
  <cols>
    <col min="1" max="1" width="4" style="38" customWidth="1"/>
    <col min="2" max="2" width="8.42578125" style="38" customWidth="1"/>
    <col min="3" max="3" width="31.42578125" style="38" customWidth="1"/>
    <col min="4" max="4" width="3.42578125" style="38" customWidth="1"/>
    <col min="5" max="5" width="9.42578125" style="38" customWidth="1"/>
    <col min="6" max="6" width="8.7109375" style="38" customWidth="1"/>
    <col min="7" max="7" width="8.85546875" style="38" customWidth="1"/>
    <col min="8" max="8" width="9" style="38" customWidth="1"/>
    <col min="9" max="9" width="9.140625" style="38" customWidth="1"/>
    <col min="10" max="10" width="8.85546875" style="38" customWidth="1"/>
    <col min="11" max="16384" width="8.85546875" style="38"/>
  </cols>
  <sheetData>
    <row r="1" spans="1:13" ht="21" customHeight="1" x14ac:dyDescent="0.25">
      <c r="A1" s="90" t="s">
        <v>53</v>
      </c>
      <c r="B1" s="90"/>
      <c r="C1" s="90"/>
      <c r="D1" s="90"/>
      <c r="E1" s="90"/>
      <c r="F1" s="90"/>
      <c r="G1" s="90"/>
      <c r="H1" s="90"/>
      <c r="I1" s="90"/>
      <c r="J1" s="90"/>
    </row>
    <row r="2" spans="1:13" ht="21" customHeight="1" x14ac:dyDescent="0.25">
      <c r="A2" s="90" t="s">
        <v>52</v>
      </c>
      <c r="B2" s="90"/>
      <c r="C2" s="90"/>
      <c r="D2" s="90"/>
      <c r="E2" s="90"/>
      <c r="F2" s="90"/>
      <c r="G2" s="90"/>
      <c r="H2" s="90"/>
      <c r="I2" s="90"/>
      <c r="J2" s="90"/>
    </row>
    <row r="3" spans="1:13" ht="22.5" customHeight="1" x14ac:dyDescent="0.25">
      <c r="A3" s="90" t="s">
        <v>215</v>
      </c>
      <c r="B3" s="90"/>
      <c r="C3" s="90"/>
      <c r="D3" s="90"/>
      <c r="E3" s="90"/>
      <c r="F3" s="90"/>
      <c r="G3" s="90"/>
      <c r="H3" s="90"/>
      <c r="I3" s="90"/>
      <c r="J3" s="90"/>
    </row>
    <row r="4" spans="1:13" ht="9.75" customHeigh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</row>
    <row r="5" spans="1:13" ht="21" customHeight="1" x14ac:dyDescent="0.25">
      <c r="A5" s="91" t="s">
        <v>217</v>
      </c>
      <c r="B5" s="91"/>
      <c r="C5" s="91"/>
      <c r="D5" s="91"/>
      <c r="E5" s="91"/>
      <c r="F5" s="91"/>
      <c r="G5" s="91"/>
      <c r="H5" s="91"/>
      <c r="I5" s="91"/>
      <c r="J5" s="91"/>
    </row>
    <row r="6" spans="1:13" ht="4.5" customHeight="1" x14ac:dyDescent="0.25">
      <c r="A6" s="92"/>
      <c r="B6" s="92"/>
      <c r="C6" s="92"/>
      <c r="D6" s="92"/>
      <c r="E6" s="92"/>
      <c r="F6" s="92"/>
      <c r="G6" s="92"/>
      <c r="H6" s="92"/>
      <c r="I6" s="92"/>
      <c r="J6" s="92"/>
    </row>
    <row r="7" spans="1:13" ht="27" customHeight="1" x14ac:dyDescent="0.25">
      <c r="A7" s="88" t="s">
        <v>0</v>
      </c>
      <c r="B7" s="88"/>
      <c r="C7" s="88" t="s">
        <v>15</v>
      </c>
      <c r="D7" s="88" t="s">
        <v>3</v>
      </c>
      <c r="E7" s="88" t="s">
        <v>221</v>
      </c>
      <c r="F7" s="88" t="s">
        <v>222</v>
      </c>
      <c r="G7" s="88" t="s">
        <v>223</v>
      </c>
      <c r="H7" s="88" t="s">
        <v>224</v>
      </c>
      <c r="I7" s="88" t="s">
        <v>225</v>
      </c>
      <c r="J7" s="88" t="s">
        <v>226</v>
      </c>
    </row>
    <row r="8" spans="1:13" ht="27" customHeight="1" x14ac:dyDescent="0.25">
      <c r="A8" s="47" t="s">
        <v>1</v>
      </c>
      <c r="B8" s="43" t="s">
        <v>2</v>
      </c>
      <c r="C8" s="89"/>
      <c r="D8" s="88"/>
      <c r="E8" s="88"/>
      <c r="F8" s="88"/>
      <c r="G8" s="88"/>
      <c r="H8" s="88"/>
      <c r="I8" s="88"/>
      <c r="J8" s="88"/>
    </row>
    <row r="9" spans="1:13" ht="18" customHeight="1" x14ac:dyDescent="0.25">
      <c r="A9" s="39">
        <v>1</v>
      </c>
      <c r="B9" s="67">
        <f>VLOOKUP(C9,'DATA SISWA KLS 7'!$A$2:$C$114,2,FALSE)</f>
        <v>5467</v>
      </c>
      <c r="C9" s="69" t="s">
        <v>196</v>
      </c>
      <c r="D9" s="77" t="str">
        <f>VLOOKUP(C9,'DATA SISWA KLS 7'!$A$2:$D$159,3,FALSE)</f>
        <v>P</v>
      </c>
      <c r="E9" s="43"/>
      <c r="F9" s="44"/>
      <c r="G9" s="44"/>
      <c r="H9" s="44"/>
      <c r="I9" s="44"/>
      <c r="J9" s="44"/>
      <c r="M9" s="38" t="s">
        <v>98</v>
      </c>
    </row>
    <row r="10" spans="1:13" ht="18" customHeight="1" x14ac:dyDescent="0.25">
      <c r="A10" s="39">
        <v>2</v>
      </c>
      <c r="B10" s="67">
        <f>VLOOKUP(C10,'DATA SISWA KLS 7'!$A$2:$C$114,2,FALSE)</f>
        <v>5470</v>
      </c>
      <c r="C10" s="69" t="s">
        <v>181</v>
      </c>
      <c r="D10" s="77" t="str">
        <f>VLOOKUP(C10,'DATA SISWA KLS 7'!$A$2:$D$159,3,FALSE)</f>
        <v>L</v>
      </c>
      <c r="E10" s="43"/>
      <c r="F10" s="44"/>
      <c r="G10" s="44"/>
      <c r="H10" s="44"/>
      <c r="I10" s="44"/>
      <c r="J10" s="44"/>
      <c r="L10" s="48"/>
    </row>
    <row r="11" spans="1:13" ht="18" customHeight="1" x14ac:dyDescent="0.25">
      <c r="A11" s="39">
        <v>3</v>
      </c>
      <c r="B11" s="67">
        <f>VLOOKUP(C11,'DATA SISWA KLS 7'!$A$2:$C$114,2,FALSE)</f>
        <v>5472</v>
      </c>
      <c r="C11" s="69" t="s">
        <v>182</v>
      </c>
      <c r="D11" s="77" t="str">
        <f>VLOOKUP(C11,'DATA SISWA KLS 7'!$A$2:$D$159,3,FALSE)</f>
        <v>L</v>
      </c>
      <c r="E11" s="43"/>
      <c r="F11" s="44"/>
      <c r="G11" s="44"/>
      <c r="H11" s="44"/>
      <c r="I11" s="44"/>
      <c r="J11" s="44"/>
    </row>
    <row r="12" spans="1:13" ht="18" customHeight="1" x14ac:dyDescent="0.25">
      <c r="A12" s="39">
        <v>4</v>
      </c>
      <c r="B12" s="67">
        <f>VLOOKUP(C12,'DATA SISWA KLS 7'!$A$2:$C$114,2,FALSE)</f>
        <v>5473</v>
      </c>
      <c r="C12" s="69" t="s">
        <v>197</v>
      </c>
      <c r="D12" s="77" t="str">
        <f>VLOOKUP(C12,'DATA SISWA KLS 7'!$A$2:$D$159,3,FALSE)</f>
        <v>P</v>
      </c>
      <c r="E12" s="43"/>
      <c r="F12" s="44"/>
      <c r="G12" s="44"/>
      <c r="H12" s="44"/>
      <c r="I12" s="44"/>
      <c r="J12" s="44"/>
    </row>
    <row r="13" spans="1:13" ht="18" customHeight="1" x14ac:dyDescent="0.25">
      <c r="A13" s="39">
        <v>5</v>
      </c>
      <c r="B13" s="67">
        <f>VLOOKUP(C13,'DATA SISWA KLS 7'!$A$2:$C$114,2,FALSE)</f>
        <v>5478</v>
      </c>
      <c r="C13" s="69" t="s">
        <v>198</v>
      </c>
      <c r="D13" s="77" t="str">
        <f>VLOOKUP(C13,'DATA SISWA KLS 7'!$A$2:$D$159,3,FALSE)</f>
        <v>P</v>
      </c>
      <c r="E13" s="43"/>
      <c r="F13" s="44"/>
      <c r="G13" s="44" t="s">
        <v>98</v>
      </c>
      <c r="H13" s="44"/>
      <c r="I13" s="44"/>
      <c r="J13" s="44"/>
    </row>
    <row r="14" spans="1:13" ht="18" customHeight="1" x14ac:dyDescent="0.25">
      <c r="A14" s="39">
        <v>6</v>
      </c>
      <c r="B14" s="67">
        <f>VLOOKUP(C14,'DATA SISWA KLS 7'!$A$2:$C$114,2,FALSE)</f>
        <v>5480</v>
      </c>
      <c r="C14" s="69" t="s">
        <v>180</v>
      </c>
      <c r="D14" s="77" t="str">
        <f>VLOOKUP(C14,'DATA SISWA KLS 7'!$A$2:$D$159,3,FALSE)</f>
        <v>L</v>
      </c>
      <c r="E14" s="43"/>
      <c r="F14" s="44"/>
      <c r="G14" s="44"/>
      <c r="H14" s="44"/>
      <c r="I14" s="44"/>
      <c r="J14" s="44"/>
    </row>
    <row r="15" spans="1:13" ht="18" customHeight="1" x14ac:dyDescent="0.25">
      <c r="A15" s="39">
        <v>7</v>
      </c>
      <c r="B15" s="67">
        <f>VLOOKUP(C15,'DATA SISWA KLS 7'!$A$2:$C$114,2,FALSE)</f>
        <v>5482</v>
      </c>
      <c r="C15" s="69" t="s">
        <v>183</v>
      </c>
      <c r="D15" s="77" t="str">
        <f>VLOOKUP(C15,'DATA SISWA KLS 7'!$A$2:$D$159,3,FALSE)</f>
        <v>L</v>
      </c>
      <c r="E15" s="43"/>
      <c r="F15" s="44"/>
      <c r="G15" s="44"/>
      <c r="H15" s="44"/>
      <c r="I15" s="44"/>
      <c r="J15" s="44"/>
    </row>
    <row r="16" spans="1:13" x14ac:dyDescent="0.25">
      <c r="A16" s="39">
        <v>8</v>
      </c>
      <c r="B16" s="67">
        <f>VLOOKUP(C16,'DATA SISWA KLS 7'!$A$2:$C$114,2,FALSE)</f>
        <v>5491</v>
      </c>
      <c r="C16" s="82" t="s">
        <v>199</v>
      </c>
      <c r="D16" s="77" t="str">
        <f>VLOOKUP(C16,'DATA SISWA KLS 7'!$A$2:$D$159,3,FALSE)</f>
        <v>P</v>
      </c>
      <c r="E16" s="43"/>
      <c r="F16" s="44"/>
      <c r="G16" s="44"/>
      <c r="H16" s="44"/>
      <c r="I16" s="44"/>
      <c r="J16" s="44"/>
    </row>
    <row r="17" spans="1:10" ht="18" customHeight="1" x14ac:dyDescent="0.25">
      <c r="A17" s="39">
        <v>9</v>
      </c>
      <c r="B17" s="67">
        <f>VLOOKUP(C17,'DATA SISWA KLS 7'!$A$2:$C$114,2,FALSE)</f>
        <v>5494</v>
      </c>
      <c r="C17" s="69" t="s">
        <v>184</v>
      </c>
      <c r="D17" s="77" t="str">
        <f>VLOOKUP(C17,'DATA SISWA KLS 7'!$A$2:$D$159,3,FALSE)</f>
        <v>L</v>
      </c>
      <c r="E17" s="43"/>
      <c r="F17" s="44"/>
      <c r="G17" s="44"/>
      <c r="H17" s="44"/>
      <c r="I17" s="44"/>
      <c r="J17" s="44"/>
    </row>
    <row r="18" spans="1:10" ht="18" customHeight="1" x14ac:dyDescent="0.25">
      <c r="A18" s="39">
        <v>10</v>
      </c>
      <c r="B18" s="67">
        <f>VLOOKUP(C18,'DATA SISWA KLS 7'!$A$2:$C$114,2,FALSE)</f>
        <v>5497</v>
      </c>
      <c r="C18" s="69" t="s">
        <v>200</v>
      </c>
      <c r="D18" s="77" t="str">
        <f>VLOOKUP(C18,'DATA SISWA KLS 7'!$A$2:$D$159,3,FALSE)</f>
        <v>P</v>
      </c>
      <c r="E18" s="43"/>
      <c r="F18" s="44"/>
      <c r="G18" s="44"/>
      <c r="H18" s="44"/>
      <c r="I18" s="44"/>
      <c r="J18" s="44"/>
    </row>
    <row r="19" spans="1:10" ht="18" customHeight="1" x14ac:dyDescent="0.25">
      <c r="A19" s="39">
        <v>11</v>
      </c>
      <c r="B19" s="67">
        <f>VLOOKUP(C19,'DATA SISWA KLS 7'!$A$2:$C$114,2,FALSE)</f>
        <v>5499</v>
      </c>
      <c r="C19" s="69" t="s">
        <v>201</v>
      </c>
      <c r="D19" s="77" t="str">
        <f>VLOOKUP(C19,'DATA SISWA KLS 7'!$A$2:$D$159,3,FALSE)</f>
        <v>P</v>
      </c>
      <c r="E19" s="43"/>
      <c r="F19" s="44"/>
      <c r="G19" s="44"/>
      <c r="H19" s="44"/>
      <c r="I19" s="44"/>
      <c r="J19" s="44"/>
    </row>
    <row r="20" spans="1:10" ht="18" customHeight="1" x14ac:dyDescent="0.25">
      <c r="A20" s="39">
        <v>12</v>
      </c>
      <c r="B20" s="67">
        <f>VLOOKUP(C20,'DATA SISWA KLS 7'!$A$2:$C$114,2,FALSE)</f>
        <v>5500</v>
      </c>
      <c r="C20" s="69" t="s">
        <v>202</v>
      </c>
      <c r="D20" s="77" t="str">
        <f>VLOOKUP(C20,'DATA SISWA KLS 7'!$A$2:$D$159,3,FALSE)</f>
        <v>P</v>
      </c>
      <c r="E20" s="43"/>
      <c r="F20" s="44"/>
      <c r="G20" s="44"/>
      <c r="H20" s="44"/>
      <c r="I20" s="44"/>
      <c r="J20" s="44"/>
    </row>
    <row r="21" spans="1:10" ht="18" customHeight="1" x14ac:dyDescent="0.25">
      <c r="A21" s="39">
        <v>13</v>
      </c>
      <c r="B21" s="67">
        <f>VLOOKUP(C21,'DATA SISWA KLS 7'!$A$2:$C$114,2,FALSE)</f>
        <v>5504</v>
      </c>
      <c r="C21" s="69" t="s">
        <v>185</v>
      </c>
      <c r="D21" s="77" t="str">
        <f>VLOOKUP(C21,'DATA SISWA KLS 7'!$A$2:$D$159,3,FALSE)</f>
        <v>L</v>
      </c>
      <c r="E21" s="43"/>
      <c r="F21" s="44"/>
      <c r="G21" s="44"/>
      <c r="H21" s="44"/>
      <c r="I21" s="44"/>
      <c r="J21" s="44"/>
    </row>
    <row r="22" spans="1:10" ht="18" customHeight="1" x14ac:dyDescent="0.25">
      <c r="A22" s="39">
        <v>14</v>
      </c>
      <c r="B22" s="67">
        <f>VLOOKUP(C22,'DATA SISWA KLS 7'!$A$2:$C$114,2,FALSE)</f>
        <v>5506</v>
      </c>
      <c r="C22" s="69" t="s">
        <v>203</v>
      </c>
      <c r="D22" s="77" t="str">
        <f>VLOOKUP(C22,'DATA SISWA KLS 7'!$A$2:$D$159,3,FALSE)</f>
        <v>P</v>
      </c>
      <c r="E22" s="43"/>
      <c r="F22" s="44"/>
      <c r="G22" s="44"/>
      <c r="H22" s="44"/>
      <c r="I22" s="44"/>
      <c r="J22" s="44"/>
    </row>
    <row r="23" spans="1:10" ht="18" customHeight="1" x14ac:dyDescent="0.25">
      <c r="A23" s="39">
        <v>15</v>
      </c>
      <c r="B23" s="67">
        <f>VLOOKUP(C23,'DATA SISWA KLS 7'!$A$2:$C$114,2,FALSE)</f>
        <v>5508</v>
      </c>
      <c r="C23" s="69" t="s">
        <v>204</v>
      </c>
      <c r="D23" s="77" t="str">
        <f>VLOOKUP(C23,'DATA SISWA KLS 7'!$A$2:$D$159,3,FALSE)</f>
        <v>P</v>
      </c>
      <c r="E23" s="81"/>
      <c r="F23" s="44"/>
      <c r="G23" s="44"/>
      <c r="H23" s="44"/>
      <c r="I23" s="44"/>
      <c r="J23" s="44"/>
    </row>
    <row r="24" spans="1:10" ht="18" customHeight="1" x14ac:dyDescent="0.25">
      <c r="A24" s="39">
        <v>16</v>
      </c>
      <c r="B24" s="67">
        <f>VLOOKUP(C24,'DATA SISWA KLS 7'!$A$2:$C$114,2,FALSE)</f>
        <v>5509</v>
      </c>
      <c r="C24" s="69" t="s">
        <v>178</v>
      </c>
      <c r="D24" s="77" t="str">
        <f>VLOOKUP(C24,'DATA SISWA KLS 7'!$A$2:$D$159,3,FALSE)</f>
        <v>L</v>
      </c>
      <c r="E24" s="43"/>
      <c r="F24" s="44"/>
      <c r="G24" s="44"/>
      <c r="H24" s="44"/>
      <c r="I24" s="44"/>
      <c r="J24" s="44"/>
    </row>
    <row r="25" spans="1:10" ht="18" customHeight="1" x14ac:dyDescent="0.25">
      <c r="A25" s="39">
        <v>17</v>
      </c>
      <c r="B25" s="67">
        <f>VLOOKUP(C25,'DATA SISWA KLS 7'!$A$2:$C$114,2,FALSE)</f>
        <v>5511</v>
      </c>
      <c r="C25" s="69" t="s">
        <v>186</v>
      </c>
      <c r="D25" s="77" t="str">
        <f>VLOOKUP(C25,'DATA SISWA KLS 7'!$A$2:$D$159,3,FALSE)</f>
        <v>L</v>
      </c>
      <c r="E25" s="43"/>
      <c r="F25" s="44"/>
      <c r="G25" s="44"/>
      <c r="H25" s="44"/>
      <c r="I25" s="44"/>
      <c r="J25" s="44"/>
    </row>
    <row r="26" spans="1:10" ht="18" customHeight="1" x14ac:dyDescent="0.25">
      <c r="A26" s="39">
        <v>18</v>
      </c>
      <c r="B26" s="67">
        <f>VLOOKUP(C26,'DATA SISWA KLS 7'!$A$2:$C$114,2,FALSE)</f>
        <v>5513</v>
      </c>
      <c r="C26" s="69" t="s">
        <v>187</v>
      </c>
      <c r="D26" s="77" t="str">
        <f>VLOOKUP(C26,'DATA SISWA KLS 7'!$A$2:$D$159,3,FALSE)</f>
        <v>L</v>
      </c>
      <c r="E26" s="43"/>
      <c r="F26" s="44"/>
      <c r="G26" s="44"/>
      <c r="H26" s="44"/>
      <c r="I26" s="44"/>
      <c r="J26" s="44"/>
    </row>
    <row r="27" spans="1:10" ht="18" customHeight="1" x14ac:dyDescent="0.25">
      <c r="A27" s="39">
        <v>19</v>
      </c>
      <c r="B27" s="67">
        <f>VLOOKUP(C27,'DATA SISWA KLS 7'!$A$2:$C$114,2,FALSE)</f>
        <v>5514</v>
      </c>
      <c r="C27" s="82" t="s">
        <v>188</v>
      </c>
      <c r="D27" s="77" t="str">
        <f>VLOOKUP(C27,'DATA SISWA KLS 7'!$A$2:$D$159,3,FALSE)</f>
        <v>L</v>
      </c>
      <c r="E27" s="43"/>
      <c r="F27" s="44"/>
      <c r="G27" s="44"/>
      <c r="H27" s="44"/>
      <c r="I27" s="44"/>
      <c r="J27" s="44"/>
    </row>
    <row r="28" spans="1:10" ht="18" customHeight="1" x14ac:dyDescent="0.25">
      <c r="A28" s="39">
        <v>20</v>
      </c>
      <c r="B28" s="67">
        <f>VLOOKUP(C28,'DATA SISWA KLS 7'!$A$2:$C$114,2,FALSE)</f>
        <v>5515</v>
      </c>
      <c r="C28" s="69" t="s">
        <v>189</v>
      </c>
      <c r="D28" s="77" t="str">
        <f>VLOOKUP(C28,'DATA SISWA KLS 7'!$A$2:$D$159,3,FALSE)</f>
        <v>L</v>
      </c>
      <c r="E28" s="43"/>
      <c r="F28" s="44"/>
      <c r="G28" s="44"/>
      <c r="H28" s="44"/>
      <c r="I28" s="44"/>
      <c r="J28" s="44"/>
    </row>
    <row r="29" spans="1:10" ht="18" customHeight="1" x14ac:dyDescent="0.25">
      <c r="A29" s="39">
        <v>21</v>
      </c>
      <c r="B29" s="67">
        <f>VLOOKUP(C29,'DATA SISWA KLS 7'!$A$2:$C$114,2,FALSE)</f>
        <v>5520</v>
      </c>
      <c r="C29" s="69" t="s">
        <v>190</v>
      </c>
      <c r="D29" s="77" t="str">
        <f>VLOOKUP(C29,'DATA SISWA KLS 7'!$A$2:$D$159,3,FALSE)</f>
        <v>L</v>
      </c>
      <c r="E29" s="43"/>
      <c r="F29" s="44"/>
      <c r="G29" s="44"/>
      <c r="H29" s="44"/>
      <c r="I29" s="44"/>
      <c r="J29" s="44"/>
    </row>
    <row r="30" spans="1:10" ht="18" customHeight="1" x14ac:dyDescent="0.25">
      <c r="A30" s="39">
        <v>22</v>
      </c>
      <c r="B30" s="67">
        <f>VLOOKUP(C30,'DATA SISWA KLS 7'!$A$2:$C$114,2,FALSE)</f>
        <v>5521</v>
      </c>
      <c r="C30" s="69" t="s">
        <v>191</v>
      </c>
      <c r="D30" s="77" t="str">
        <f>VLOOKUP(C30,'DATA SISWA KLS 7'!$A$2:$D$159,3,FALSE)</f>
        <v>L</v>
      </c>
      <c r="E30" s="43"/>
      <c r="F30" s="44"/>
      <c r="G30" s="44"/>
      <c r="H30" s="44"/>
      <c r="I30" s="44"/>
      <c r="J30" s="44"/>
    </row>
    <row r="31" spans="1:10" ht="18" customHeight="1" x14ac:dyDescent="0.25">
      <c r="A31" s="39">
        <v>23</v>
      </c>
      <c r="B31" s="67">
        <f>VLOOKUP(C31,'DATA SISWA KLS 7'!$A$2:$C$114,2,FALSE)</f>
        <v>5526</v>
      </c>
      <c r="C31" s="69" t="s">
        <v>205</v>
      </c>
      <c r="D31" s="77" t="str">
        <f>VLOOKUP(C31,'DATA SISWA KLS 7'!$A$2:$D$159,3,FALSE)</f>
        <v>P</v>
      </c>
      <c r="E31" s="43"/>
      <c r="F31" s="44"/>
      <c r="G31" s="44"/>
      <c r="H31" s="44"/>
      <c r="I31" s="44"/>
      <c r="J31" s="44"/>
    </row>
    <row r="32" spans="1:10" ht="18" customHeight="1" x14ac:dyDescent="0.25">
      <c r="A32" s="39">
        <v>24</v>
      </c>
      <c r="B32" s="67">
        <f>VLOOKUP(C32,'DATA SISWA KLS 7'!$A$2:$C$114,2,FALSE)</f>
        <v>5528</v>
      </c>
      <c r="C32" s="69" t="s">
        <v>206</v>
      </c>
      <c r="D32" s="77" t="str">
        <f>VLOOKUP(C32,'DATA SISWA KLS 7'!$A$2:$D$159,3,FALSE)</f>
        <v>P</v>
      </c>
      <c r="E32" s="43"/>
      <c r="F32" s="44"/>
      <c r="G32" s="44"/>
      <c r="H32" s="44"/>
      <c r="I32" s="44"/>
      <c r="J32" s="44"/>
    </row>
    <row r="33" spans="1:10" ht="18" customHeight="1" x14ac:dyDescent="0.25">
      <c r="A33" s="39">
        <v>25</v>
      </c>
      <c r="B33" s="67">
        <f>VLOOKUP(C33,'DATA SISWA KLS 7'!$A$2:$C$114,2,FALSE)</f>
        <v>5531</v>
      </c>
      <c r="C33" s="69" t="s">
        <v>208</v>
      </c>
      <c r="D33" s="77" t="str">
        <f>VLOOKUP(C33,'DATA SISWA KLS 7'!$A$2:$D$159,3,FALSE)</f>
        <v>P</v>
      </c>
      <c r="E33" s="43"/>
      <c r="F33" s="44"/>
      <c r="G33" s="44"/>
      <c r="H33" s="44"/>
      <c r="I33" s="44"/>
      <c r="J33" s="44"/>
    </row>
    <row r="34" spans="1:10" ht="18" customHeight="1" x14ac:dyDescent="0.25">
      <c r="A34" s="39">
        <v>26</v>
      </c>
      <c r="B34" s="67">
        <f>VLOOKUP(C34,'DATA SISWA KLS 7'!$A$2:$C$114,2,FALSE)</f>
        <v>5532</v>
      </c>
      <c r="C34" s="69" t="s">
        <v>209</v>
      </c>
      <c r="D34" s="77" t="str">
        <f>VLOOKUP(C34,'DATA SISWA KLS 7'!$A$2:$D$159,3,FALSE)</f>
        <v>L</v>
      </c>
      <c r="E34" s="43"/>
      <c r="F34" s="44"/>
      <c r="G34" s="44"/>
      <c r="H34" s="44"/>
      <c r="I34" s="44"/>
      <c r="J34" s="44"/>
    </row>
    <row r="35" spans="1:10" ht="18" customHeight="1" x14ac:dyDescent="0.25">
      <c r="A35" s="39">
        <v>27</v>
      </c>
      <c r="B35" s="67">
        <f>VLOOKUP(C35,'DATA SISWA KLS 7'!$A$2:$C$114,2,FALSE)</f>
        <v>5533</v>
      </c>
      <c r="C35" s="69" t="s">
        <v>194</v>
      </c>
      <c r="D35" s="77" t="str">
        <f>VLOOKUP(C35,'DATA SISWA KLS 7'!$A$2:$D$159,3,FALSE)</f>
        <v>L</v>
      </c>
      <c r="E35" s="43"/>
      <c r="F35" s="44"/>
      <c r="G35" s="44"/>
      <c r="H35" s="44"/>
      <c r="I35" s="44"/>
      <c r="J35" s="44"/>
    </row>
    <row r="36" spans="1:10" ht="18" customHeight="1" x14ac:dyDescent="0.25">
      <c r="A36" s="39">
        <v>28</v>
      </c>
      <c r="B36" s="67">
        <f>VLOOKUP(C36,'DATA SISWA KLS 7'!$A$2:$C$114,2,FALSE)</f>
        <v>5544</v>
      </c>
      <c r="C36" s="69" t="s">
        <v>195</v>
      </c>
      <c r="D36" s="77" t="str">
        <f>VLOOKUP(C36,'DATA SISWA KLS 7'!$A$2:$D$159,3,FALSE)</f>
        <v>P</v>
      </c>
      <c r="E36" s="43"/>
      <c r="F36" s="44"/>
      <c r="G36" s="44"/>
      <c r="H36" s="44"/>
      <c r="I36" s="44"/>
      <c r="J36" s="44"/>
    </row>
    <row r="37" spans="1:10" ht="18" customHeight="1" x14ac:dyDescent="0.25">
      <c r="A37" s="39">
        <v>29</v>
      </c>
      <c r="B37" s="67">
        <f>VLOOKUP(C37,'DATA SISWA KLS 7'!$A$2:$C$114,2,FALSE)</f>
        <v>5545</v>
      </c>
      <c r="C37" s="69" t="s">
        <v>192</v>
      </c>
      <c r="D37" s="77" t="str">
        <f>VLOOKUP(C37,'DATA SISWA KLS 7'!$A$2:$D$159,3,FALSE)</f>
        <v>L</v>
      </c>
      <c r="E37" s="43"/>
      <c r="F37" s="44"/>
      <c r="G37" s="44"/>
      <c r="H37" s="44"/>
      <c r="I37" s="44"/>
      <c r="J37" s="44"/>
    </row>
    <row r="38" spans="1:10" ht="18" customHeight="1" x14ac:dyDescent="0.25">
      <c r="A38" s="39">
        <v>30</v>
      </c>
      <c r="B38" s="67">
        <f>VLOOKUP(C38,'DATA SISWA KLS 7'!$A$2:$C$114,2,FALSE)</f>
        <v>5546</v>
      </c>
      <c r="C38" s="69" t="s">
        <v>138</v>
      </c>
      <c r="D38" s="77" t="str">
        <f>VLOOKUP(C38,'DATA SISWA KLS 7'!$A$2:$D$159,3,FALSE)</f>
        <v>P</v>
      </c>
      <c r="E38" s="43"/>
      <c r="F38" s="44"/>
      <c r="G38" s="44"/>
      <c r="H38" s="44"/>
      <c r="I38" s="44"/>
      <c r="J38" s="44"/>
    </row>
    <row r="39" spans="1:10" ht="18" customHeight="1" x14ac:dyDescent="0.25">
      <c r="A39" s="39">
        <v>31</v>
      </c>
      <c r="B39" s="67">
        <f>VLOOKUP(C39,'DATA SISWA KLS 7'!$A$2:$C$114,2,FALSE)</f>
        <v>5550</v>
      </c>
      <c r="C39" s="69" t="s">
        <v>211</v>
      </c>
      <c r="D39" s="77" t="str">
        <f>VLOOKUP(C39,'DATA SISWA KLS 7'!$A$2:$D$159,3,FALSE)</f>
        <v>P</v>
      </c>
      <c r="E39" s="43"/>
      <c r="F39" s="44"/>
      <c r="G39" s="44"/>
      <c r="H39" s="44"/>
      <c r="I39" s="44"/>
      <c r="J39" s="44"/>
    </row>
    <row r="40" spans="1:10" ht="18" customHeight="1" x14ac:dyDescent="0.25">
      <c r="A40" s="39">
        <v>32</v>
      </c>
      <c r="B40" s="67">
        <f>VLOOKUP(C40,'DATA SISWA KLS 7'!$A$2:$C$114,2,FALSE)</f>
        <v>5552</v>
      </c>
      <c r="C40" s="69" t="s">
        <v>212</v>
      </c>
      <c r="D40" s="77" t="str">
        <f>VLOOKUP(C40,'DATA SISWA KLS 7'!$A$2:$D$159,3,FALSE)</f>
        <v>P</v>
      </c>
      <c r="E40" s="43"/>
      <c r="F40" s="44"/>
      <c r="G40" s="44"/>
      <c r="H40" s="44"/>
      <c r="I40" s="44"/>
      <c r="J40" s="44"/>
    </row>
    <row r="41" spans="1:10" ht="18" customHeight="1" x14ac:dyDescent="0.25">
      <c r="A41" s="39">
        <v>33</v>
      </c>
      <c r="B41" s="67">
        <f>VLOOKUP(C41,'DATA SISWA KLS 7'!$A$2:$C$114,2,FALSE)</f>
        <v>5553</v>
      </c>
      <c r="C41" s="69" t="s">
        <v>213</v>
      </c>
      <c r="D41" s="77" t="str">
        <f>VLOOKUP(C41,'DATA SISWA KLS 7'!$A$2:$D$159,3,FALSE)</f>
        <v>P</v>
      </c>
      <c r="E41" s="43"/>
      <c r="F41" s="44"/>
      <c r="G41" s="44"/>
      <c r="H41" s="44"/>
      <c r="I41" s="44"/>
      <c r="J41" s="44"/>
    </row>
    <row r="42" spans="1:10" ht="18" customHeight="1" x14ac:dyDescent="0.25">
      <c r="A42" s="39">
        <v>34</v>
      </c>
      <c r="B42" s="67">
        <f>VLOOKUP(C42,'DATA SISWA KLS 7'!$A$2:$C$114,2,FALSE)</f>
        <v>5554</v>
      </c>
      <c r="C42" s="69" t="s">
        <v>144</v>
      </c>
      <c r="D42" s="77" t="str">
        <f>VLOOKUP(C42,'DATA SISWA KLS 7'!$A$2:$D$159,3,FALSE)</f>
        <v>L</v>
      </c>
      <c r="E42" s="43"/>
      <c r="F42" s="44"/>
      <c r="G42" s="44"/>
      <c r="H42" s="44"/>
      <c r="I42" s="44"/>
      <c r="J42" s="44"/>
    </row>
    <row r="43" spans="1:10" ht="18" customHeight="1" x14ac:dyDescent="0.25">
      <c r="A43" s="39">
        <v>35</v>
      </c>
      <c r="B43" s="67">
        <f>VLOOKUP(C43,'DATA SISWA KLS 7'!$A$2:$C$114,2,FALSE)</f>
        <v>5557</v>
      </c>
      <c r="C43" s="69" t="s">
        <v>170</v>
      </c>
      <c r="D43" s="77" t="str">
        <f>VLOOKUP(C43,'DATA SISWA KLS 7'!$A$2:$D$159,3,FALSE)</f>
        <v>P</v>
      </c>
      <c r="E43" s="43"/>
      <c r="F43" s="44"/>
      <c r="G43" s="44"/>
      <c r="H43" s="44"/>
      <c r="I43" s="44"/>
      <c r="J43" s="44"/>
    </row>
    <row r="44" spans="1:10" ht="18" customHeight="1" x14ac:dyDescent="0.25">
      <c r="A44" s="39">
        <v>36</v>
      </c>
      <c r="B44" s="67">
        <f>VLOOKUP(C44,'DATA SISWA KLS 7'!$A$2:$C$114,2,FALSE)</f>
        <v>5558</v>
      </c>
      <c r="C44" s="69" t="s">
        <v>193</v>
      </c>
      <c r="D44" s="77" t="str">
        <f>VLOOKUP(C44,'DATA SISWA KLS 7'!$A$2:$D$159,3,FALSE)</f>
        <v>L</v>
      </c>
      <c r="E44" s="43"/>
      <c r="F44" s="44"/>
      <c r="G44" s="44"/>
      <c r="H44" s="44"/>
      <c r="I44" s="44"/>
      <c r="J44" s="44"/>
    </row>
    <row r="45" spans="1:10" ht="18" customHeight="1" x14ac:dyDescent="0.25">
      <c r="A45" s="39">
        <v>37</v>
      </c>
      <c r="B45" s="67">
        <f>VLOOKUP(C45,'DATA SISWA KLS 7'!$A$2:$C$114,2,FALSE)</f>
        <v>5559</v>
      </c>
      <c r="C45" s="69" t="s">
        <v>214</v>
      </c>
      <c r="D45" s="77" t="str">
        <f>VLOOKUP(C45,'DATA SISWA KLS 7'!$A$2:$D$159,3,FALSE)</f>
        <v>P</v>
      </c>
      <c r="E45" s="43"/>
      <c r="F45" s="44"/>
      <c r="G45" s="44"/>
      <c r="H45" s="44"/>
      <c r="I45" s="44"/>
      <c r="J45" s="44"/>
    </row>
    <row r="46" spans="1:10" ht="18" customHeight="1" x14ac:dyDescent="0.25">
      <c r="A46" s="39">
        <v>38</v>
      </c>
      <c r="B46" s="67"/>
      <c r="C46" s="3"/>
      <c r="D46" s="77"/>
      <c r="E46" s="43"/>
      <c r="F46" s="44"/>
      <c r="G46" s="44"/>
      <c r="H46" s="44"/>
      <c r="I46" s="44"/>
      <c r="J46" s="44"/>
    </row>
    <row r="47" spans="1:10" ht="18" customHeight="1" x14ac:dyDescent="0.25">
      <c r="A47" s="39">
        <v>39</v>
      </c>
      <c r="B47" s="67"/>
      <c r="C47" s="44"/>
      <c r="D47" s="80"/>
      <c r="E47" s="43"/>
      <c r="F47" s="44"/>
      <c r="G47" s="44"/>
      <c r="H47" s="44"/>
      <c r="I47" s="44"/>
      <c r="J47" s="44"/>
    </row>
    <row r="48" spans="1:10" ht="14.25" customHeight="1" x14ac:dyDescent="0.25">
      <c r="A48" s="50"/>
      <c r="B48" s="51"/>
      <c r="C48" s="10"/>
      <c r="D48" s="52"/>
      <c r="E48" s="53"/>
      <c r="F48" s="53"/>
      <c r="G48" s="53"/>
      <c r="H48" s="53"/>
      <c r="I48" s="53"/>
      <c r="J48" s="53"/>
    </row>
    <row r="49" spans="1:10" x14ac:dyDescent="0.25">
      <c r="A49" s="83" t="s">
        <v>6</v>
      </c>
      <c r="B49" s="83"/>
      <c r="C49" s="54">
        <f>COUNTIF(D9:D46,"L")</f>
        <v>18</v>
      </c>
      <c r="D49" s="55"/>
      <c r="E49" s="55"/>
      <c r="F49" s="110"/>
      <c r="G49" s="110"/>
      <c r="H49" s="110"/>
      <c r="I49" s="110"/>
      <c r="J49" s="110"/>
    </row>
    <row r="50" spans="1:10" x14ac:dyDescent="0.25">
      <c r="A50" s="83" t="s">
        <v>7</v>
      </c>
      <c r="B50" s="83"/>
      <c r="C50" s="57">
        <f>COUNTIF(D9:D46,"P")</f>
        <v>19</v>
      </c>
      <c r="D50" s="55"/>
      <c r="E50" s="55"/>
      <c r="F50" s="110"/>
      <c r="G50" s="110"/>
      <c r="H50" s="110"/>
      <c r="I50" s="110"/>
      <c r="J50" s="110"/>
    </row>
    <row r="51" spans="1:10" x14ac:dyDescent="0.25">
      <c r="A51" s="83" t="s">
        <v>8</v>
      </c>
      <c r="B51" s="83"/>
      <c r="C51" s="54">
        <f>SUM(C49:C50)</f>
        <v>37</v>
      </c>
      <c r="D51" s="55"/>
      <c r="E51" s="55"/>
      <c r="F51" s="111"/>
      <c r="G51" s="111"/>
      <c r="H51" s="111"/>
      <c r="I51" s="111"/>
      <c r="J51" s="111"/>
    </row>
    <row r="52" spans="1:10" x14ac:dyDescent="0.25">
      <c r="A52" s="83" t="s">
        <v>9</v>
      </c>
      <c r="B52" s="83"/>
      <c r="C52" s="55" t="str">
        <f>guuru!B11</f>
        <v>Suci Rahayu, S.S</v>
      </c>
      <c r="D52" s="55"/>
      <c r="E52" s="55"/>
      <c r="F52" s="111"/>
      <c r="G52" s="111"/>
      <c r="H52" s="111"/>
      <c r="I52" s="111"/>
      <c r="J52" s="111"/>
    </row>
    <row r="53" spans="1:10" x14ac:dyDescent="0.25">
      <c r="A53" s="55"/>
      <c r="B53" s="55"/>
      <c r="C53" s="55"/>
      <c r="D53" s="55"/>
      <c r="E53" s="55"/>
      <c r="F53" s="110"/>
      <c r="G53" s="112"/>
      <c r="H53" s="112"/>
      <c r="I53" s="112"/>
      <c r="J53" s="112"/>
    </row>
    <row r="54" spans="1:10" x14ac:dyDescent="0.25">
      <c r="A54" s="55"/>
      <c r="B54" s="55"/>
      <c r="C54" s="55"/>
      <c r="D54" s="55"/>
      <c r="E54" s="55"/>
      <c r="F54" s="110"/>
      <c r="G54" s="110"/>
      <c r="H54" s="110"/>
      <c r="I54" s="110"/>
      <c r="J54" s="110"/>
    </row>
  </sheetData>
  <mergeCells count="20">
    <mergeCell ref="A51:B51"/>
    <mergeCell ref="F51:I52"/>
    <mergeCell ref="J51:J52"/>
    <mergeCell ref="A52:B52"/>
    <mergeCell ref="A49:B49"/>
    <mergeCell ref="A50:B50"/>
    <mergeCell ref="G7:G8"/>
    <mergeCell ref="H7:H8"/>
    <mergeCell ref="I7:I8"/>
    <mergeCell ref="J7:J8"/>
    <mergeCell ref="A1:J1"/>
    <mergeCell ref="A2:J2"/>
    <mergeCell ref="A3:J3"/>
    <mergeCell ref="A5:J5"/>
    <mergeCell ref="A6:J6"/>
    <mergeCell ref="A7:B7"/>
    <mergeCell ref="C7:C8"/>
    <mergeCell ref="D7:D8"/>
    <mergeCell ref="E7:E8"/>
    <mergeCell ref="F7:F8"/>
  </mergeCells>
  <printOptions horizontalCentered="1"/>
  <pageMargins left="0.35433070866141736" right="0.31496062992125984" top="0.15748031496062992" bottom="0.15748031496062992" header="0.31496062992125984" footer="0.31496062992125984"/>
  <pageSetup paperSize="5" scale="98" orientation="portrait" horizontalDpi="4294967292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9D8F-1F7F-4771-BCBD-9E4E90FD45B8}">
  <sheetPr>
    <pageSetUpPr fitToPage="1"/>
  </sheetPr>
  <dimension ref="A1:K53"/>
  <sheetViews>
    <sheetView topLeftCell="A37" zoomScaleNormal="100" workbookViewId="0">
      <selection activeCell="F50" sqref="F50:I51"/>
    </sheetView>
  </sheetViews>
  <sheetFormatPr defaultColWidth="8.85546875" defaultRowHeight="15" x14ac:dyDescent="0.25"/>
  <cols>
    <col min="1" max="1" width="4" style="38" customWidth="1"/>
    <col min="2" max="2" width="8.42578125" style="38" customWidth="1"/>
    <col min="3" max="3" width="31.42578125" style="38" customWidth="1"/>
    <col min="4" max="4" width="3.42578125" style="38" customWidth="1"/>
    <col min="5" max="5" width="9.42578125" style="65" customWidth="1"/>
    <col min="6" max="6" width="9" style="38" customWidth="1"/>
    <col min="7" max="7" width="8.7109375" style="38" customWidth="1"/>
    <col min="8" max="8" width="8.85546875" style="38" customWidth="1"/>
    <col min="9" max="9" width="9.140625" style="38" customWidth="1"/>
    <col min="10" max="10" width="8.7109375" style="38" customWidth="1"/>
    <col min="11" max="16384" width="8.85546875" style="38"/>
  </cols>
  <sheetData>
    <row r="1" spans="1:10" ht="21" customHeight="1" x14ac:dyDescent="0.25">
      <c r="A1" s="90" t="s">
        <v>53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ht="21" customHeight="1" x14ac:dyDescent="0.25">
      <c r="A2" s="90" t="s">
        <v>52</v>
      </c>
      <c r="B2" s="90"/>
      <c r="C2" s="90"/>
      <c r="D2" s="90"/>
      <c r="E2" s="90"/>
      <c r="F2" s="90"/>
      <c r="G2" s="90"/>
      <c r="H2" s="90"/>
      <c r="I2" s="90"/>
      <c r="J2" s="90"/>
    </row>
    <row r="3" spans="1:10" ht="22.5" customHeight="1" x14ac:dyDescent="0.25">
      <c r="A3" s="90" t="s">
        <v>215</v>
      </c>
      <c r="B3" s="90"/>
      <c r="C3" s="90"/>
      <c r="D3" s="90"/>
      <c r="E3" s="90"/>
      <c r="F3" s="90"/>
      <c r="G3" s="90"/>
      <c r="H3" s="90"/>
      <c r="I3" s="90"/>
      <c r="J3" s="90"/>
    </row>
    <row r="4" spans="1:10" ht="9.75" customHeigh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</row>
    <row r="5" spans="1:10" ht="21" customHeight="1" x14ac:dyDescent="0.25">
      <c r="A5" s="91" t="s">
        <v>216</v>
      </c>
      <c r="B5" s="91"/>
      <c r="C5" s="91"/>
      <c r="D5" s="91"/>
      <c r="E5" s="91"/>
      <c r="F5" s="91"/>
      <c r="G5" s="91"/>
      <c r="H5" s="91"/>
      <c r="I5" s="91"/>
      <c r="J5" s="91"/>
    </row>
    <row r="6" spans="1:10" ht="4.5" customHeight="1" x14ac:dyDescent="0.25">
      <c r="A6" s="92"/>
      <c r="B6" s="92"/>
      <c r="C6" s="92"/>
      <c r="D6" s="92"/>
      <c r="E6" s="92"/>
      <c r="F6" s="92"/>
      <c r="G6" s="92"/>
      <c r="H6" s="92"/>
      <c r="I6" s="92"/>
      <c r="J6" s="92"/>
    </row>
    <row r="7" spans="1:10" ht="27" customHeight="1" x14ac:dyDescent="0.25">
      <c r="A7" s="88" t="s">
        <v>0</v>
      </c>
      <c r="B7" s="88"/>
      <c r="C7" s="88" t="s">
        <v>15</v>
      </c>
      <c r="D7" s="88" t="s">
        <v>3</v>
      </c>
      <c r="E7" s="88" t="s">
        <v>221</v>
      </c>
      <c r="F7" s="88" t="s">
        <v>222</v>
      </c>
      <c r="G7" s="108" t="s">
        <v>223</v>
      </c>
      <c r="H7" s="88" t="s">
        <v>224</v>
      </c>
      <c r="I7" s="88" t="s">
        <v>225</v>
      </c>
      <c r="J7" s="88" t="s">
        <v>226</v>
      </c>
    </row>
    <row r="8" spans="1:10" ht="27" customHeight="1" x14ac:dyDescent="0.25">
      <c r="A8" s="47" t="s">
        <v>1</v>
      </c>
      <c r="B8" s="43" t="s">
        <v>2</v>
      </c>
      <c r="C8" s="89"/>
      <c r="D8" s="88"/>
      <c r="E8" s="88"/>
      <c r="F8" s="88"/>
      <c r="G8" s="108"/>
      <c r="H8" s="88"/>
      <c r="I8" s="88"/>
      <c r="J8" s="88"/>
    </row>
    <row r="9" spans="1:10" ht="18" customHeight="1" x14ac:dyDescent="0.25">
      <c r="A9" s="39">
        <v>1</v>
      </c>
      <c r="B9" s="67">
        <f>VLOOKUP(C9,'DATA SISWA KLS 7'!$A$2:$C$113,2,FALSE)</f>
        <v>5455</v>
      </c>
      <c r="C9" s="69" t="s">
        <v>158</v>
      </c>
      <c r="D9" s="77" t="str">
        <f>VLOOKUP(C9,'DATA SISWA KLS 7'!$A$2:$D$159,3,FALSE)</f>
        <v>L</v>
      </c>
      <c r="E9" s="43"/>
      <c r="F9" s="44"/>
      <c r="G9" s="109"/>
      <c r="H9" s="44"/>
      <c r="I9" s="44"/>
      <c r="J9" s="44"/>
    </row>
    <row r="10" spans="1:10" ht="18" customHeight="1" x14ac:dyDescent="0.25">
      <c r="A10" s="39">
        <v>2</v>
      </c>
      <c r="B10" s="67">
        <f>VLOOKUP(C10,'DATA SISWA KLS 7'!$A$2:$C$113,2,FALSE)</f>
        <v>5459</v>
      </c>
      <c r="C10" s="69" t="s">
        <v>148</v>
      </c>
      <c r="D10" s="77" t="str">
        <f>VLOOKUP(C10,'DATA SISWA KLS 7'!$A$2:$D$159,3,FALSE)</f>
        <v>L</v>
      </c>
      <c r="E10" s="43"/>
      <c r="F10" s="44"/>
      <c r="G10" s="109"/>
      <c r="H10" s="44"/>
      <c r="I10" s="44"/>
      <c r="J10" s="44"/>
    </row>
    <row r="11" spans="1:10" ht="18" customHeight="1" x14ac:dyDescent="0.25">
      <c r="A11" s="39">
        <v>3</v>
      </c>
      <c r="B11" s="67">
        <f>VLOOKUP(C11,'DATA SISWA KLS 7'!$A$2:$C$113,2,FALSE)</f>
        <v>5460</v>
      </c>
      <c r="C11" s="69" t="s">
        <v>156</v>
      </c>
      <c r="D11" s="77" t="str">
        <f>VLOOKUP(C11,'DATA SISWA KLS 7'!$A$2:$D$159,3,FALSE)</f>
        <v>L</v>
      </c>
      <c r="E11" s="43"/>
      <c r="F11" s="44"/>
      <c r="G11" s="109"/>
      <c r="H11" s="44"/>
      <c r="I11" s="44"/>
      <c r="J11" s="44"/>
    </row>
    <row r="12" spans="1:10" ht="18" customHeight="1" x14ac:dyDescent="0.25">
      <c r="A12" s="39">
        <v>4</v>
      </c>
      <c r="B12" s="67">
        <f>VLOOKUP(C12,'DATA SISWA KLS 7'!$A$2:$C$113,2,FALSE)</f>
        <v>5462</v>
      </c>
      <c r="C12" s="69" t="s">
        <v>175</v>
      </c>
      <c r="D12" s="77" t="str">
        <f>VLOOKUP(C12,'DATA SISWA KLS 7'!$A$2:$D$159,3,FALSE)</f>
        <v>P</v>
      </c>
      <c r="E12" s="43"/>
      <c r="F12" s="44"/>
      <c r="G12" s="109"/>
      <c r="H12" s="44"/>
      <c r="I12" s="44"/>
      <c r="J12" s="44"/>
    </row>
    <row r="13" spans="1:10" ht="18" customHeight="1" x14ac:dyDescent="0.25">
      <c r="A13" s="39">
        <v>5</v>
      </c>
      <c r="B13" s="67">
        <f>VLOOKUP(C13,'DATA SISWA KLS 7'!$A$2:$C$113,2,FALSE)</f>
        <v>5463</v>
      </c>
      <c r="C13" s="69" t="s">
        <v>165</v>
      </c>
      <c r="D13" s="77" t="str">
        <f>VLOOKUP(C13,'DATA SISWA KLS 7'!$A$2:$D$159,3,FALSE)</f>
        <v>P</v>
      </c>
      <c r="E13" s="43"/>
      <c r="F13" s="44"/>
      <c r="G13" s="109"/>
      <c r="H13" s="44"/>
      <c r="I13" s="44"/>
      <c r="J13" s="44"/>
    </row>
    <row r="14" spans="1:10" ht="18" customHeight="1" x14ac:dyDescent="0.25">
      <c r="A14" s="39">
        <v>6</v>
      </c>
      <c r="B14" s="67">
        <f>VLOOKUP(C14,'DATA SISWA KLS 7'!$A$2:$C$113,2,FALSE)</f>
        <v>5464</v>
      </c>
      <c r="C14" s="69" t="s">
        <v>157</v>
      </c>
      <c r="D14" s="77" t="str">
        <f>VLOOKUP(C14,'DATA SISWA KLS 7'!$A$2:$D$159,3,FALSE)</f>
        <v>L</v>
      </c>
      <c r="E14" s="43"/>
      <c r="F14" s="44"/>
      <c r="G14" s="109"/>
      <c r="H14" s="44"/>
      <c r="I14" s="44"/>
      <c r="J14" s="44"/>
    </row>
    <row r="15" spans="1:10" ht="18" customHeight="1" x14ac:dyDescent="0.25">
      <c r="A15" s="39">
        <v>7</v>
      </c>
      <c r="B15" s="67">
        <f>VLOOKUP(C15,'DATA SISWA KLS 7'!$A$2:$C$113,2,FALSE)</f>
        <v>5469</v>
      </c>
      <c r="C15" s="69" t="s">
        <v>169</v>
      </c>
      <c r="D15" s="77" t="str">
        <f>VLOOKUP(C15,'DATA SISWA KLS 7'!$A$2:$D$159,3,FALSE)</f>
        <v>P</v>
      </c>
      <c r="E15" s="43"/>
      <c r="F15" s="44"/>
      <c r="G15" s="109"/>
      <c r="H15" s="44"/>
      <c r="I15" s="44"/>
      <c r="J15" s="44"/>
    </row>
    <row r="16" spans="1:10" ht="18" customHeight="1" x14ac:dyDescent="0.25">
      <c r="A16" s="39">
        <v>8</v>
      </c>
      <c r="B16" s="67">
        <f>VLOOKUP(C16,'DATA SISWA KLS 7'!$A$2:$C$113,2,FALSE)</f>
        <v>5474</v>
      </c>
      <c r="C16" s="69" t="s">
        <v>146</v>
      </c>
      <c r="D16" s="77" t="str">
        <f>VLOOKUP(C16,'DATA SISWA KLS 7'!$A$2:$D$159,3,FALSE)</f>
        <v>L</v>
      </c>
      <c r="E16" s="43"/>
      <c r="F16" s="44"/>
      <c r="G16" s="109"/>
      <c r="H16" s="44"/>
      <c r="I16" s="44"/>
      <c r="J16" s="44"/>
    </row>
    <row r="17" spans="1:11" ht="18" customHeight="1" x14ac:dyDescent="0.25">
      <c r="A17" s="39">
        <v>9</v>
      </c>
      <c r="B17" s="67">
        <f>VLOOKUP(C17,'DATA SISWA KLS 7'!$A$2:$C$113,2,FALSE)</f>
        <v>5476</v>
      </c>
      <c r="C17" s="69" t="s">
        <v>161</v>
      </c>
      <c r="D17" s="77" t="str">
        <f>VLOOKUP(C17,'DATA SISWA KLS 7'!$A$2:$D$159,3,FALSE)</f>
        <v>P</v>
      </c>
      <c r="E17" s="43"/>
      <c r="F17" s="44"/>
      <c r="G17" s="109"/>
      <c r="H17" s="44"/>
      <c r="I17" s="44"/>
      <c r="J17" s="44"/>
    </row>
    <row r="18" spans="1:11" ht="18" customHeight="1" x14ac:dyDescent="0.25">
      <c r="A18" s="39">
        <v>10</v>
      </c>
      <c r="B18" s="67">
        <f>VLOOKUP(C18,'DATA SISWA KLS 7'!$A$2:$C$113,2,FALSE)</f>
        <v>5483</v>
      </c>
      <c r="C18" s="69" t="s">
        <v>143</v>
      </c>
      <c r="D18" s="77" t="str">
        <f>VLOOKUP(C18,'DATA SISWA KLS 7'!$A$2:$D$159,3,FALSE)</f>
        <v>L</v>
      </c>
      <c r="E18" s="43"/>
      <c r="F18" s="44"/>
      <c r="G18" s="109"/>
      <c r="H18" s="44"/>
      <c r="I18" s="44"/>
      <c r="J18" s="44"/>
    </row>
    <row r="19" spans="1:11" ht="18" customHeight="1" x14ac:dyDescent="0.25">
      <c r="A19" s="39">
        <v>11</v>
      </c>
      <c r="B19" s="67">
        <f>VLOOKUP(C19,'DATA SISWA KLS 7'!$A$2:$C$113,2,FALSE)</f>
        <v>5484</v>
      </c>
      <c r="C19" s="69" t="s">
        <v>149</v>
      </c>
      <c r="D19" s="77" t="str">
        <f>VLOOKUP(C19,'DATA SISWA KLS 7'!$A$2:$D$159,3,FALSE)</f>
        <v>L</v>
      </c>
      <c r="E19" s="43"/>
      <c r="F19" s="44"/>
      <c r="G19" s="109"/>
      <c r="H19" s="44"/>
      <c r="I19" s="44"/>
      <c r="J19" s="44"/>
    </row>
    <row r="20" spans="1:11" ht="18" customHeight="1" x14ac:dyDescent="0.25">
      <c r="A20" s="39">
        <v>12</v>
      </c>
      <c r="B20" s="67">
        <f>VLOOKUP(C20,'DATA SISWA KLS 7'!$A$2:$C$113,2,FALSE)</f>
        <v>5486</v>
      </c>
      <c r="C20" s="69" t="s">
        <v>150</v>
      </c>
      <c r="D20" s="77" t="str">
        <f>VLOOKUP(C20,'DATA SISWA KLS 7'!$A$2:$D$159,3,FALSE)</f>
        <v>L</v>
      </c>
      <c r="E20" s="43"/>
      <c r="F20" s="44"/>
      <c r="G20" s="109"/>
      <c r="H20" s="44"/>
      <c r="I20" s="44"/>
      <c r="J20" s="44"/>
    </row>
    <row r="21" spans="1:11" ht="18" customHeight="1" x14ac:dyDescent="0.25">
      <c r="A21" s="39">
        <v>13</v>
      </c>
      <c r="B21" s="67">
        <f>VLOOKUP(C21,'DATA SISWA KLS 7'!$A$2:$C$113,2,FALSE)</f>
        <v>5487</v>
      </c>
      <c r="C21" s="69" t="s">
        <v>159</v>
      </c>
      <c r="D21" s="77" t="str">
        <f>VLOOKUP(C21,'DATA SISWA KLS 7'!$A$2:$D$159,3,FALSE)</f>
        <v>L</v>
      </c>
      <c r="E21" s="43"/>
      <c r="F21" s="44"/>
      <c r="G21" s="109"/>
      <c r="H21" s="44"/>
      <c r="I21" s="44"/>
      <c r="J21" s="44"/>
    </row>
    <row r="22" spans="1:11" ht="18" customHeight="1" x14ac:dyDescent="0.25">
      <c r="A22" s="39">
        <v>14</v>
      </c>
      <c r="B22" s="67">
        <f>VLOOKUP(C22,'DATA SISWA KLS 7'!$A$2:$C$113,2,FALSE)</f>
        <v>5489</v>
      </c>
      <c r="C22" s="69" t="s">
        <v>151</v>
      </c>
      <c r="D22" s="77" t="str">
        <f>VLOOKUP(C22,'DATA SISWA KLS 7'!$A$2:$D$159,3,FALSE)</f>
        <v>L</v>
      </c>
      <c r="E22" s="43"/>
      <c r="F22" s="44"/>
      <c r="G22" s="109"/>
      <c r="H22" s="44"/>
      <c r="I22" s="44"/>
      <c r="J22" s="44"/>
    </row>
    <row r="23" spans="1:11" ht="18" customHeight="1" x14ac:dyDescent="0.25">
      <c r="A23" s="39">
        <v>15</v>
      </c>
      <c r="B23" s="67">
        <f>VLOOKUP(C23,'DATA SISWA KLS 7'!$A$2:$C$113,2,FALSE)</f>
        <v>5492</v>
      </c>
      <c r="C23" s="69" t="s">
        <v>172</v>
      </c>
      <c r="D23" s="77" t="str">
        <f>VLOOKUP(C23,'DATA SISWA KLS 7'!$A$2:$D$159,3,FALSE)</f>
        <v>P</v>
      </c>
      <c r="E23" s="43"/>
      <c r="F23" s="44"/>
      <c r="G23" s="109"/>
      <c r="H23" s="44"/>
      <c r="I23" s="44"/>
      <c r="J23" s="44"/>
      <c r="K23" s="62"/>
    </row>
    <row r="24" spans="1:11" ht="18" customHeight="1" x14ac:dyDescent="0.25">
      <c r="A24" s="39">
        <v>16</v>
      </c>
      <c r="B24" s="67">
        <f>VLOOKUP(C24,'DATA SISWA KLS 7'!$A$2:$C$113,2,FALSE)</f>
        <v>5493</v>
      </c>
      <c r="C24" s="69" t="s">
        <v>166</v>
      </c>
      <c r="D24" s="77" t="str">
        <f>VLOOKUP(C24,'DATA SISWA KLS 7'!$A$2:$D$159,3,FALSE)</f>
        <v>P</v>
      </c>
      <c r="E24" s="43"/>
      <c r="F24" s="44"/>
      <c r="G24" s="109"/>
      <c r="H24" s="44"/>
      <c r="I24" s="44"/>
      <c r="J24" s="44"/>
    </row>
    <row r="25" spans="1:11" ht="18" customHeight="1" x14ac:dyDescent="0.25">
      <c r="A25" s="39">
        <v>17</v>
      </c>
      <c r="B25" s="67">
        <f>VLOOKUP(C25,'DATA SISWA KLS 7'!$A$2:$C$113,2,FALSE)</f>
        <v>5496</v>
      </c>
      <c r="C25" s="69" t="s">
        <v>163</v>
      </c>
      <c r="D25" s="77" t="str">
        <f>VLOOKUP(C25,'DATA SISWA KLS 7'!$A$2:$D$159,3,FALSE)</f>
        <v>P</v>
      </c>
      <c r="E25" s="43"/>
      <c r="F25" s="44"/>
      <c r="G25" s="109"/>
      <c r="H25" s="44"/>
      <c r="I25" s="44"/>
      <c r="J25" s="44"/>
    </row>
    <row r="26" spans="1:11" ht="18" customHeight="1" x14ac:dyDescent="0.25">
      <c r="A26" s="39">
        <v>18</v>
      </c>
      <c r="B26" s="67">
        <f>VLOOKUP(C26,'DATA SISWA KLS 7'!$A$2:$C$113,2,FALSE)</f>
        <v>5501</v>
      </c>
      <c r="C26" s="69" t="s">
        <v>176</v>
      </c>
      <c r="D26" s="77" t="str">
        <f>VLOOKUP(C26,'DATA SISWA KLS 7'!$A$2:$D$159,3,FALSE)</f>
        <v>P</v>
      </c>
      <c r="E26" s="43"/>
      <c r="F26" s="44"/>
      <c r="G26" s="109"/>
      <c r="H26" s="44"/>
      <c r="I26" s="44"/>
      <c r="J26" s="44"/>
    </row>
    <row r="27" spans="1:11" ht="18" customHeight="1" x14ac:dyDescent="0.25">
      <c r="A27" s="39">
        <v>19</v>
      </c>
      <c r="B27" s="67">
        <f>VLOOKUP(C27,'DATA SISWA KLS 7'!$A$2:$C$113,2,FALSE)</f>
        <v>5502</v>
      </c>
      <c r="C27" s="69" t="s">
        <v>152</v>
      </c>
      <c r="D27" s="77" t="str">
        <f>VLOOKUP(C27,'DATA SISWA KLS 7'!$A$2:$D$159,3,FALSE)</f>
        <v>L</v>
      </c>
      <c r="E27" s="43"/>
      <c r="F27" s="44"/>
      <c r="G27" s="109"/>
      <c r="H27" s="44"/>
      <c r="I27" s="44"/>
      <c r="J27" s="44"/>
    </row>
    <row r="28" spans="1:11" ht="18" customHeight="1" x14ac:dyDescent="0.25">
      <c r="A28" s="39">
        <v>20</v>
      </c>
      <c r="B28" s="67">
        <f>VLOOKUP(C28,'DATA SISWA KLS 7'!$A$2:$C$113,2,FALSE)</f>
        <v>5503</v>
      </c>
      <c r="C28" s="69" t="s">
        <v>168</v>
      </c>
      <c r="D28" s="77" t="str">
        <f>VLOOKUP(C28,'DATA SISWA KLS 7'!$A$2:$D$159,3,FALSE)</f>
        <v>P</v>
      </c>
      <c r="E28" s="43"/>
      <c r="F28" s="44"/>
      <c r="G28" s="109"/>
      <c r="H28" s="44"/>
      <c r="I28" s="44"/>
      <c r="J28" s="44"/>
    </row>
    <row r="29" spans="1:11" ht="18" customHeight="1" x14ac:dyDescent="0.25">
      <c r="A29" s="39">
        <v>21</v>
      </c>
      <c r="B29" s="67">
        <f>VLOOKUP(C29,'DATA SISWA KLS 7'!$A$2:$C$113,2,FALSE)</f>
        <v>5505</v>
      </c>
      <c r="C29" s="69" t="s">
        <v>129</v>
      </c>
      <c r="D29" s="77" t="str">
        <f>VLOOKUP(C29,'DATA SISWA KLS 7'!$A$2:$D$159,3,FALSE)</f>
        <v>P</v>
      </c>
      <c r="E29" s="43"/>
      <c r="F29" s="44"/>
      <c r="G29" s="109"/>
      <c r="H29" s="44"/>
      <c r="I29" s="44"/>
      <c r="J29" s="44"/>
    </row>
    <row r="30" spans="1:11" ht="18" customHeight="1" x14ac:dyDescent="0.25">
      <c r="A30" s="39">
        <v>22</v>
      </c>
      <c r="B30" s="67">
        <f>VLOOKUP(C30,'DATA SISWA KLS 7'!$A$2:$C$113,2,FALSE)</f>
        <v>5512</v>
      </c>
      <c r="C30" s="69" t="s">
        <v>142</v>
      </c>
      <c r="D30" s="77" t="str">
        <f>VLOOKUP(C30,'DATA SISWA KLS 7'!$A$2:$D$159,3,FALSE)</f>
        <v>L</v>
      </c>
      <c r="E30" s="43"/>
      <c r="F30" s="44"/>
      <c r="G30" s="109"/>
      <c r="H30" s="44"/>
      <c r="I30" s="44"/>
      <c r="J30" s="44"/>
    </row>
    <row r="31" spans="1:11" ht="18" customHeight="1" x14ac:dyDescent="0.25">
      <c r="A31" s="39">
        <v>23</v>
      </c>
      <c r="B31" s="67">
        <f>VLOOKUP(C31,'DATA SISWA KLS 7'!$A$2:$C$113,2,FALSE)</f>
        <v>5518</v>
      </c>
      <c r="C31" s="69" t="s">
        <v>147</v>
      </c>
      <c r="D31" s="77" t="str">
        <f>VLOOKUP(C31,'DATA SISWA KLS 7'!$A$2:$D$159,3,FALSE)</f>
        <v>L</v>
      </c>
      <c r="E31" s="43"/>
      <c r="F31" s="44"/>
      <c r="G31" s="109"/>
      <c r="H31" s="44"/>
      <c r="I31" s="44"/>
      <c r="J31" s="44"/>
    </row>
    <row r="32" spans="1:11" ht="18" customHeight="1" x14ac:dyDescent="0.25">
      <c r="A32" s="39">
        <v>24</v>
      </c>
      <c r="B32" s="67">
        <f>VLOOKUP(C32,'DATA SISWA KLS 7'!$A$2:$C$113,2,FALSE)</f>
        <v>5519</v>
      </c>
      <c r="C32" s="69" t="s">
        <v>153</v>
      </c>
      <c r="D32" s="77" t="str">
        <f>VLOOKUP(C32,'DATA SISWA KLS 7'!$A$2:$D$159,3,FALSE)</f>
        <v>L</v>
      </c>
      <c r="E32" s="43"/>
      <c r="F32" s="44"/>
      <c r="G32" s="109"/>
      <c r="H32" s="44"/>
      <c r="I32" s="44"/>
      <c r="J32" s="44"/>
    </row>
    <row r="33" spans="1:10" ht="26.25" x14ac:dyDescent="0.25">
      <c r="A33" s="39">
        <v>25</v>
      </c>
      <c r="B33" s="67">
        <f>VLOOKUP(C33,'DATA SISWA KLS 7'!$A$2:$C$113,2,FALSE)</f>
        <v>5522</v>
      </c>
      <c r="C33" s="69" t="s">
        <v>154</v>
      </c>
      <c r="D33" s="77" t="str">
        <f>VLOOKUP(C33,'DATA SISWA KLS 7'!$A$2:$D$159,3,FALSE)</f>
        <v>L</v>
      </c>
      <c r="E33" s="43"/>
      <c r="F33" s="44"/>
      <c r="G33" s="109"/>
      <c r="H33" s="44"/>
      <c r="I33" s="44"/>
      <c r="J33" s="44"/>
    </row>
    <row r="34" spans="1:10" ht="18" customHeight="1" x14ac:dyDescent="0.25">
      <c r="A34" s="39">
        <v>26</v>
      </c>
      <c r="B34" s="67">
        <f>VLOOKUP(C34,'DATA SISWA KLS 7'!$A$2:$C$113,2,FALSE)</f>
        <v>5524</v>
      </c>
      <c r="C34" s="69" t="s">
        <v>174</v>
      </c>
      <c r="D34" s="77" t="str">
        <f>VLOOKUP(C34,'DATA SISWA KLS 7'!$A$2:$D$159,3,FALSE)</f>
        <v>P</v>
      </c>
      <c r="E34" s="43"/>
      <c r="F34" s="44"/>
      <c r="G34" s="109"/>
      <c r="H34" s="44"/>
      <c r="I34" s="44"/>
      <c r="J34" s="44"/>
    </row>
    <row r="35" spans="1:10" ht="18" customHeight="1" x14ac:dyDescent="0.25">
      <c r="A35" s="39">
        <v>27</v>
      </c>
      <c r="B35" s="67">
        <f>VLOOKUP(C35,'DATA SISWA KLS 7'!$A$2:$C$113,2,FALSE)</f>
        <v>5525</v>
      </c>
      <c r="C35" s="69" t="s">
        <v>177</v>
      </c>
      <c r="D35" s="77" t="str">
        <f>VLOOKUP(C35,'DATA SISWA KLS 7'!$A$2:$D$159,3,FALSE)</f>
        <v>P</v>
      </c>
      <c r="E35" s="43"/>
      <c r="F35" s="44"/>
      <c r="G35" s="109"/>
      <c r="H35" s="44"/>
      <c r="I35" s="44"/>
      <c r="J35" s="44"/>
    </row>
    <row r="36" spans="1:10" ht="18" customHeight="1" x14ac:dyDescent="0.25">
      <c r="A36" s="39">
        <v>28</v>
      </c>
      <c r="B36" s="67">
        <f>VLOOKUP(C36,'DATA SISWA KLS 7'!$A$2:$C$113,2,FALSE)</f>
        <v>5534</v>
      </c>
      <c r="C36" s="69" t="s">
        <v>207</v>
      </c>
      <c r="D36" s="77" t="str">
        <f>VLOOKUP(C36,'DATA SISWA KLS 7'!$A$2:$D$159,3,FALSE)</f>
        <v>P</v>
      </c>
      <c r="E36" s="43"/>
      <c r="F36" s="44"/>
      <c r="G36" s="109"/>
      <c r="H36" s="44"/>
      <c r="I36" s="44"/>
      <c r="J36" s="44"/>
    </row>
    <row r="37" spans="1:10" ht="18" customHeight="1" x14ac:dyDescent="0.25">
      <c r="A37" s="39">
        <v>29</v>
      </c>
      <c r="B37" s="67">
        <f>VLOOKUP(C37,'DATA SISWA KLS 7'!$A$2:$C$113,2,FALSE)</f>
        <v>5541</v>
      </c>
      <c r="C37" s="69" t="s">
        <v>155</v>
      </c>
      <c r="D37" s="77" t="str">
        <f>VLOOKUP(C37,'DATA SISWA KLS 7'!$A$2:$D$159,3,FALSE)</f>
        <v>L</v>
      </c>
      <c r="E37" s="43"/>
      <c r="F37" s="44"/>
      <c r="G37" s="109"/>
      <c r="H37" s="44"/>
      <c r="I37" s="44"/>
      <c r="J37" s="44"/>
    </row>
    <row r="38" spans="1:10" ht="18" customHeight="1" x14ac:dyDescent="0.25">
      <c r="A38" s="39">
        <v>30</v>
      </c>
      <c r="B38" s="67">
        <f>VLOOKUP(C38,'DATA SISWA KLS 7'!$A$2:$C$113,2,FALSE)</f>
        <v>5548</v>
      </c>
      <c r="C38" s="69" t="s">
        <v>173</v>
      </c>
      <c r="D38" s="77" t="str">
        <f>VLOOKUP(C38,'DATA SISWA KLS 7'!$A$2:$D$159,3,FALSE)</f>
        <v>P</v>
      </c>
      <c r="E38" s="43"/>
      <c r="F38" s="44"/>
      <c r="G38" s="109"/>
      <c r="H38" s="44"/>
      <c r="I38" s="44"/>
      <c r="J38" s="44"/>
    </row>
    <row r="39" spans="1:10" ht="18" customHeight="1" x14ac:dyDescent="0.25">
      <c r="A39" s="39">
        <v>31</v>
      </c>
      <c r="B39" s="67">
        <f>VLOOKUP(C39,'DATA SISWA KLS 7'!$A$2:$C$113,2,FALSE)</f>
        <v>5549</v>
      </c>
      <c r="C39" s="69" t="s">
        <v>145</v>
      </c>
      <c r="D39" s="77" t="str">
        <f>VLOOKUP(C39,'DATA SISWA KLS 7'!$A$2:$D$159,3,FALSE)</f>
        <v>L</v>
      </c>
      <c r="E39" s="43"/>
      <c r="F39" s="44"/>
      <c r="G39" s="109"/>
      <c r="H39" s="44"/>
      <c r="I39" s="44"/>
      <c r="J39" s="44"/>
    </row>
    <row r="40" spans="1:10" ht="18" customHeight="1" x14ac:dyDescent="0.25">
      <c r="A40" s="39">
        <v>32</v>
      </c>
      <c r="B40" s="67">
        <f>VLOOKUP(C40,'DATA SISWA KLS 7'!$A$2:$C$113,2,FALSE)</f>
        <v>5551</v>
      </c>
      <c r="C40" s="69" t="s">
        <v>167</v>
      </c>
      <c r="D40" s="77" t="str">
        <f>VLOOKUP(C40,'DATA SISWA KLS 7'!$A$2:$D$159,3,FALSE)</f>
        <v>P</v>
      </c>
      <c r="E40" s="43"/>
      <c r="F40" s="44"/>
      <c r="G40" s="109"/>
      <c r="H40" s="44"/>
      <c r="I40" s="44"/>
      <c r="J40" s="44"/>
    </row>
    <row r="41" spans="1:10" ht="18" customHeight="1" x14ac:dyDescent="0.25">
      <c r="A41" s="39">
        <v>33</v>
      </c>
      <c r="B41" s="67">
        <f>VLOOKUP(C41,'DATA SISWA KLS 7'!$A$2:$C$113,2,FALSE)</f>
        <v>5555</v>
      </c>
      <c r="C41" s="69" t="s">
        <v>179</v>
      </c>
      <c r="D41" s="77" t="str">
        <f>VLOOKUP(C41,'DATA SISWA KLS 7'!$A$2:$D$159,3,FALSE)</f>
        <v>L</v>
      </c>
      <c r="E41" s="43"/>
      <c r="F41" s="44"/>
      <c r="G41" s="109"/>
      <c r="H41" s="44"/>
      <c r="I41" s="44"/>
      <c r="J41" s="44"/>
    </row>
    <row r="42" spans="1:10" ht="18" customHeight="1" x14ac:dyDescent="0.25">
      <c r="A42" s="39">
        <v>34</v>
      </c>
      <c r="B42" s="67">
        <f>VLOOKUP(C42,'DATA SISWA KLS 7'!$A$2:$C$113,2,FALSE)</f>
        <v>5556</v>
      </c>
      <c r="C42" s="69" t="s">
        <v>164</v>
      </c>
      <c r="D42" s="77" t="str">
        <f>VLOOKUP(C42,'DATA SISWA KLS 7'!$A$2:$D$159,3,FALSE)</f>
        <v>P</v>
      </c>
      <c r="E42" s="43"/>
      <c r="F42" s="44"/>
      <c r="G42" s="109"/>
      <c r="H42" s="44"/>
      <c r="I42" s="44"/>
      <c r="J42" s="44"/>
    </row>
    <row r="43" spans="1:10" ht="18" customHeight="1" x14ac:dyDescent="0.25">
      <c r="A43" s="39">
        <v>35</v>
      </c>
      <c r="B43" s="67">
        <f>VLOOKUP(C43,'DATA SISWA KLS 7'!$A$2:$C$113,2,FALSE)</f>
        <v>5560</v>
      </c>
      <c r="C43" s="69" t="s">
        <v>160</v>
      </c>
      <c r="D43" s="77" t="str">
        <f>VLOOKUP(C43,'DATA SISWA KLS 7'!$A$2:$D$159,3,FALSE)</f>
        <v>P</v>
      </c>
      <c r="E43" s="43"/>
      <c r="F43" s="44"/>
      <c r="G43" s="109"/>
      <c r="H43" s="44"/>
      <c r="I43" s="44"/>
      <c r="J43" s="44"/>
    </row>
    <row r="44" spans="1:10" ht="18" customHeight="1" x14ac:dyDescent="0.25">
      <c r="A44" s="39">
        <v>36</v>
      </c>
      <c r="B44" s="67">
        <f>VLOOKUP(C44,'DATA SISWA KLS 7'!$A$2:$C$113,2,FALSE)</f>
        <v>5561</v>
      </c>
      <c r="C44" s="69" t="s">
        <v>171</v>
      </c>
      <c r="D44" s="77" t="str">
        <f>VLOOKUP(C44,'DATA SISWA KLS 7'!$A$2:$D$159,3,FALSE)</f>
        <v>P</v>
      </c>
      <c r="E44" s="43"/>
      <c r="F44" s="44"/>
      <c r="G44" s="109"/>
      <c r="H44" s="44"/>
      <c r="I44" s="44"/>
      <c r="J44" s="44"/>
    </row>
    <row r="45" spans="1:10" ht="18" customHeight="1" x14ac:dyDescent="0.25">
      <c r="A45" s="39">
        <v>37</v>
      </c>
      <c r="B45" s="67"/>
      <c r="C45" s="79"/>
      <c r="D45" s="43"/>
      <c r="E45" s="43"/>
      <c r="F45" s="44"/>
      <c r="G45" s="109"/>
      <c r="H45" s="44"/>
      <c r="I45" s="44"/>
      <c r="J45" s="44"/>
    </row>
    <row r="46" spans="1:10" ht="18" customHeight="1" x14ac:dyDescent="0.25">
      <c r="A46" s="39">
        <v>38</v>
      </c>
      <c r="B46" s="67"/>
      <c r="C46" s="49"/>
      <c r="D46" s="43"/>
      <c r="E46" s="43"/>
      <c r="F46" s="44"/>
      <c r="G46" s="109"/>
      <c r="H46" s="44"/>
      <c r="I46" s="44"/>
      <c r="J46" s="44"/>
    </row>
    <row r="47" spans="1:10" ht="14.25" customHeight="1" x14ac:dyDescent="0.25">
      <c r="A47" s="50"/>
      <c r="B47" s="51"/>
      <c r="C47" s="10"/>
      <c r="D47" s="52"/>
      <c r="E47" s="63"/>
      <c r="F47" s="53"/>
      <c r="G47" s="53"/>
      <c r="H47" s="53"/>
      <c r="I47" s="53"/>
      <c r="J47" s="53"/>
    </row>
    <row r="48" spans="1:10" x14ac:dyDescent="0.25">
      <c r="A48" s="83" t="s">
        <v>6</v>
      </c>
      <c r="B48" s="83"/>
      <c r="C48" s="54">
        <f>COUNTIF(D9:D46,"L")</f>
        <v>18</v>
      </c>
      <c r="D48" s="55"/>
      <c r="E48" s="64"/>
      <c r="F48" s="55"/>
      <c r="G48" s="55"/>
      <c r="H48" s="55"/>
      <c r="I48" s="55"/>
      <c r="J48" s="55"/>
    </row>
    <row r="49" spans="1:10" x14ac:dyDescent="0.25">
      <c r="A49" s="83" t="s">
        <v>7</v>
      </c>
      <c r="B49" s="83"/>
      <c r="C49" s="57">
        <f>COUNTIF(D9:D46,"P")</f>
        <v>18</v>
      </c>
      <c r="D49" s="55"/>
      <c r="E49" s="64"/>
      <c r="F49" s="55"/>
      <c r="G49" s="55"/>
      <c r="H49" s="55"/>
      <c r="I49" s="55"/>
      <c r="J49" s="110"/>
    </row>
    <row r="50" spans="1:10" x14ac:dyDescent="0.25">
      <c r="A50" s="83" t="s">
        <v>8</v>
      </c>
      <c r="B50" s="83"/>
      <c r="C50" s="54">
        <f>SUM(C48:C49)</f>
        <v>36</v>
      </c>
      <c r="D50" s="55"/>
      <c r="E50" s="64"/>
      <c r="F50" s="84"/>
      <c r="G50" s="84"/>
      <c r="H50" s="84"/>
      <c r="I50" s="84"/>
      <c r="J50" s="111"/>
    </row>
    <row r="51" spans="1:10" x14ac:dyDescent="0.25">
      <c r="A51" s="83" t="s">
        <v>9</v>
      </c>
      <c r="B51" s="83"/>
      <c r="C51" s="55" t="str">
        <f>guuru!B13</f>
        <v>Ikhlas Munajati, S.Pd</v>
      </c>
      <c r="D51" s="55"/>
      <c r="E51" s="64"/>
      <c r="F51" s="84"/>
      <c r="G51" s="84"/>
      <c r="H51" s="84"/>
      <c r="I51" s="84"/>
      <c r="J51" s="111"/>
    </row>
    <row r="52" spans="1:10" x14ac:dyDescent="0.25">
      <c r="A52" s="55"/>
      <c r="B52" s="55"/>
      <c r="C52" s="55"/>
      <c r="D52" s="55"/>
      <c r="E52" s="64"/>
      <c r="F52" s="55"/>
      <c r="J52" s="112"/>
    </row>
    <row r="53" spans="1:10" x14ac:dyDescent="0.25">
      <c r="A53" s="55"/>
      <c r="B53" s="55"/>
      <c r="C53" s="55"/>
      <c r="D53" s="55"/>
      <c r="E53" s="64"/>
      <c r="F53" s="55"/>
      <c r="G53" s="55"/>
      <c r="H53" s="55"/>
      <c r="I53" s="55"/>
      <c r="J53" s="110"/>
    </row>
  </sheetData>
  <mergeCells count="20">
    <mergeCell ref="A50:B50"/>
    <mergeCell ref="F50:I51"/>
    <mergeCell ref="J50:J51"/>
    <mergeCell ref="A51:B51"/>
    <mergeCell ref="A48:B48"/>
    <mergeCell ref="A49:B49"/>
    <mergeCell ref="G7:G8"/>
    <mergeCell ref="H7:H8"/>
    <mergeCell ref="I7:I8"/>
    <mergeCell ref="J7:J8"/>
    <mergeCell ref="A1:J1"/>
    <mergeCell ref="A2:J2"/>
    <mergeCell ref="A3:J3"/>
    <mergeCell ref="A5:J5"/>
    <mergeCell ref="A6:J6"/>
    <mergeCell ref="A7:B7"/>
    <mergeCell ref="C7:C8"/>
    <mergeCell ref="D7:D8"/>
    <mergeCell ref="E7:E8"/>
    <mergeCell ref="F7:F8"/>
  </mergeCells>
  <conditionalFormatting sqref="C46">
    <cfRule type="duplicateValues" dxfId="6" priority="1"/>
    <cfRule type="duplicateValues" dxfId="5" priority="2"/>
  </conditionalFormatting>
  <printOptions horizontalCentered="1"/>
  <pageMargins left="0.31496062992125984" right="0.31496062992125984" top="0.15748031496062992" bottom="0.15748031496062992" header="0.31496062992125984" footer="0.31496062992125984"/>
  <pageSetup paperSize="5" scale="95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DE10-C8B2-42F4-966D-9BA653A1042B}">
  <dimension ref="A1:J53"/>
  <sheetViews>
    <sheetView zoomScaleNormal="100" workbookViewId="0">
      <selection activeCell="H53" sqref="H53"/>
    </sheetView>
  </sheetViews>
  <sheetFormatPr defaultColWidth="8.85546875" defaultRowHeight="15" x14ac:dyDescent="0.25"/>
  <cols>
    <col min="1" max="1" width="4" style="38" customWidth="1"/>
    <col min="2" max="2" width="8.42578125" style="38" customWidth="1"/>
    <col min="3" max="3" width="31.42578125" style="38" customWidth="1"/>
    <col min="4" max="4" width="3.42578125" style="38" customWidth="1"/>
    <col min="5" max="5" width="9.42578125" style="64" customWidth="1"/>
    <col min="6" max="6" width="9.42578125" style="38" customWidth="1"/>
    <col min="7" max="7" width="9" style="38" customWidth="1"/>
    <col min="8" max="8" width="8.7109375" style="38" customWidth="1"/>
    <col min="9" max="9" width="9" style="38" customWidth="1"/>
    <col min="10" max="10" width="9.140625" style="38" customWidth="1"/>
    <col min="11" max="16384" width="8.85546875" style="38"/>
  </cols>
  <sheetData>
    <row r="1" spans="1:10" ht="21" customHeight="1" x14ac:dyDescent="0.25">
      <c r="A1" s="90" t="s">
        <v>53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ht="21" customHeight="1" x14ac:dyDescent="0.25">
      <c r="A2" s="90" t="s">
        <v>52</v>
      </c>
      <c r="B2" s="90"/>
      <c r="C2" s="90"/>
      <c r="D2" s="90"/>
      <c r="E2" s="90"/>
      <c r="F2" s="90"/>
      <c r="G2" s="90"/>
      <c r="H2" s="90"/>
      <c r="I2" s="90"/>
      <c r="J2" s="90"/>
    </row>
    <row r="3" spans="1:10" ht="22.5" customHeight="1" x14ac:dyDescent="0.25">
      <c r="A3" s="90" t="s">
        <v>215</v>
      </c>
      <c r="B3" s="90"/>
      <c r="C3" s="90"/>
      <c r="D3" s="90"/>
      <c r="E3" s="90"/>
      <c r="F3" s="90"/>
      <c r="G3" s="90"/>
      <c r="H3" s="90"/>
      <c r="I3" s="90"/>
      <c r="J3" s="90"/>
    </row>
    <row r="4" spans="1:10" ht="9.75" customHeight="1" x14ac:dyDescent="0.25">
      <c r="A4" s="46"/>
      <c r="B4" s="46"/>
      <c r="C4" s="46"/>
      <c r="D4" s="46"/>
      <c r="E4" s="66"/>
      <c r="F4" s="46"/>
      <c r="G4" s="46"/>
      <c r="H4" s="46"/>
      <c r="I4" s="46"/>
      <c r="J4" s="46"/>
    </row>
    <row r="5" spans="1:10" ht="21" customHeight="1" x14ac:dyDescent="0.25">
      <c r="A5" s="91" t="s">
        <v>91</v>
      </c>
      <c r="B5" s="91"/>
      <c r="C5" s="91"/>
      <c r="D5" s="91"/>
      <c r="E5" s="91"/>
      <c r="F5" s="91"/>
      <c r="G5" s="91"/>
      <c r="H5" s="91"/>
      <c r="I5" s="91"/>
      <c r="J5" s="91"/>
    </row>
    <row r="6" spans="1:10" ht="4.5" customHeight="1" x14ac:dyDescent="0.25">
      <c r="A6" s="92"/>
      <c r="B6" s="92"/>
      <c r="C6" s="92"/>
      <c r="D6" s="92"/>
      <c r="E6" s="92"/>
      <c r="F6" s="92"/>
      <c r="G6" s="92"/>
      <c r="H6" s="92"/>
      <c r="I6" s="92"/>
      <c r="J6" s="92"/>
    </row>
    <row r="7" spans="1:10" ht="27" customHeight="1" x14ac:dyDescent="0.25">
      <c r="A7" s="88" t="s">
        <v>0</v>
      </c>
      <c r="B7" s="88"/>
      <c r="C7" s="88" t="s">
        <v>15</v>
      </c>
      <c r="D7" s="88" t="s">
        <v>3</v>
      </c>
      <c r="E7" s="88" t="s">
        <v>221</v>
      </c>
      <c r="F7" s="88" t="s">
        <v>222</v>
      </c>
      <c r="G7" s="108" t="s">
        <v>223</v>
      </c>
      <c r="H7" s="88" t="s">
        <v>224</v>
      </c>
      <c r="I7" s="88" t="s">
        <v>225</v>
      </c>
      <c r="J7" s="88" t="s">
        <v>226</v>
      </c>
    </row>
    <row r="8" spans="1:10" ht="27" customHeight="1" x14ac:dyDescent="0.25">
      <c r="A8" s="47" t="s">
        <v>1</v>
      </c>
      <c r="B8" s="43" t="s">
        <v>2</v>
      </c>
      <c r="C8" s="89"/>
      <c r="D8" s="88"/>
      <c r="E8" s="88"/>
      <c r="F8" s="88"/>
      <c r="G8" s="108"/>
      <c r="H8" s="88"/>
      <c r="I8" s="88"/>
      <c r="J8" s="88"/>
    </row>
    <row r="9" spans="1:10" ht="18" customHeight="1" x14ac:dyDescent="0.25">
      <c r="A9" s="39">
        <v>1</v>
      </c>
      <c r="B9" s="67">
        <f>VLOOKUP(C9,'DATA SISWA KLS 7'!$A$2:$C$113,2,FALSE)</f>
        <v>5453</v>
      </c>
      <c r="C9" s="69" t="s">
        <v>134</v>
      </c>
      <c r="D9" s="77" t="str">
        <f>VLOOKUP(C9,'DATA SISWA KLS 7'!$A$2:$D$159,3,FALSE)</f>
        <v>P</v>
      </c>
      <c r="E9" s="43"/>
      <c r="F9" s="44"/>
      <c r="G9" s="109"/>
      <c r="H9" s="44"/>
      <c r="I9" s="44"/>
      <c r="J9" s="44"/>
    </row>
    <row r="10" spans="1:10" ht="18" customHeight="1" x14ac:dyDescent="0.25">
      <c r="A10" s="39">
        <v>2</v>
      </c>
      <c r="B10" s="67">
        <f>VLOOKUP(C10,'DATA SISWA KLS 7'!$A$2:$C$113,2,FALSE)</f>
        <v>5454</v>
      </c>
      <c r="C10" s="69" t="s">
        <v>114</v>
      </c>
      <c r="D10" s="77" t="str">
        <f>VLOOKUP(C10,'DATA SISWA KLS 7'!$A$2:$D$159,3,FALSE)</f>
        <v>L</v>
      </c>
      <c r="E10" s="43"/>
      <c r="F10" s="44"/>
      <c r="G10" s="109"/>
      <c r="H10" s="44"/>
      <c r="I10" s="44"/>
      <c r="J10" s="44"/>
    </row>
    <row r="11" spans="1:10" ht="18" customHeight="1" x14ac:dyDescent="0.25">
      <c r="A11" s="39">
        <v>3</v>
      </c>
      <c r="B11" s="67">
        <f>VLOOKUP(C11,'DATA SISWA KLS 7'!$A$2:$C$113,2,FALSE)</f>
        <v>5456</v>
      </c>
      <c r="C11" s="69" t="s">
        <v>107</v>
      </c>
      <c r="D11" s="77" t="str">
        <f>VLOOKUP(C11,'DATA SISWA KLS 7'!$A$2:$D$159,3,FALSE)</f>
        <v>L</v>
      </c>
      <c r="E11" s="43"/>
      <c r="F11" s="44"/>
      <c r="G11" s="109"/>
      <c r="H11" s="44"/>
      <c r="I11" s="44"/>
      <c r="J11" s="44"/>
    </row>
    <row r="12" spans="1:10" ht="18" customHeight="1" x14ac:dyDescent="0.25">
      <c r="A12" s="39">
        <v>4</v>
      </c>
      <c r="B12" s="67">
        <f>VLOOKUP(C12,'DATA SISWA KLS 7'!$A$2:$C$113,2,FALSE)</f>
        <v>5457</v>
      </c>
      <c r="C12" s="69" t="s">
        <v>132</v>
      </c>
      <c r="D12" s="77" t="str">
        <f>VLOOKUP(C12,'DATA SISWA KLS 7'!$A$2:$D$159,3,FALSE)</f>
        <v>P</v>
      </c>
      <c r="E12" s="43"/>
      <c r="F12" s="44"/>
      <c r="G12" s="109"/>
      <c r="H12" s="44"/>
      <c r="I12" s="44"/>
      <c r="J12" s="44"/>
    </row>
    <row r="13" spans="1:10" ht="18" customHeight="1" x14ac:dyDescent="0.25">
      <c r="A13" s="39">
        <v>5</v>
      </c>
      <c r="B13" s="67">
        <f>VLOOKUP(C13,'DATA SISWA KLS 7'!$A$2:$C$113,2,FALSE)</f>
        <v>5458</v>
      </c>
      <c r="C13" s="69" t="s">
        <v>127</v>
      </c>
      <c r="D13" s="77" t="str">
        <f>VLOOKUP(C13,'DATA SISWA KLS 7'!$A$2:$D$159,3,FALSE)</f>
        <v>P</v>
      </c>
      <c r="E13" s="43"/>
      <c r="F13" s="44"/>
      <c r="G13" s="109"/>
      <c r="H13" s="44"/>
      <c r="I13" s="44"/>
      <c r="J13" s="44"/>
    </row>
    <row r="14" spans="1:10" ht="18" customHeight="1" x14ac:dyDescent="0.25">
      <c r="A14" s="39">
        <v>6</v>
      </c>
      <c r="B14" s="67">
        <f>VLOOKUP(C14,'DATA SISWA KLS 7'!$A$2:$C$113,2,FALSE)</f>
        <v>5461</v>
      </c>
      <c r="C14" s="69" t="s">
        <v>115</v>
      </c>
      <c r="D14" s="77" t="str">
        <f>VLOOKUP(C14,'DATA SISWA KLS 7'!$A$2:$D$159,3,FALSE)</f>
        <v>L</v>
      </c>
      <c r="E14" s="43"/>
      <c r="F14" s="44"/>
      <c r="G14" s="109"/>
      <c r="H14" s="44"/>
      <c r="I14" s="44"/>
      <c r="J14" s="44"/>
    </row>
    <row r="15" spans="1:10" ht="18" customHeight="1" x14ac:dyDescent="0.25">
      <c r="A15" s="39">
        <v>7</v>
      </c>
      <c r="B15" s="67">
        <f>VLOOKUP(C15,'DATA SISWA KLS 7'!$A$2:$C$113,2,FALSE)</f>
        <v>5465</v>
      </c>
      <c r="C15" s="69" t="s">
        <v>136</v>
      </c>
      <c r="D15" s="77" t="str">
        <f>VLOOKUP(C15,'DATA SISWA KLS 7'!$A$2:$D$159,3,FALSE)</f>
        <v>P</v>
      </c>
      <c r="E15" s="43"/>
      <c r="F15" s="44"/>
      <c r="G15" s="109"/>
      <c r="H15" s="44"/>
      <c r="I15" s="44"/>
      <c r="J15" s="44"/>
    </row>
    <row r="16" spans="1:10" ht="18" customHeight="1" x14ac:dyDescent="0.25">
      <c r="A16" s="39">
        <v>8</v>
      </c>
      <c r="B16" s="67">
        <f>VLOOKUP(C16,'DATA SISWA KLS 7'!$A$2:$C$113,2,FALSE)</f>
        <v>5466</v>
      </c>
      <c r="C16" s="69" t="s">
        <v>126</v>
      </c>
      <c r="D16" s="77" t="str">
        <f>VLOOKUP(C16,'DATA SISWA KLS 7'!$A$2:$D$159,3,FALSE)</f>
        <v>P</v>
      </c>
      <c r="E16" s="43"/>
      <c r="F16" s="44"/>
      <c r="G16" s="109"/>
      <c r="H16" s="44"/>
      <c r="I16" s="44"/>
      <c r="J16" s="44"/>
    </row>
    <row r="17" spans="1:10" ht="18" customHeight="1" x14ac:dyDescent="0.25">
      <c r="A17" s="39">
        <v>9</v>
      </c>
      <c r="B17" s="67">
        <f>VLOOKUP(C17,'DATA SISWA KLS 7'!$A$2:$C$113,2,FALSE)</f>
        <v>5468</v>
      </c>
      <c r="C17" s="69" t="s">
        <v>119</v>
      </c>
      <c r="D17" s="77" t="str">
        <f>VLOOKUP(C17,'DATA SISWA KLS 7'!$A$2:$D$159,3,FALSE)</f>
        <v>L</v>
      </c>
      <c r="E17" s="43"/>
      <c r="F17" s="44"/>
      <c r="G17" s="109"/>
      <c r="H17" s="44"/>
      <c r="I17" s="44"/>
      <c r="J17" s="44"/>
    </row>
    <row r="18" spans="1:10" ht="18" customHeight="1" x14ac:dyDescent="0.25">
      <c r="A18" s="39">
        <v>10</v>
      </c>
      <c r="B18" s="67">
        <f>VLOOKUP(C18,'DATA SISWA KLS 7'!$A$2:$C$113,2,FALSE)</f>
        <v>5471</v>
      </c>
      <c r="C18" s="69" t="s">
        <v>106</v>
      </c>
      <c r="D18" s="77" t="str">
        <f>VLOOKUP(C18,'DATA SISWA KLS 7'!$A$2:$D$159,3,FALSE)</f>
        <v>L</v>
      </c>
      <c r="E18" s="43"/>
      <c r="F18" s="44"/>
      <c r="G18" s="109"/>
      <c r="H18" s="44"/>
      <c r="I18" s="44"/>
      <c r="J18" s="44"/>
    </row>
    <row r="19" spans="1:10" ht="18" customHeight="1" x14ac:dyDescent="0.25">
      <c r="A19" s="39">
        <v>11</v>
      </c>
      <c r="B19" s="67">
        <f>VLOOKUP(C19,'DATA SISWA KLS 7'!$A$2:$C$113,2,FALSE)</f>
        <v>5475</v>
      </c>
      <c r="C19" s="69" t="s">
        <v>109</v>
      </c>
      <c r="D19" s="77" t="str">
        <f>VLOOKUP(C19,'DATA SISWA KLS 7'!$A$2:$D$159,3,FALSE)</f>
        <v>L</v>
      </c>
      <c r="E19" s="43"/>
      <c r="F19" s="44"/>
      <c r="G19" s="109"/>
      <c r="H19" s="44"/>
      <c r="I19" s="44"/>
      <c r="J19" s="44"/>
    </row>
    <row r="20" spans="1:10" ht="18" customHeight="1" x14ac:dyDescent="0.25">
      <c r="A20" s="39">
        <v>12</v>
      </c>
      <c r="B20" s="67">
        <f>VLOOKUP(C20,'DATA SISWA KLS 7'!$A$2:$C$113,2,FALSE)</f>
        <v>5477</v>
      </c>
      <c r="C20" s="69" t="s">
        <v>120</v>
      </c>
      <c r="D20" s="77" t="str">
        <f>VLOOKUP(C20,'DATA SISWA KLS 7'!$A$2:$D$159,3,FALSE)</f>
        <v>L</v>
      </c>
      <c r="E20" s="43"/>
      <c r="F20" s="44"/>
      <c r="G20" s="109"/>
      <c r="H20" s="44"/>
      <c r="I20" s="44"/>
      <c r="J20" s="44"/>
    </row>
    <row r="21" spans="1:10" ht="18" customHeight="1" x14ac:dyDescent="0.25">
      <c r="A21" s="39">
        <v>13</v>
      </c>
      <c r="B21" s="67">
        <f>VLOOKUP(C21,'DATA SISWA KLS 7'!$A$2:$C$113,2,FALSE)</f>
        <v>5479</v>
      </c>
      <c r="C21" s="69" t="s">
        <v>133</v>
      </c>
      <c r="D21" s="77" t="str">
        <f>VLOOKUP(C21,'DATA SISWA KLS 7'!$A$2:$D$159,3,FALSE)</f>
        <v>P</v>
      </c>
      <c r="E21" s="43"/>
      <c r="F21" s="44"/>
      <c r="G21" s="109"/>
      <c r="H21" s="44"/>
      <c r="I21" s="44"/>
      <c r="J21" s="44"/>
    </row>
    <row r="22" spans="1:10" ht="18" customHeight="1" x14ac:dyDescent="0.25">
      <c r="A22" s="39">
        <v>14</v>
      </c>
      <c r="B22" s="67">
        <f>VLOOKUP(C22,'DATA SISWA KLS 7'!$A$2:$C$113,2,FALSE)</f>
        <v>5481</v>
      </c>
      <c r="C22" s="69" t="s">
        <v>124</v>
      </c>
      <c r="D22" s="77" t="str">
        <f>VLOOKUP(C22,'DATA SISWA KLS 7'!$A$2:$D$159,3,FALSE)</f>
        <v>P</v>
      </c>
      <c r="E22" s="43"/>
      <c r="F22" s="44"/>
      <c r="G22" s="109"/>
      <c r="H22" s="44"/>
      <c r="I22" s="44"/>
      <c r="J22" s="44"/>
    </row>
    <row r="23" spans="1:10" ht="18" customHeight="1" x14ac:dyDescent="0.25">
      <c r="A23" s="39">
        <v>15</v>
      </c>
      <c r="B23" s="67">
        <f>VLOOKUP(C23,'DATA SISWA KLS 7'!$A$2:$C$113,2,FALSE)</f>
        <v>5485</v>
      </c>
      <c r="C23" s="69" t="s">
        <v>112</v>
      </c>
      <c r="D23" s="77" t="str">
        <f>VLOOKUP(C23,'DATA SISWA KLS 7'!$A$2:$D$159,3,FALSE)</f>
        <v>L</v>
      </c>
      <c r="E23" s="43"/>
      <c r="F23" s="44"/>
      <c r="G23" s="109"/>
      <c r="H23" s="44"/>
      <c r="I23" s="44"/>
      <c r="J23" s="44"/>
    </row>
    <row r="24" spans="1:10" ht="18" customHeight="1" x14ac:dyDescent="0.25">
      <c r="A24" s="39">
        <v>16</v>
      </c>
      <c r="B24" s="67">
        <f>VLOOKUP(C24,'DATA SISWA KLS 7'!$A$2:$C$113,2,FALSE)</f>
        <v>5488</v>
      </c>
      <c r="C24" s="69" t="s">
        <v>117</v>
      </c>
      <c r="D24" s="77" t="str">
        <f>VLOOKUP(C24,'DATA SISWA KLS 7'!$A$2:$D$159,3,FALSE)</f>
        <v>L</v>
      </c>
      <c r="E24" s="43"/>
      <c r="F24" s="44"/>
      <c r="G24" s="109"/>
      <c r="H24" s="44"/>
      <c r="I24" s="44"/>
      <c r="J24" s="44"/>
    </row>
    <row r="25" spans="1:10" ht="18" customHeight="1" x14ac:dyDescent="0.25">
      <c r="A25" s="39">
        <v>17</v>
      </c>
      <c r="B25" s="67">
        <f>VLOOKUP(C25,'DATA SISWA KLS 7'!$A$2:$C$113,2,FALSE)</f>
        <v>5490</v>
      </c>
      <c r="C25" s="69" t="s">
        <v>113</v>
      </c>
      <c r="D25" s="77" t="str">
        <f>VLOOKUP(C25,'DATA SISWA KLS 7'!$A$2:$D$159,3,FALSE)</f>
        <v>L</v>
      </c>
      <c r="E25" s="43"/>
      <c r="F25" s="44"/>
      <c r="G25" s="109"/>
      <c r="H25" s="44"/>
      <c r="I25" s="44"/>
      <c r="J25" s="44"/>
    </row>
    <row r="26" spans="1:10" ht="18" customHeight="1" x14ac:dyDescent="0.25">
      <c r="A26" s="39">
        <v>18</v>
      </c>
      <c r="B26" s="67">
        <f>VLOOKUP(C26,'DATA SISWA KLS 7'!$A$2:$C$113,2,FALSE)</f>
        <v>5495</v>
      </c>
      <c r="C26" s="69" t="s">
        <v>162</v>
      </c>
      <c r="D26" s="77" t="str">
        <f>VLOOKUP(C26,'DATA SISWA KLS 7'!$A$2:$D$159,3,FALSE)</f>
        <v>P</v>
      </c>
      <c r="E26" s="43"/>
      <c r="F26" s="44"/>
      <c r="G26" s="109"/>
      <c r="H26" s="44"/>
      <c r="I26" s="44"/>
      <c r="J26" s="44"/>
    </row>
    <row r="27" spans="1:10" ht="18" customHeight="1" x14ac:dyDescent="0.25">
      <c r="A27" s="39">
        <v>19</v>
      </c>
      <c r="B27" s="67">
        <f>VLOOKUP(C27,'DATA SISWA KLS 7'!$A$2:$C$113,2,FALSE)</f>
        <v>5498</v>
      </c>
      <c r="C27" s="69" t="s">
        <v>121</v>
      </c>
      <c r="D27" s="77" t="str">
        <f>VLOOKUP(C27,'DATA SISWA KLS 7'!$A$2:$D$159,3,FALSE)</f>
        <v>L</v>
      </c>
      <c r="E27" s="43"/>
      <c r="F27" s="44"/>
      <c r="G27" s="109"/>
      <c r="H27" s="44"/>
      <c r="I27" s="44"/>
      <c r="J27" s="44"/>
    </row>
    <row r="28" spans="1:10" ht="18" customHeight="1" x14ac:dyDescent="0.25">
      <c r="A28" s="39">
        <v>20</v>
      </c>
      <c r="B28" s="67">
        <f>VLOOKUP(C28,'DATA SISWA KLS 7'!$A$2:$C$113,2,FALSE)</f>
        <v>5507</v>
      </c>
      <c r="C28" s="69" t="s">
        <v>135</v>
      </c>
      <c r="D28" s="77" t="str">
        <f>VLOOKUP(C28,'DATA SISWA KLS 7'!$A$2:$D$159,3,FALSE)</f>
        <v>P</v>
      </c>
      <c r="E28" s="43"/>
      <c r="F28" s="44"/>
      <c r="G28" s="109"/>
      <c r="H28" s="44"/>
      <c r="I28" s="44"/>
      <c r="J28" s="44"/>
    </row>
    <row r="29" spans="1:10" ht="18" customHeight="1" x14ac:dyDescent="0.25">
      <c r="A29" s="39">
        <v>21</v>
      </c>
      <c r="B29" s="67">
        <f>VLOOKUP(C29,'DATA SISWA KLS 7'!$A$2:$C$113,2,FALSE)</f>
        <v>5510</v>
      </c>
      <c r="C29" s="69" t="s">
        <v>139</v>
      </c>
      <c r="D29" s="77" t="str">
        <f>VLOOKUP(C29,'DATA SISWA KLS 7'!$A$2:$D$159,3,FALSE)</f>
        <v>P</v>
      </c>
      <c r="E29" s="43"/>
      <c r="F29" s="44"/>
      <c r="G29" s="109"/>
      <c r="H29" s="44"/>
      <c r="I29" s="44"/>
      <c r="J29" s="44"/>
    </row>
    <row r="30" spans="1:10" ht="18" customHeight="1" x14ac:dyDescent="0.25">
      <c r="A30" s="39">
        <v>22</v>
      </c>
      <c r="B30" s="67">
        <f>VLOOKUP(C30,'DATA SISWA KLS 7'!$A$2:$C$113,2,FALSE)</f>
        <v>5516</v>
      </c>
      <c r="C30" s="69" t="s">
        <v>123</v>
      </c>
      <c r="D30" s="77" t="str">
        <f>VLOOKUP(C30,'DATA SISWA KLS 7'!$A$2:$D$159,3,FALSE)</f>
        <v>L</v>
      </c>
      <c r="E30" s="43"/>
      <c r="F30" s="44"/>
      <c r="G30" s="109"/>
      <c r="H30" s="44"/>
      <c r="I30" s="44"/>
      <c r="J30" s="44"/>
    </row>
    <row r="31" spans="1:10" ht="18" customHeight="1" x14ac:dyDescent="0.25">
      <c r="A31" s="39">
        <v>23</v>
      </c>
      <c r="B31" s="67">
        <f>VLOOKUP(C31,'DATA SISWA KLS 7'!$A$2:$C$113,2,FALSE)</f>
        <v>5517</v>
      </c>
      <c r="C31" s="69" t="s">
        <v>118</v>
      </c>
      <c r="D31" s="77" t="str">
        <f>VLOOKUP(C31,'DATA SISWA KLS 7'!$A$2:$D$159,3,FALSE)</f>
        <v>L</v>
      </c>
      <c r="E31" s="43"/>
      <c r="F31" s="44"/>
      <c r="G31" s="109"/>
      <c r="H31" s="44"/>
      <c r="I31" s="44"/>
      <c r="J31" s="44"/>
    </row>
    <row r="32" spans="1:10" ht="18" customHeight="1" x14ac:dyDescent="0.25">
      <c r="A32" s="39">
        <v>24</v>
      </c>
      <c r="B32" s="67">
        <f>VLOOKUP(C32,'DATA SISWA KLS 7'!$A$2:$C$113,2,FALSE)</f>
        <v>5523</v>
      </c>
      <c r="C32" s="69" t="s">
        <v>140</v>
      </c>
      <c r="D32" s="77" t="str">
        <f>VLOOKUP(C32,'DATA SISWA KLS 7'!$A$2:$D$159,3,FALSE)</f>
        <v>P</v>
      </c>
      <c r="E32" s="43"/>
      <c r="F32" s="44"/>
      <c r="G32" s="109"/>
      <c r="H32" s="44"/>
      <c r="I32" s="44"/>
      <c r="J32" s="44"/>
    </row>
    <row r="33" spans="1:10" x14ac:dyDescent="0.25">
      <c r="A33" s="39">
        <v>25</v>
      </c>
      <c r="B33" s="67">
        <f>VLOOKUP(C33,'DATA SISWA KLS 7'!$A$2:$C$113,2,FALSE)</f>
        <v>5527</v>
      </c>
      <c r="C33" s="82" t="s">
        <v>131</v>
      </c>
      <c r="D33" s="77" t="str">
        <f>VLOOKUP(C33,'DATA SISWA KLS 7'!$A$2:$D$159,3,FALSE)</f>
        <v>P</v>
      </c>
      <c r="E33" s="43"/>
      <c r="F33" s="44"/>
      <c r="G33" s="109"/>
      <c r="H33" s="44"/>
      <c r="I33" s="44"/>
      <c r="J33" s="44"/>
    </row>
    <row r="34" spans="1:10" ht="18" customHeight="1" x14ac:dyDescent="0.25">
      <c r="A34" s="39">
        <v>26</v>
      </c>
      <c r="B34" s="67">
        <f>VLOOKUP(C34,'DATA SISWA KLS 7'!$A$2:$C$113,2,FALSE)</f>
        <v>5529</v>
      </c>
      <c r="C34" s="69" t="s">
        <v>141</v>
      </c>
      <c r="D34" s="77" t="str">
        <f>VLOOKUP(C34,'DATA SISWA KLS 7'!$A$2:$D$159,3,FALSE)</f>
        <v>P</v>
      </c>
      <c r="E34" s="43"/>
      <c r="F34" s="44"/>
      <c r="G34" s="109"/>
      <c r="H34" s="44"/>
      <c r="I34" s="44"/>
      <c r="J34" s="44"/>
    </row>
    <row r="35" spans="1:10" ht="18" customHeight="1" x14ac:dyDescent="0.25">
      <c r="A35" s="39">
        <v>27</v>
      </c>
      <c r="B35" s="67">
        <f>VLOOKUP(C35,'DATA SISWA KLS 7'!$A$2:$C$113,2,FALSE)</f>
        <v>5530</v>
      </c>
      <c r="C35" s="69" t="s">
        <v>137</v>
      </c>
      <c r="D35" s="77" t="str">
        <f>VLOOKUP(C35,'DATA SISWA KLS 7'!$A$2:$D$159,3,FALSE)</f>
        <v>P</v>
      </c>
      <c r="E35" s="43"/>
      <c r="F35" s="44"/>
      <c r="G35" s="109"/>
      <c r="H35" s="44"/>
      <c r="I35" s="44"/>
      <c r="J35" s="44"/>
    </row>
    <row r="36" spans="1:10" ht="18" customHeight="1" x14ac:dyDescent="0.25">
      <c r="A36" s="39">
        <v>28</v>
      </c>
      <c r="B36" s="67">
        <f>VLOOKUP(C36,'DATA SISWA KLS 7'!$A$2:$C$113,2,FALSE)</f>
        <v>5535</v>
      </c>
      <c r="C36" s="69" t="s">
        <v>130</v>
      </c>
      <c r="D36" s="77" t="str">
        <f>VLOOKUP(C36,'DATA SISWA KLS 7'!$A$2:$D$159,3,FALSE)</f>
        <v>P</v>
      </c>
      <c r="E36" s="43"/>
      <c r="F36" s="44"/>
      <c r="G36" s="109"/>
      <c r="H36" s="44"/>
      <c r="I36" s="44"/>
      <c r="J36" s="44"/>
    </row>
    <row r="37" spans="1:10" ht="24.75" x14ac:dyDescent="0.25">
      <c r="A37" s="39">
        <v>29</v>
      </c>
      <c r="B37" s="67">
        <f>VLOOKUP(C37,'DATA SISWA KLS 7'!$A$2:$C$113,2,FALSE)</f>
        <v>5536</v>
      </c>
      <c r="C37" s="82" t="s">
        <v>128</v>
      </c>
      <c r="D37" s="77" t="str">
        <f>VLOOKUP(C37,'DATA SISWA KLS 7'!$A$2:$D$159,3,FALSE)</f>
        <v>P</v>
      </c>
      <c r="E37" s="43"/>
      <c r="F37" s="44"/>
      <c r="G37" s="109"/>
      <c r="H37" s="44"/>
      <c r="I37" s="44"/>
      <c r="J37" s="44"/>
    </row>
    <row r="38" spans="1:10" ht="18" customHeight="1" x14ac:dyDescent="0.25">
      <c r="A38" s="39">
        <v>30</v>
      </c>
      <c r="B38" s="67">
        <f>VLOOKUP(C38,'DATA SISWA KLS 7'!$A$2:$C$113,2,FALSE)</f>
        <v>5537</v>
      </c>
      <c r="C38" s="69" t="s">
        <v>122</v>
      </c>
      <c r="D38" s="77" t="str">
        <f>VLOOKUP(C38,'DATA SISWA KLS 7'!$A$2:$D$159,3,FALSE)</f>
        <v>L</v>
      </c>
      <c r="E38" s="43"/>
      <c r="F38" s="44"/>
      <c r="G38" s="109"/>
      <c r="H38" s="44"/>
      <c r="I38" s="44"/>
      <c r="J38" s="44"/>
    </row>
    <row r="39" spans="1:10" ht="18" customHeight="1" x14ac:dyDescent="0.25">
      <c r="A39" s="39">
        <v>31</v>
      </c>
      <c r="B39" s="67">
        <f>VLOOKUP(C39,'DATA SISWA KLS 7'!$A$2:$C$113,2,FALSE)</f>
        <v>5538</v>
      </c>
      <c r="C39" s="69" t="s">
        <v>108</v>
      </c>
      <c r="D39" s="77" t="str">
        <f>VLOOKUP(C39,'DATA SISWA KLS 7'!$A$2:$D$159,3,FALSE)</f>
        <v>L</v>
      </c>
      <c r="E39" s="43"/>
      <c r="F39" s="44"/>
      <c r="G39" s="109"/>
      <c r="H39" s="44"/>
      <c r="I39" s="44"/>
      <c r="J39" s="44"/>
    </row>
    <row r="40" spans="1:10" ht="18" customHeight="1" x14ac:dyDescent="0.25">
      <c r="A40" s="39">
        <v>32</v>
      </c>
      <c r="B40" s="67">
        <f>VLOOKUP(C40,'DATA SISWA KLS 7'!$A$2:$C$113,2,FALSE)</f>
        <v>5539</v>
      </c>
      <c r="C40" s="69" t="s">
        <v>210</v>
      </c>
      <c r="D40" s="77" t="str">
        <f>VLOOKUP(C40,'DATA SISWA KLS 7'!$A$2:$D$159,3,FALSE)</f>
        <v>P</v>
      </c>
      <c r="E40" s="43"/>
      <c r="F40" s="44"/>
      <c r="G40" s="109"/>
      <c r="H40" s="44"/>
      <c r="I40" s="44"/>
      <c r="J40" s="44"/>
    </row>
    <row r="41" spans="1:10" ht="18" customHeight="1" x14ac:dyDescent="0.25">
      <c r="A41" s="39">
        <v>33</v>
      </c>
      <c r="B41" s="67">
        <f>VLOOKUP(C41,'DATA SISWA KLS 7'!$A$2:$C$113,2,FALSE)</f>
        <v>5540</v>
      </c>
      <c r="C41" s="69" t="s">
        <v>110</v>
      </c>
      <c r="D41" s="77" t="str">
        <f>VLOOKUP(C41,'DATA SISWA KLS 7'!$A$2:$D$159,3,FALSE)</f>
        <v>L</v>
      </c>
      <c r="E41" s="43"/>
      <c r="F41" s="44"/>
      <c r="G41" s="109"/>
      <c r="H41" s="44"/>
      <c r="I41" s="44"/>
      <c r="J41" s="44"/>
    </row>
    <row r="42" spans="1:10" ht="18" customHeight="1" x14ac:dyDescent="0.25">
      <c r="A42" s="39">
        <v>34</v>
      </c>
      <c r="B42" s="67">
        <f>VLOOKUP(C42,'DATA SISWA KLS 7'!$A$2:$C$113,2,FALSE)</f>
        <v>5542</v>
      </c>
      <c r="C42" s="69" t="s">
        <v>111</v>
      </c>
      <c r="D42" s="77" t="str">
        <f>VLOOKUP(C42,'DATA SISWA KLS 7'!$A$2:$D$159,3,FALSE)</f>
        <v>L</v>
      </c>
      <c r="E42" s="43"/>
      <c r="F42" s="44"/>
      <c r="G42" s="109"/>
      <c r="H42" s="44"/>
      <c r="I42" s="44"/>
      <c r="J42" s="44"/>
    </row>
    <row r="43" spans="1:10" ht="18" customHeight="1" x14ac:dyDescent="0.25">
      <c r="A43" s="39">
        <v>35</v>
      </c>
      <c r="B43" s="67">
        <f>VLOOKUP(C43,'DATA SISWA KLS 7'!$A$2:$C$113,2,FALSE)</f>
        <v>5543</v>
      </c>
      <c r="C43" s="69" t="s">
        <v>116</v>
      </c>
      <c r="D43" s="77" t="str">
        <f>VLOOKUP(C43,'DATA SISWA KLS 7'!$A$2:$D$159,3,FALSE)</f>
        <v>L</v>
      </c>
      <c r="E43" s="43"/>
      <c r="F43" s="44"/>
      <c r="G43" s="109"/>
      <c r="H43" s="44"/>
      <c r="I43" s="44"/>
      <c r="J43" s="44"/>
    </row>
    <row r="44" spans="1:10" ht="18" customHeight="1" x14ac:dyDescent="0.25">
      <c r="A44" s="39">
        <v>36</v>
      </c>
      <c r="B44" s="67">
        <f>VLOOKUP(C44,'DATA SISWA KLS 7'!$A$2:$C$113,2,FALSE)</f>
        <v>5547</v>
      </c>
      <c r="C44" s="69" t="s">
        <v>125</v>
      </c>
      <c r="D44" s="77" t="str">
        <f>VLOOKUP(C44,'DATA SISWA KLS 7'!$A$2:$D$159,3,FALSE)</f>
        <v>P</v>
      </c>
      <c r="E44" s="43"/>
      <c r="F44" s="44"/>
      <c r="G44" s="109"/>
      <c r="H44" s="44"/>
      <c r="I44" s="44"/>
      <c r="J44" s="44"/>
    </row>
    <row r="45" spans="1:10" ht="18" customHeight="1" x14ac:dyDescent="0.25">
      <c r="A45" s="39">
        <v>37</v>
      </c>
      <c r="B45" s="67"/>
      <c r="C45" s="78"/>
      <c r="D45" s="43"/>
      <c r="E45" s="43"/>
      <c r="F45" s="44"/>
      <c r="G45" s="109"/>
      <c r="H45" s="44"/>
      <c r="I45" s="44"/>
      <c r="J45" s="44"/>
    </row>
    <row r="46" spans="1:10" ht="18" customHeight="1" x14ac:dyDescent="0.25">
      <c r="A46" s="39">
        <v>38</v>
      </c>
      <c r="B46" s="67"/>
      <c r="C46" s="44"/>
      <c r="D46" s="43"/>
      <c r="E46" s="43"/>
      <c r="F46" s="44"/>
      <c r="G46" s="109"/>
      <c r="H46" s="44"/>
      <c r="I46" s="44"/>
      <c r="J46" s="44"/>
    </row>
    <row r="47" spans="1:10" ht="14.25" customHeight="1" x14ac:dyDescent="0.25">
      <c r="A47" s="50"/>
      <c r="B47" s="51"/>
      <c r="C47" s="10"/>
      <c r="D47" s="52"/>
      <c r="E47" s="52"/>
      <c r="F47" s="53"/>
      <c r="G47" s="53"/>
      <c r="H47" s="53"/>
      <c r="I47" s="53"/>
      <c r="J47" s="53"/>
    </row>
    <row r="48" spans="1:10" x14ac:dyDescent="0.25">
      <c r="A48" s="83" t="s">
        <v>6</v>
      </c>
      <c r="B48" s="83"/>
      <c r="C48" s="54">
        <f>COUNTIF(D9:D46,"L")</f>
        <v>18</v>
      </c>
      <c r="D48" s="55"/>
      <c r="F48" s="55"/>
      <c r="G48" s="55"/>
      <c r="H48" s="55"/>
      <c r="I48" s="55"/>
      <c r="J48" s="110"/>
    </row>
    <row r="49" spans="1:10" x14ac:dyDescent="0.25">
      <c r="A49" s="83" t="s">
        <v>7</v>
      </c>
      <c r="B49" s="83"/>
      <c r="C49" s="57">
        <f>COUNTIF(D9:D46,"P")</f>
        <v>18</v>
      </c>
      <c r="D49" s="55"/>
      <c r="F49" s="55"/>
      <c r="G49" s="55"/>
      <c r="H49" s="55"/>
      <c r="I49" s="55"/>
      <c r="J49" s="110"/>
    </row>
    <row r="50" spans="1:10" x14ac:dyDescent="0.25">
      <c r="A50" s="83" t="s">
        <v>8</v>
      </c>
      <c r="B50" s="83"/>
      <c r="C50" s="54">
        <f>SUM(C48:C49)</f>
        <v>36</v>
      </c>
      <c r="D50" s="55"/>
      <c r="F50" s="84"/>
      <c r="G50" s="84"/>
      <c r="H50" s="84"/>
      <c r="I50" s="84"/>
      <c r="J50" s="111"/>
    </row>
    <row r="51" spans="1:10" x14ac:dyDescent="0.25">
      <c r="A51" s="83" t="s">
        <v>9</v>
      </c>
      <c r="B51" s="83"/>
      <c r="C51" s="55" t="str">
        <f>guuru!B10</f>
        <v>Jihan Fadyllah, S.Pd</v>
      </c>
      <c r="D51" s="55"/>
      <c r="F51" s="84"/>
      <c r="G51" s="84"/>
      <c r="H51" s="84"/>
      <c r="I51" s="84"/>
      <c r="J51" s="111"/>
    </row>
    <row r="52" spans="1:10" x14ac:dyDescent="0.25">
      <c r="A52" s="55"/>
      <c r="B52" s="55"/>
      <c r="C52" s="55"/>
      <c r="D52" s="55"/>
      <c r="F52" s="55"/>
      <c r="J52" s="112"/>
    </row>
    <row r="53" spans="1:10" x14ac:dyDescent="0.25">
      <c r="A53" s="55"/>
      <c r="B53" s="55"/>
      <c r="C53" s="55"/>
      <c r="D53" s="55"/>
      <c r="F53" s="55"/>
      <c r="G53" s="55"/>
      <c r="H53" s="55"/>
      <c r="I53" s="55"/>
      <c r="J53" s="55"/>
    </row>
  </sheetData>
  <mergeCells count="20">
    <mergeCell ref="A50:B50"/>
    <mergeCell ref="F50:I51"/>
    <mergeCell ref="J50:J51"/>
    <mergeCell ref="A51:B51"/>
    <mergeCell ref="A48:B48"/>
    <mergeCell ref="A49:B49"/>
    <mergeCell ref="G7:G8"/>
    <mergeCell ref="H7:H8"/>
    <mergeCell ref="I7:I8"/>
    <mergeCell ref="J7:J8"/>
    <mergeCell ref="A1:J1"/>
    <mergeCell ref="A2:J2"/>
    <mergeCell ref="A3:J3"/>
    <mergeCell ref="A5:J5"/>
    <mergeCell ref="A6:J6"/>
    <mergeCell ref="A7:B7"/>
    <mergeCell ref="C7:C8"/>
    <mergeCell ref="D7:D8"/>
    <mergeCell ref="E7:E8"/>
    <mergeCell ref="F7:F8"/>
  </mergeCells>
  <printOptions horizontalCentered="1"/>
  <pageMargins left="0.35433070866141736" right="0.31496062992125984" top="0.15748031496062992" bottom="0.15748031496062992" header="0.31496062992125984" footer="0.31496062992125984"/>
  <pageSetup paperSize="5" scale="94" orientation="portrait" horizontalDpi="4294967292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3"/>
  <sheetViews>
    <sheetView zoomScaleNormal="100" workbookViewId="0">
      <selection activeCell="U34" sqref="U34"/>
    </sheetView>
  </sheetViews>
  <sheetFormatPr defaultColWidth="8.85546875" defaultRowHeight="15" x14ac:dyDescent="0.25"/>
  <cols>
    <col min="1" max="1" width="4" style="38" customWidth="1"/>
    <col min="2" max="2" width="8.42578125" style="38" customWidth="1"/>
    <col min="3" max="3" width="31.42578125" style="38" customWidth="1"/>
    <col min="4" max="4" width="3.42578125" style="38" customWidth="1"/>
    <col min="5" max="5" width="9.42578125" style="64" customWidth="1"/>
    <col min="6" max="16" width="4.42578125" style="38" customWidth="1"/>
    <col min="17" max="16384" width="8.85546875" style="38"/>
  </cols>
  <sheetData>
    <row r="1" spans="1:16" ht="21" customHeight="1" x14ac:dyDescent="0.25">
      <c r="A1" s="90" t="s">
        <v>53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21" customHeight="1" x14ac:dyDescent="0.25">
      <c r="A2" s="90" t="s">
        <v>52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 spans="1:16" ht="22.5" customHeight="1" x14ac:dyDescent="0.25">
      <c r="A3" s="90" t="s">
        <v>215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</row>
    <row r="4" spans="1:16" ht="9.75" customHeight="1" x14ac:dyDescent="0.25">
      <c r="A4" s="46"/>
      <c r="B4" s="46"/>
      <c r="C4" s="46"/>
      <c r="D4" s="46"/>
      <c r="E4" s="6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</row>
    <row r="5" spans="1:16" ht="21" customHeight="1" x14ac:dyDescent="0.25">
      <c r="A5" s="91" t="s">
        <v>91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16" ht="4.5" customHeight="1" x14ac:dyDescent="0.25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</row>
    <row r="7" spans="1:16" ht="27" customHeight="1" x14ac:dyDescent="0.25">
      <c r="A7" s="88" t="s">
        <v>0</v>
      </c>
      <c r="B7" s="88"/>
      <c r="C7" s="88" t="s">
        <v>15</v>
      </c>
      <c r="D7" s="88" t="s">
        <v>3</v>
      </c>
      <c r="E7" s="88" t="s">
        <v>102</v>
      </c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</row>
    <row r="8" spans="1:16" ht="27" customHeight="1" x14ac:dyDescent="0.25">
      <c r="A8" s="47" t="s">
        <v>1</v>
      </c>
      <c r="B8" s="43" t="s">
        <v>2</v>
      </c>
      <c r="C8" s="89"/>
      <c r="D8" s="88"/>
      <c r="E8" s="88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</row>
    <row r="9" spans="1:16" ht="18" customHeight="1" x14ac:dyDescent="0.25">
      <c r="A9" s="39">
        <v>1</v>
      </c>
      <c r="B9" s="67">
        <f>VLOOKUP(C9,'DATA SISWA KLS 7'!$A$2:$C$113,2,FALSE)</f>
        <v>5453</v>
      </c>
      <c r="C9" s="69" t="s">
        <v>134</v>
      </c>
      <c r="D9" s="77" t="str">
        <f>VLOOKUP(C9,'DATA SISWA KLS 7'!$A$2:$D$159,3,FALSE)</f>
        <v>P</v>
      </c>
      <c r="E9" s="43" t="str">
        <f>VLOOKUP(C9,'DATA SISWA KLS 7'!$A$2:$D$113,4,FALSE)</f>
        <v>ISLAM</v>
      </c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spans="1:16" ht="18" customHeight="1" x14ac:dyDescent="0.25">
      <c r="A10" s="39">
        <v>2</v>
      </c>
      <c r="B10" s="67">
        <f>VLOOKUP(C10,'DATA SISWA KLS 7'!$A$2:$C$113,2,FALSE)</f>
        <v>5454</v>
      </c>
      <c r="C10" s="69" t="s">
        <v>114</v>
      </c>
      <c r="D10" s="77" t="str">
        <f>VLOOKUP(C10,'DATA SISWA KLS 7'!$A$2:$D$159,3,FALSE)</f>
        <v>L</v>
      </c>
      <c r="E10" s="43" t="str">
        <f>VLOOKUP(C10,'DATA SISWA KLS 7'!$A$2:$D$113,4,FALSE)</f>
        <v>ISLAM</v>
      </c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spans="1:16" ht="18" customHeight="1" x14ac:dyDescent="0.25">
      <c r="A11" s="39">
        <v>3</v>
      </c>
      <c r="B11" s="67">
        <f>VLOOKUP(C11,'DATA SISWA KLS 7'!$A$2:$C$113,2,FALSE)</f>
        <v>5456</v>
      </c>
      <c r="C11" s="69" t="s">
        <v>107</v>
      </c>
      <c r="D11" s="77" t="str">
        <f>VLOOKUP(C11,'DATA SISWA KLS 7'!$A$2:$D$159,3,FALSE)</f>
        <v>L</v>
      </c>
      <c r="E11" s="43" t="str">
        <f>VLOOKUP(C11,'DATA SISWA KLS 7'!$A$2:$D$113,4,FALSE)</f>
        <v>ISLAM</v>
      </c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spans="1:16" ht="18" customHeight="1" x14ac:dyDescent="0.25">
      <c r="A12" s="39">
        <v>4</v>
      </c>
      <c r="B12" s="67">
        <f>VLOOKUP(C12,'DATA SISWA KLS 7'!$A$2:$C$113,2,FALSE)</f>
        <v>5457</v>
      </c>
      <c r="C12" s="69" t="s">
        <v>132</v>
      </c>
      <c r="D12" s="77" t="str">
        <f>VLOOKUP(C12,'DATA SISWA KLS 7'!$A$2:$D$159,3,FALSE)</f>
        <v>P</v>
      </c>
      <c r="E12" s="43" t="str">
        <f>VLOOKUP(C12,'DATA SISWA KLS 7'!$A$2:$D$113,4,FALSE)</f>
        <v>ISLAM</v>
      </c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1:16" ht="18" customHeight="1" x14ac:dyDescent="0.25">
      <c r="A13" s="39">
        <v>5</v>
      </c>
      <c r="B13" s="67">
        <f>VLOOKUP(C13,'DATA SISWA KLS 7'!$A$2:$C$113,2,FALSE)</f>
        <v>5458</v>
      </c>
      <c r="C13" s="69" t="s">
        <v>127</v>
      </c>
      <c r="D13" s="77" t="str">
        <f>VLOOKUP(C13,'DATA SISWA KLS 7'!$A$2:$D$159,3,FALSE)</f>
        <v>P</v>
      </c>
      <c r="E13" s="43" t="str">
        <f>VLOOKUP(C13,'DATA SISWA KLS 7'!$A$2:$D$113,4,FALSE)</f>
        <v>ISLAM</v>
      </c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spans="1:16" ht="18" customHeight="1" x14ac:dyDescent="0.25">
      <c r="A14" s="39">
        <v>6</v>
      </c>
      <c r="B14" s="67">
        <f>VLOOKUP(C14,'DATA SISWA KLS 7'!$A$2:$C$113,2,FALSE)</f>
        <v>5461</v>
      </c>
      <c r="C14" s="69" t="s">
        <v>115</v>
      </c>
      <c r="D14" s="77" t="str">
        <f>VLOOKUP(C14,'DATA SISWA KLS 7'!$A$2:$D$159,3,FALSE)</f>
        <v>L</v>
      </c>
      <c r="E14" s="43" t="str">
        <f>VLOOKUP(C14,'DATA SISWA KLS 7'!$A$2:$D$113,4,FALSE)</f>
        <v>ISLAM</v>
      </c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spans="1:16" ht="18" customHeight="1" x14ac:dyDescent="0.25">
      <c r="A15" s="39">
        <v>7</v>
      </c>
      <c r="B15" s="67">
        <f>VLOOKUP(C15,'DATA SISWA KLS 7'!$A$2:$C$113,2,FALSE)</f>
        <v>5465</v>
      </c>
      <c r="C15" s="69" t="s">
        <v>136</v>
      </c>
      <c r="D15" s="77" t="str">
        <f>VLOOKUP(C15,'DATA SISWA KLS 7'!$A$2:$D$159,3,FALSE)</f>
        <v>P</v>
      </c>
      <c r="E15" s="43" t="str">
        <f>VLOOKUP(C15,'DATA SISWA KLS 7'!$A$2:$D$113,4,FALSE)</f>
        <v>ISLAM</v>
      </c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spans="1:16" ht="18" customHeight="1" x14ac:dyDescent="0.25">
      <c r="A16" s="39">
        <v>8</v>
      </c>
      <c r="B16" s="67">
        <f>VLOOKUP(C16,'DATA SISWA KLS 7'!$A$2:$C$113,2,FALSE)</f>
        <v>5466</v>
      </c>
      <c r="C16" s="69" t="s">
        <v>126</v>
      </c>
      <c r="D16" s="77" t="str">
        <f>VLOOKUP(C16,'DATA SISWA KLS 7'!$A$2:$D$159,3,FALSE)</f>
        <v>P</v>
      </c>
      <c r="E16" s="43" t="str">
        <f>VLOOKUP(C16,'DATA SISWA KLS 7'!$A$2:$D$113,4,FALSE)</f>
        <v>ISLAM</v>
      </c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spans="1:16" ht="18" customHeight="1" x14ac:dyDescent="0.25">
      <c r="A17" s="39">
        <v>9</v>
      </c>
      <c r="B17" s="67">
        <f>VLOOKUP(C17,'DATA SISWA KLS 7'!$A$2:$C$113,2,FALSE)</f>
        <v>5468</v>
      </c>
      <c r="C17" s="69" t="s">
        <v>119</v>
      </c>
      <c r="D17" s="77" t="str">
        <f>VLOOKUP(C17,'DATA SISWA KLS 7'!$A$2:$D$159,3,FALSE)</f>
        <v>L</v>
      </c>
      <c r="E17" s="43" t="str">
        <f>VLOOKUP(C17,'DATA SISWA KLS 7'!$A$2:$D$113,4,FALSE)</f>
        <v>ISLAM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spans="1:16" ht="18" customHeight="1" x14ac:dyDescent="0.25">
      <c r="A18" s="39">
        <v>10</v>
      </c>
      <c r="B18" s="67">
        <f>VLOOKUP(C18,'DATA SISWA KLS 7'!$A$2:$C$113,2,FALSE)</f>
        <v>5471</v>
      </c>
      <c r="C18" s="69" t="s">
        <v>106</v>
      </c>
      <c r="D18" s="77" t="str">
        <f>VLOOKUP(C18,'DATA SISWA KLS 7'!$A$2:$D$159,3,FALSE)</f>
        <v>L</v>
      </c>
      <c r="E18" s="43" t="str">
        <f>VLOOKUP(C18,'DATA SISWA KLS 7'!$A$2:$D$113,4,FALSE)</f>
        <v>ISLAM</v>
      </c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1:16" ht="18" customHeight="1" x14ac:dyDescent="0.25">
      <c r="A19" s="39">
        <v>11</v>
      </c>
      <c r="B19" s="67">
        <f>VLOOKUP(C19,'DATA SISWA KLS 7'!$A$2:$C$113,2,FALSE)</f>
        <v>5475</v>
      </c>
      <c r="C19" s="69" t="s">
        <v>109</v>
      </c>
      <c r="D19" s="77" t="str">
        <f>VLOOKUP(C19,'DATA SISWA KLS 7'!$A$2:$D$159,3,FALSE)</f>
        <v>L</v>
      </c>
      <c r="E19" s="43" t="str">
        <f>VLOOKUP(C19,'DATA SISWA KLS 7'!$A$2:$D$113,4,FALSE)</f>
        <v>ISLAM</v>
      </c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spans="1:16" ht="18" customHeight="1" x14ac:dyDescent="0.25">
      <c r="A20" s="39">
        <v>12</v>
      </c>
      <c r="B20" s="67">
        <f>VLOOKUP(C20,'DATA SISWA KLS 7'!$A$2:$C$113,2,FALSE)</f>
        <v>5477</v>
      </c>
      <c r="C20" s="69" t="s">
        <v>120</v>
      </c>
      <c r="D20" s="77" t="str">
        <f>VLOOKUP(C20,'DATA SISWA KLS 7'!$A$2:$D$159,3,FALSE)</f>
        <v>L</v>
      </c>
      <c r="E20" s="43" t="str">
        <f>VLOOKUP(C20,'DATA SISWA KLS 7'!$A$2:$D$113,4,FALSE)</f>
        <v>ISLAM</v>
      </c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spans="1:16" ht="18" customHeight="1" x14ac:dyDescent="0.25">
      <c r="A21" s="39">
        <v>13</v>
      </c>
      <c r="B21" s="67">
        <f>VLOOKUP(C21,'DATA SISWA KLS 7'!$A$2:$C$113,2,FALSE)</f>
        <v>5479</v>
      </c>
      <c r="C21" s="69" t="s">
        <v>133</v>
      </c>
      <c r="D21" s="77" t="str">
        <f>VLOOKUP(C21,'DATA SISWA KLS 7'!$A$2:$D$159,3,FALSE)</f>
        <v>P</v>
      </c>
      <c r="E21" s="43" t="str">
        <f>VLOOKUP(C21,'DATA SISWA KLS 7'!$A$2:$D$113,4,FALSE)</f>
        <v>ISLAM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spans="1:16" ht="18" customHeight="1" x14ac:dyDescent="0.25">
      <c r="A22" s="39">
        <v>14</v>
      </c>
      <c r="B22" s="67">
        <f>VLOOKUP(C22,'DATA SISWA KLS 7'!$A$2:$C$113,2,FALSE)</f>
        <v>5481</v>
      </c>
      <c r="C22" s="69" t="s">
        <v>124</v>
      </c>
      <c r="D22" s="77" t="str">
        <f>VLOOKUP(C22,'DATA SISWA KLS 7'!$A$2:$D$159,3,FALSE)</f>
        <v>P</v>
      </c>
      <c r="E22" s="43" t="str">
        <f>VLOOKUP(C22,'DATA SISWA KLS 7'!$A$2:$D$113,4,FALSE)</f>
        <v>ISLAM</v>
      </c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spans="1:16" ht="18" customHeight="1" x14ac:dyDescent="0.25">
      <c r="A23" s="39">
        <v>15</v>
      </c>
      <c r="B23" s="67">
        <f>VLOOKUP(C23,'DATA SISWA KLS 7'!$A$2:$C$113,2,FALSE)</f>
        <v>5485</v>
      </c>
      <c r="C23" s="69" t="s">
        <v>112</v>
      </c>
      <c r="D23" s="77" t="str">
        <f>VLOOKUP(C23,'DATA SISWA KLS 7'!$A$2:$D$159,3,FALSE)</f>
        <v>L</v>
      </c>
      <c r="E23" s="43" t="str">
        <f>VLOOKUP(C23,'DATA SISWA KLS 7'!$A$2:$D$113,4,FALSE)</f>
        <v>ISLAM</v>
      </c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spans="1:16" ht="18" customHeight="1" x14ac:dyDescent="0.25">
      <c r="A24" s="39">
        <v>16</v>
      </c>
      <c r="B24" s="67">
        <f>VLOOKUP(C24,'DATA SISWA KLS 7'!$A$2:$C$113,2,FALSE)</f>
        <v>5488</v>
      </c>
      <c r="C24" s="69" t="s">
        <v>117</v>
      </c>
      <c r="D24" s="77" t="str">
        <f>VLOOKUP(C24,'DATA SISWA KLS 7'!$A$2:$D$159,3,FALSE)</f>
        <v>L</v>
      </c>
      <c r="E24" s="43" t="str">
        <f>VLOOKUP(C24,'DATA SISWA KLS 7'!$A$2:$D$113,4,FALSE)</f>
        <v>ISLAM</v>
      </c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spans="1:16" ht="18" customHeight="1" x14ac:dyDescent="0.25">
      <c r="A25" s="39">
        <v>17</v>
      </c>
      <c r="B25" s="67">
        <f>VLOOKUP(C25,'DATA SISWA KLS 7'!$A$2:$C$113,2,FALSE)</f>
        <v>5490</v>
      </c>
      <c r="C25" s="69" t="s">
        <v>113</v>
      </c>
      <c r="D25" s="77" t="str">
        <f>VLOOKUP(C25,'DATA SISWA KLS 7'!$A$2:$D$159,3,FALSE)</f>
        <v>L</v>
      </c>
      <c r="E25" s="43" t="str">
        <f>VLOOKUP(C25,'DATA SISWA KLS 7'!$A$2:$D$113,4,FALSE)</f>
        <v>ISLAM</v>
      </c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spans="1:16" ht="18" customHeight="1" x14ac:dyDescent="0.25">
      <c r="A26" s="39">
        <v>18</v>
      </c>
      <c r="B26" s="67">
        <f>VLOOKUP(C26,'DATA SISWA KLS 7'!$A$2:$C$113,2,FALSE)</f>
        <v>5495</v>
      </c>
      <c r="C26" s="69" t="s">
        <v>162</v>
      </c>
      <c r="D26" s="77" t="str">
        <f>VLOOKUP(C26,'DATA SISWA KLS 7'!$A$2:$D$159,3,FALSE)</f>
        <v>P</v>
      </c>
      <c r="E26" s="43" t="str">
        <f>VLOOKUP(C26,'DATA SISWA KLS 7'!$A$2:$D$113,4,FALSE)</f>
        <v>ISLAM</v>
      </c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spans="1:16" ht="18" customHeight="1" x14ac:dyDescent="0.25">
      <c r="A27" s="39">
        <v>19</v>
      </c>
      <c r="B27" s="67">
        <f>VLOOKUP(C27,'DATA SISWA KLS 7'!$A$2:$C$113,2,FALSE)</f>
        <v>5498</v>
      </c>
      <c r="C27" s="69" t="s">
        <v>121</v>
      </c>
      <c r="D27" s="77" t="str">
        <f>VLOOKUP(C27,'DATA SISWA KLS 7'!$A$2:$D$159,3,FALSE)</f>
        <v>L</v>
      </c>
      <c r="E27" s="43" t="str">
        <f>VLOOKUP(C27,'DATA SISWA KLS 7'!$A$2:$D$113,4,FALSE)</f>
        <v>HINDU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spans="1:16" ht="18" customHeight="1" x14ac:dyDescent="0.25">
      <c r="A28" s="39">
        <v>20</v>
      </c>
      <c r="B28" s="67">
        <f>VLOOKUP(C28,'DATA SISWA KLS 7'!$A$2:$C$113,2,FALSE)</f>
        <v>5507</v>
      </c>
      <c r="C28" s="69" t="s">
        <v>135</v>
      </c>
      <c r="D28" s="77" t="str">
        <f>VLOOKUP(C28,'DATA SISWA KLS 7'!$A$2:$D$159,3,FALSE)</f>
        <v>P</v>
      </c>
      <c r="E28" s="43" t="str">
        <f>VLOOKUP(C28,'DATA SISWA KLS 7'!$A$2:$D$113,4,FALSE)</f>
        <v>ISLAM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</row>
    <row r="29" spans="1:16" ht="18" customHeight="1" x14ac:dyDescent="0.25">
      <c r="A29" s="39">
        <v>21</v>
      </c>
      <c r="B29" s="67">
        <f>VLOOKUP(C29,'DATA SISWA KLS 7'!$A$2:$C$113,2,FALSE)</f>
        <v>5510</v>
      </c>
      <c r="C29" s="69" t="s">
        <v>139</v>
      </c>
      <c r="D29" s="77" t="str">
        <f>VLOOKUP(C29,'DATA SISWA KLS 7'!$A$2:$D$159,3,FALSE)</f>
        <v>P</v>
      </c>
      <c r="E29" s="43" t="str">
        <f>VLOOKUP(C29,'DATA SISWA KLS 7'!$A$2:$D$113,4,FALSE)</f>
        <v>ISLAM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</row>
    <row r="30" spans="1:16" ht="18" customHeight="1" x14ac:dyDescent="0.25">
      <c r="A30" s="39">
        <v>22</v>
      </c>
      <c r="B30" s="67">
        <f>VLOOKUP(C30,'DATA SISWA KLS 7'!$A$2:$C$113,2,FALSE)</f>
        <v>5516</v>
      </c>
      <c r="C30" s="69" t="s">
        <v>123</v>
      </c>
      <c r="D30" s="77" t="str">
        <f>VLOOKUP(C30,'DATA SISWA KLS 7'!$A$2:$D$159,3,FALSE)</f>
        <v>L</v>
      </c>
      <c r="E30" s="43" t="str">
        <f>VLOOKUP(C30,'DATA SISWA KLS 7'!$A$2:$D$113,4,FALSE)</f>
        <v>ISLAM</v>
      </c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</row>
    <row r="31" spans="1:16" ht="18" customHeight="1" x14ac:dyDescent="0.25">
      <c r="A31" s="39">
        <v>23</v>
      </c>
      <c r="B31" s="67">
        <f>VLOOKUP(C31,'DATA SISWA KLS 7'!$A$2:$C$113,2,FALSE)</f>
        <v>5517</v>
      </c>
      <c r="C31" s="69" t="s">
        <v>118</v>
      </c>
      <c r="D31" s="77" t="str">
        <f>VLOOKUP(C31,'DATA SISWA KLS 7'!$A$2:$D$159,3,FALSE)</f>
        <v>L</v>
      </c>
      <c r="E31" s="43" t="str">
        <f>VLOOKUP(C31,'DATA SISWA KLS 7'!$A$2:$D$113,4,FALSE)</f>
        <v>ISLAM</v>
      </c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1:16" ht="18" customHeight="1" x14ac:dyDescent="0.25">
      <c r="A32" s="39">
        <v>24</v>
      </c>
      <c r="B32" s="67">
        <f>VLOOKUP(C32,'DATA SISWA KLS 7'!$A$2:$C$113,2,FALSE)</f>
        <v>5523</v>
      </c>
      <c r="C32" s="69" t="s">
        <v>140</v>
      </c>
      <c r="D32" s="77" t="str">
        <f>VLOOKUP(C32,'DATA SISWA KLS 7'!$A$2:$D$159,3,FALSE)</f>
        <v>P</v>
      </c>
      <c r="E32" s="43" t="str">
        <f>VLOOKUP(C32,'DATA SISWA KLS 7'!$A$2:$D$113,4,FALSE)</f>
        <v>ISLAM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</row>
    <row r="33" spans="1:16" x14ac:dyDescent="0.25">
      <c r="A33" s="39">
        <v>25</v>
      </c>
      <c r="B33" s="67">
        <f>VLOOKUP(C33,'DATA SISWA KLS 7'!$A$2:$C$113,2,FALSE)</f>
        <v>5527</v>
      </c>
      <c r="C33" s="82" t="s">
        <v>131</v>
      </c>
      <c r="D33" s="77" t="str">
        <f>VLOOKUP(C33,'DATA SISWA KLS 7'!$A$2:$D$159,3,FALSE)</f>
        <v>P</v>
      </c>
      <c r="E33" s="43" t="str">
        <f>VLOOKUP(C33,'DATA SISWA KLS 7'!$A$2:$D$113,4,FALSE)</f>
        <v>ISLAM</v>
      </c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</row>
    <row r="34" spans="1:16" ht="18" customHeight="1" x14ac:dyDescent="0.25">
      <c r="A34" s="39">
        <v>26</v>
      </c>
      <c r="B34" s="67">
        <f>VLOOKUP(C34,'DATA SISWA KLS 7'!$A$2:$C$113,2,FALSE)</f>
        <v>5529</v>
      </c>
      <c r="C34" s="69" t="s">
        <v>141</v>
      </c>
      <c r="D34" s="77" t="str">
        <f>VLOOKUP(C34,'DATA SISWA KLS 7'!$A$2:$D$159,3,FALSE)</f>
        <v>P</v>
      </c>
      <c r="E34" s="43" t="str">
        <f>VLOOKUP(C34,'DATA SISWA KLS 7'!$A$2:$D$113,4,FALSE)</f>
        <v>ISLAM</v>
      </c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</row>
    <row r="35" spans="1:16" ht="18" customHeight="1" x14ac:dyDescent="0.25">
      <c r="A35" s="39">
        <v>27</v>
      </c>
      <c r="B35" s="67">
        <f>VLOOKUP(C35,'DATA SISWA KLS 7'!$A$2:$C$113,2,FALSE)</f>
        <v>5530</v>
      </c>
      <c r="C35" s="69" t="s">
        <v>137</v>
      </c>
      <c r="D35" s="77" t="str">
        <f>VLOOKUP(C35,'DATA SISWA KLS 7'!$A$2:$D$159,3,FALSE)</f>
        <v>P</v>
      </c>
      <c r="E35" s="43" t="str">
        <f>VLOOKUP(C35,'DATA SISWA KLS 7'!$A$2:$D$113,4,FALSE)</f>
        <v>ISLAM</v>
      </c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</row>
    <row r="36" spans="1:16" ht="18" customHeight="1" x14ac:dyDescent="0.25">
      <c r="A36" s="39">
        <v>28</v>
      </c>
      <c r="B36" s="67">
        <f>VLOOKUP(C36,'DATA SISWA KLS 7'!$A$2:$C$113,2,FALSE)</f>
        <v>5535</v>
      </c>
      <c r="C36" s="69" t="s">
        <v>130</v>
      </c>
      <c r="D36" s="77" t="str">
        <f>VLOOKUP(C36,'DATA SISWA KLS 7'!$A$2:$D$159,3,FALSE)</f>
        <v>P</v>
      </c>
      <c r="E36" s="43" t="str">
        <f>VLOOKUP(C36,'DATA SISWA KLS 7'!$A$2:$D$113,4,FALSE)</f>
        <v>ISLAM</v>
      </c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</row>
    <row r="37" spans="1:16" ht="24.75" x14ac:dyDescent="0.25">
      <c r="A37" s="39">
        <v>29</v>
      </c>
      <c r="B37" s="67">
        <f>VLOOKUP(C37,'DATA SISWA KLS 7'!$A$2:$C$113,2,FALSE)</f>
        <v>5536</v>
      </c>
      <c r="C37" s="82" t="s">
        <v>128</v>
      </c>
      <c r="D37" s="77" t="str">
        <f>VLOOKUP(C37,'DATA SISWA KLS 7'!$A$2:$D$159,3,FALSE)</f>
        <v>P</v>
      </c>
      <c r="E37" s="43" t="str">
        <f>VLOOKUP(C37,'DATA SISWA KLS 7'!$A$2:$D$113,4,FALSE)</f>
        <v>ISLAM</v>
      </c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</row>
    <row r="38" spans="1:16" ht="18" customHeight="1" x14ac:dyDescent="0.25">
      <c r="A38" s="39">
        <v>30</v>
      </c>
      <c r="B38" s="67">
        <f>VLOOKUP(C38,'DATA SISWA KLS 7'!$A$2:$C$113,2,FALSE)</f>
        <v>5537</v>
      </c>
      <c r="C38" s="69" t="s">
        <v>122</v>
      </c>
      <c r="D38" s="77" t="str">
        <f>VLOOKUP(C38,'DATA SISWA KLS 7'!$A$2:$D$159,3,FALSE)</f>
        <v>L</v>
      </c>
      <c r="E38" s="43" t="str">
        <f>VLOOKUP(C38,'DATA SISWA KLS 7'!$A$2:$D$113,4,FALSE)</f>
        <v>ISLAM</v>
      </c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</row>
    <row r="39" spans="1:16" ht="18" customHeight="1" x14ac:dyDescent="0.25">
      <c r="A39" s="39">
        <v>31</v>
      </c>
      <c r="B39" s="67">
        <f>VLOOKUP(C39,'DATA SISWA KLS 7'!$A$2:$C$113,2,FALSE)</f>
        <v>5538</v>
      </c>
      <c r="C39" s="69" t="s">
        <v>108</v>
      </c>
      <c r="D39" s="77" t="str">
        <f>VLOOKUP(C39,'DATA SISWA KLS 7'!$A$2:$D$159,3,FALSE)</f>
        <v>L</v>
      </c>
      <c r="E39" s="43" t="str">
        <f>VLOOKUP(C39,'DATA SISWA KLS 7'!$A$2:$D$113,4,FALSE)</f>
        <v>ISLAM</v>
      </c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</row>
    <row r="40" spans="1:16" ht="18" customHeight="1" x14ac:dyDescent="0.25">
      <c r="A40" s="39">
        <v>32</v>
      </c>
      <c r="B40" s="67">
        <f>VLOOKUP(C40,'DATA SISWA KLS 7'!$A$2:$C$113,2,FALSE)</f>
        <v>5539</v>
      </c>
      <c r="C40" s="69" t="s">
        <v>210</v>
      </c>
      <c r="D40" s="77" t="str">
        <f>VLOOKUP(C40,'DATA SISWA KLS 7'!$A$2:$D$159,3,FALSE)</f>
        <v>P</v>
      </c>
      <c r="E40" s="43" t="str">
        <f>VLOOKUP(C40,'DATA SISWA KLS 7'!$A$2:$D$113,4,FALSE)</f>
        <v>ISLAM</v>
      </c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</row>
    <row r="41" spans="1:16" ht="18" customHeight="1" x14ac:dyDescent="0.25">
      <c r="A41" s="39">
        <v>33</v>
      </c>
      <c r="B41" s="67">
        <f>VLOOKUP(C41,'DATA SISWA KLS 7'!$A$2:$C$113,2,FALSE)</f>
        <v>5540</v>
      </c>
      <c r="C41" s="69" t="s">
        <v>110</v>
      </c>
      <c r="D41" s="77" t="str">
        <f>VLOOKUP(C41,'DATA SISWA KLS 7'!$A$2:$D$159,3,FALSE)</f>
        <v>L</v>
      </c>
      <c r="E41" s="43" t="str">
        <f>VLOOKUP(C41,'DATA SISWA KLS 7'!$A$2:$D$113,4,FALSE)</f>
        <v>ISLAM</v>
      </c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</row>
    <row r="42" spans="1:16" ht="18" customHeight="1" x14ac:dyDescent="0.25">
      <c r="A42" s="39">
        <v>34</v>
      </c>
      <c r="B42" s="67">
        <f>VLOOKUP(C42,'DATA SISWA KLS 7'!$A$2:$C$113,2,FALSE)</f>
        <v>5542</v>
      </c>
      <c r="C42" s="69" t="s">
        <v>111</v>
      </c>
      <c r="D42" s="77" t="str">
        <f>VLOOKUP(C42,'DATA SISWA KLS 7'!$A$2:$D$159,3,FALSE)</f>
        <v>L</v>
      </c>
      <c r="E42" s="43" t="str">
        <f>VLOOKUP(C42,'DATA SISWA KLS 7'!$A$2:$D$113,4,FALSE)</f>
        <v>ISLAM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</row>
    <row r="43" spans="1:16" ht="18" customHeight="1" x14ac:dyDescent="0.25">
      <c r="A43" s="39">
        <v>35</v>
      </c>
      <c r="B43" s="67">
        <f>VLOOKUP(C43,'DATA SISWA KLS 7'!$A$2:$C$113,2,FALSE)</f>
        <v>5543</v>
      </c>
      <c r="C43" s="69" t="s">
        <v>116</v>
      </c>
      <c r="D43" s="77" t="str">
        <f>VLOOKUP(C43,'DATA SISWA KLS 7'!$A$2:$D$159,3,FALSE)</f>
        <v>L</v>
      </c>
      <c r="E43" s="43" t="str">
        <f>VLOOKUP(C43,'DATA SISWA KLS 7'!$A$2:$D$113,4,FALSE)</f>
        <v>ISLAM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</row>
    <row r="44" spans="1:16" ht="18" customHeight="1" x14ac:dyDescent="0.25">
      <c r="A44" s="39">
        <v>36</v>
      </c>
      <c r="B44" s="67">
        <f>VLOOKUP(C44,'DATA SISWA KLS 7'!$A$2:$C$113,2,FALSE)</f>
        <v>5547</v>
      </c>
      <c r="C44" s="69" t="s">
        <v>125</v>
      </c>
      <c r="D44" s="77" t="str">
        <f>VLOOKUP(C44,'DATA SISWA KLS 7'!$A$2:$D$159,3,FALSE)</f>
        <v>P</v>
      </c>
      <c r="E44" s="43" t="str">
        <f>VLOOKUP(C44,'DATA SISWA KLS 7'!$A$2:$D$113,4,FALSE)</f>
        <v>ISLAM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</row>
    <row r="45" spans="1:16" ht="18" customHeight="1" x14ac:dyDescent="0.25">
      <c r="A45" s="39">
        <v>37</v>
      </c>
      <c r="B45" s="67"/>
      <c r="C45" s="78"/>
      <c r="D45" s="43"/>
      <c r="E45" s="43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</row>
    <row r="46" spans="1:16" ht="18" customHeight="1" x14ac:dyDescent="0.25">
      <c r="A46" s="39">
        <v>38</v>
      </c>
      <c r="B46" s="67"/>
      <c r="C46" s="44"/>
      <c r="D46" s="43"/>
      <c r="E46" s="43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</row>
    <row r="47" spans="1:16" ht="14.25" customHeight="1" x14ac:dyDescent="0.25">
      <c r="A47" s="50"/>
      <c r="B47" s="51"/>
      <c r="C47" s="10"/>
      <c r="D47" s="52"/>
      <c r="E47" s="52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</row>
    <row r="48" spans="1:16" x14ac:dyDescent="0.25">
      <c r="A48" s="83" t="s">
        <v>6</v>
      </c>
      <c r="B48" s="83"/>
      <c r="C48" s="54">
        <f>COUNTIF(D9:D46,"L")</f>
        <v>18</v>
      </c>
      <c r="D48" s="55"/>
      <c r="F48" s="55" t="s">
        <v>11</v>
      </c>
      <c r="G48" s="55"/>
      <c r="H48" s="55"/>
      <c r="I48" s="55"/>
      <c r="J48" s="55" t="s">
        <v>10</v>
      </c>
      <c r="K48" s="55"/>
      <c r="L48" s="55"/>
      <c r="M48" s="55"/>
      <c r="N48" s="55"/>
      <c r="O48" s="55"/>
      <c r="P48" s="56"/>
    </row>
    <row r="49" spans="1:16" x14ac:dyDescent="0.25">
      <c r="A49" s="83" t="s">
        <v>7</v>
      </c>
      <c r="B49" s="83"/>
      <c r="C49" s="57">
        <f>COUNTIF(D9:D46,"P")</f>
        <v>18</v>
      </c>
      <c r="D49" s="55"/>
      <c r="F49" s="55" t="s">
        <v>12</v>
      </c>
      <c r="G49" s="55"/>
      <c r="H49" s="55"/>
      <c r="I49" s="55"/>
      <c r="J49" s="58" t="s">
        <v>10</v>
      </c>
      <c r="K49" s="58"/>
      <c r="L49" s="58"/>
      <c r="M49" s="58"/>
      <c r="N49" s="58"/>
      <c r="O49" s="58"/>
      <c r="P49" s="58"/>
    </row>
    <row r="50" spans="1:16" x14ac:dyDescent="0.25">
      <c r="A50" s="83" t="s">
        <v>8</v>
      </c>
      <c r="B50" s="83"/>
      <c r="C50" s="54">
        <f>SUM(C48:C49)</f>
        <v>36</v>
      </c>
      <c r="D50" s="55"/>
      <c r="F50" s="84" t="s">
        <v>13</v>
      </c>
      <c r="G50" s="84"/>
      <c r="H50" s="84"/>
      <c r="I50" s="84"/>
      <c r="J50" s="85" t="s">
        <v>10</v>
      </c>
      <c r="K50" s="85"/>
      <c r="L50" s="85"/>
      <c r="M50" s="85"/>
      <c r="N50" s="85"/>
      <c r="O50" s="85"/>
      <c r="P50" s="55"/>
    </row>
    <row r="51" spans="1:16" x14ac:dyDescent="0.25">
      <c r="A51" s="83" t="s">
        <v>9</v>
      </c>
      <c r="B51" s="83"/>
      <c r="C51" s="55" t="str">
        <f>guuru!B10</f>
        <v>Jihan Fadyllah, S.Pd</v>
      </c>
      <c r="D51" s="55"/>
      <c r="F51" s="84"/>
      <c r="G51" s="84"/>
      <c r="H51" s="84"/>
      <c r="I51" s="84"/>
      <c r="J51" s="86"/>
      <c r="K51" s="86"/>
      <c r="L51" s="86"/>
      <c r="M51" s="86"/>
      <c r="N51" s="86"/>
      <c r="O51" s="86"/>
      <c r="P51" s="55"/>
    </row>
    <row r="52" spans="1:16" x14ac:dyDescent="0.25">
      <c r="A52" s="55"/>
      <c r="B52" s="55"/>
      <c r="C52" s="55"/>
      <c r="D52" s="55"/>
      <c r="F52" s="55" t="s">
        <v>14</v>
      </c>
      <c r="J52" s="59" t="s">
        <v>10</v>
      </c>
      <c r="K52" s="59"/>
      <c r="L52" s="59"/>
      <c r="M52" s="59"/>
      <c r="N52" s="59"/>
      <c r="O52" s="60"/>
      <c r="P52" s="58"/>
    </row>
    <row r="53" spans="1:16" x14ac:dyDescent="0.25">
      <c r="A53" s="55"/>
      <c r="B53" s="55"/>
      <c r="C53" s="55"/>
      <c r="D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</row>
  </sheetData>
  <sortState xmlns:xlrd2="http://schemas.microsoft.com/office/spreadsheetml/2017/richdata2" ref="A7:E46">
    <sortCondition ref="C9:C44"/>
  </sortState>
  <mergeCells count="26">
    <mergeCell ref="A1:P1"/>
    <mergeCell ref="A2:P2"/>
    <mergeCell ref="A3:P3"/>
    <mergeCell ref="A5:P5"/>
    <mergeCell ref="A6:P6"/>
    <mergeCell ref="P7:P8"/>
    <mergeCell ref="A48:B48"/>
    <mergeCell ref="A49:B49"/>
    <mergeCell ref="G7:G8"/>
    <mergeCell ref="H7:H8"/>
    <mergeCell ref="I7:I8"/>
    <mergeCell ref="J7:J8"/>
    <mergeCell ref="K7:K8"/>
    <mergeCell ref="L7:L8"/>
    <mergeCell ref="A7:B7"/>
    <mergeCell ref="C7:C8"/>
    <mergeCell ref="D7:D8"/>
    <mergeCell ref="E7:E8"/>
    <mergeCell ref="F7:F8"/>
    <mergeCell ref="A50:B50"/>
    <mergeCell ref="F50:I51"/>
    <mergeCell ref="J50:O51"/>
    <mergeCell ref="A51:B51"/>
    <mergeCell ref="M7:M8"/>
    <mergeCell ref="N7:N8"/>
    <mergeCell ref="O7:O8"/>
  </mergeCells>
  <printOptions horizontalCentered="1"/>
  <pageMargins left="0.35433070866141736" right="0.31496062992125984" top="0.15748031496062992" bottom="0.15748031496062992" header="0.31496062992125984" footer="0.31496062992125984"/>
  <pageSetup paperSize="5" scale="94" orientation="portrait" horizontalDpi="4294967292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3"/>
  <sheetViews>
    <sheetView zoomScaleNormal="100" workbookViewId="0">
      <selection activeCell="H10" sqref="H10"/>
    </sheetView>
  </sheetViews>
  <sheetFormatPr defaultColWidth="8.85546875" defaultRowHeight="15" x14ac:dyDescent="0.25"/>
  <cols>
    <col min="1" max="1" width="4" style="38" customWidth="1"/>
    <col min="2" max="2" width="8.42578125" style="38" customWidth="1"/>
    <col min="3" max="3" width="31.42578125" style="38" customWidth="1"/>
    <col min="4" max="4" width="3.42578125" style="38" customWidth="1"/>
    <col min="5" max="5" width="9.42578125" style="65" customWidth="1"/>
    <col min="6" max="16" width="4.42578125" style="38" customWidth="1"/>
    <col min="17" max="16384" width="8.85546875" style="38"/>
  </cols>
  <sheetData>
    <row r="1" spans="1:16" ht="21" customHeight="1" x14ac:dyDescent="0.25">
      <c r="A1" s="90" t="s">
        <v>53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6" ht="21" customHeight="1" x14ac:dyDescent="0.25">
      <c r="A2" s="90" t="s">
        <v>52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 spans="1:16" ht="22.5" customHeight="1" x14ac:dyDescent="0.25">
      <c r="A3" s="90" t="s">
        <v>215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</row>
    <row r="4" spans="1:16" ht="9.75" customHeigh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</row>
    <row r="5" spans="1:16" ht="21" customHeight="1" x14ac:dyDescent="0.25">
      <c r="A5" s="91" t="s">
        <v>216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16" ht="4.5" customHeight="1" x14ac:dyDescent="0.25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</row>
    <row r="7" spans="1:16" ht="27" customHeight="1" x14ac:dyDescent="0.25">
      <c r="A7" s="88" t="s">
        <v>0</v>
      </c>
      <c r="B7" s="88"/>
      <c r="C7" s="88" t="s">
        <v>15</v>
      </c>
      <c r="D7" s="88" t="s">
        <v>3</v>
      </c>
      <c r="E7" s="88" t="s">
        <v>102</v>
      </c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</row>
    <row r="8" spans="1:16" ht="27" customHeight="1" x14ac:dyDescent="0.25">
      <c r="A8" s="47" t="s">
        <v>1</v>
      </c>
      <c r="B8" s="43" t="s">
        <v>2</v>
      </c>
      <c r="C8" s="89"/>
      <c r="D8" s="88"/>
      <c r="E8" s="88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</row>
    <row r="9" spans="1:16" ht="18" customHeight="1" x14ac:dyDescent="0.25">
      <c r="A9" s="39">
        <v>1</v>
      </c>
      <c r="B9" s="67">
        <f>VLOOKUP(C9,'DATA SISWA KLS 7'!$A$2:$C$113,2,FALSE)</f>
        <v>5455</v>
      </c>
      <c r="C9" s="69" t="s">
        <v>158</v>
      </c>
      <c r="D9" s="77" t="str">
        <f>VLOOKUP(C9,'DATA SISWA KLS 7'!$A$2:$D$159,3,FALSE)</f>
        <v>L</v>
      </c>
      <c r="E9" s="43" t="str">
        <f>VLOOKUP(C9,'DATA SISWA KLS 7'!$A$2:$D$114,4,FALSE)</f>
        <v>ISLAM</v>
      </c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</row>
    <row r="10" spans="1:16" ht="18" customHeight="1" x14ac:dyDescent="0.25">
      <c r="A10" s="39">
        <v>2</v>
      </c>
      <c r="B10" s="67">
        <f>VLOOKUP(C10,'DATA SISWA KLS 7'!$A$2:$C$113,2,FALSE)</f>
        <v>5459</v>
      </c>
      <c r="C10" s="69" t="s">
        <v>148</v>
      </c>
      <c r="D10" s="77" t="str">
        <f>VLOOKUP(C10,'DATA SISWA KLS 7'!$A$2:$D$159,3,FALSE)</f>
        <v>L</v>
      </c>
      <c r="E10" s="43" t="str">
        <f>VLOOKUP(C10,'DATA SISWA KLS 7'!$A$2:$D$114,4,FALSE)</f>
        <v>ISLAM</v>
      </c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spans="1:16" ht="18" customHeight="1" x14ac:dyDescent="0.25">
      <c r="A11" s="39">
        <v>3</v>
      </c>
      <c r="B11" s="67">
        <f>VLOOKUP(C11,'DATA SISWA KLS 7'!$A$2:$C$113,2,FALSE)</f>
        <v>5460</v>
      </c>
      <c r="C11" s="69" t="s">
        <v>156</v>
      </c>
      <c r="D11" s="77" t="str">
        <f>VLOOKUP(C11,'DATA SISWA KLS 7'!$A$2:$D$159,3,FALSE)</f>
        <v>L</v>
      </c>
      <c r="E11" s="43" t="str">
        <f>VLOOKUP(C11,'DATA SISWA KLS 7'!$A$2:$D$114,4,FALSE)</f>
        <v>ISLAM</v>
      </c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spans="1:16" ht="18" customHeight="1" x14ac:dyDescent="0.25">
      <c r="A12" s="39">
        <v>4</v>
      </c>
      <c r="B12" s="67">
        <f>VLOOKUP(C12,'DATA SISWA KLS 7'!$A$2:$C$113,2,FALSE)</f>
        <v>5462</v>
      </c>
      <c r="C12" s="69" t="s">
        <v>175</v>
      </c>
      <c r="D12" s="77" t="str">
        <f>VLOOKUP(C12,'DATA SISWA KLS 7'!$A$2:$D$159,3,FALSE)</f>
        <v>P</v>
      </c>
      <c r="E12" s="43" t="str">
        <f>VLOOKUP(C12,'DATA SISWA KLS 7'!$A$2:$D$114,4,FALSE)</f>
        <v>ISLAM</v>
      </c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1:16" ht="18" customHeight="1" x14ac:dyDescent="0.25">
      <c r="A13" s="39">
        <v>5</v>
      </c>
      <c r="B13" s="67">
        <f>VLOOKUP(C13,'DATA SISWA KLS 7'!$A$2:$C$113,2,FALSE)</f>
        <v>5463</v>
      </c>
      <c r="C13" s="69" t="s">
        <v>165</v>
      </c>
      <c r="D13" s="77" t="str">
        <f>VLOOKUP(C13,'DATA SISWA KLS 7'!$A$2:$D$159,3,FALSE)</f>
        <v>P</v>
      </c>
      <c r="E13" s="43" t="str">
        <f>VLOOKUP(C13,'DATA SISWA KLS 7'!$A$2:$D$114,4,FALSE)</f>
        <v>ISLAM</v>
      </c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</row>
    <row r="14" spans="1:16" ht="18" customHeight="1" x14ac:dyDescent="0.25">
      <c r="A14" s="39">
        <v>6</v>
      </c>
      <c r="B14" s="67">
        <f>VLOOKUP(C14,'DATA SISWA KLS 7'!$A$2:$C$113,2,FALSE)</f>
        <v>5464</v>
      </c>
      <c r="C14" s="69" t="s">
        <v>157</v>
      </c>
      <c r="D14" s="77" t="str">
        <f>VLOOKUP(C14,'DATA SISWA KLS 7'!$A$2:$D$159,3,FALSE)</f>
        <v>L</v>
      </c>
      <c r="E14" s="43" t="str">
        <f>VLOOKUP(C14,'DATA SISWA KLS 7'!$A$2:$D$114,4,FALSE)</f>
        <v>ISLAM</v>
      </c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spans="1:16" ht="18" customHeight="1" x14ac:dyDescent="0.25">
      <c r="A15" s="39">
        <v>7</v>
      </c>
      <c r="B15" s="67">
        <f>VLOOKUP(C15,'DATA SISWA KLS 7'!$A$2:$C$113,2,FALSE)</f>
        <v>5469</v>
      </c>
      <c r="C15" s="69" t="s">
        <v>169</v>
      </c>
      <c r="D15" s="77" t="str">
        <f>VLOOKUP(C15,'DATA SISWA KLS 7'!$A$2:$D$159,3,FALSE)</f>
        <v>P</v>
      </c>
      <c r="E15" s="43" t="str">
        <f>VLOOKUP(C15,'DATA SISWA KLS 7'!$A$2:$D$114,4,FALSE)</f>
        <v>ISLAM</v>
      </c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spans="1:16" ht="18" customHeight="1" x14ac:dyDescent="0.25">
      <c r="A16" s="39">
        <v>8</v>
      </c>
      <c r="B16" s="67">
        <f>VLOOKUP(C16,'DATA SISWA KLS 7'!$A$2:$C$113,2,FALSE)</f>
        <v>5474</v>
      </c>
      <c r="C16" s="69" t="s">
        <v>146</v>
      </c>
      <c r="D16" s="77" t="str">
        <f>VLOOKUP(C16,'DATA SISWA KLS 7'!$A$2:$D$159,3,FALSE)</f>
        <v>L</v>
      </c>
      <c r="E16" s="43" t="str">
        <f>VLOOKUP(C16,'DATA SISWA KLS 7'!$A$2:$D$114,4,FALSE)</f>
        <v>ISLAM</v>
      </c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spans="1:17" ht="18" customHeight="1" x14ac:dyDescent="0.25">
      <c r="A17" s="39">
        <v>9</v>
      </c>
      <c r="B17" s="67">
        <f>VLOOKUP(C17,'DATA SISWA KLS 7'!$A$2:$C$113,2,FALSE)</f>
        <v>5476</v>
      </c>
      <c r="C17" s="69" t="s">
        <v>161</v>
      </c>
      <c r="D17" s="77" t="str">
        <f>VLOOKUP(C17,'DATA SISWA KLS 7'!$A$2:$D$159,3,FALSE)</f>
        <v>P</v>
      </c>
      <c r="E17" s="43" t="str">
        <f>VLOOKUP(C17,'DATA SISWA KLS 7'!$A$2:$D$114,4,FALSE)</f>
        <v>ISLAM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spans="1:17" ht="18" customHeight="1" x14ac:dyDescent="0.25">
      <c r="A18" s="39">
        <v>10</v>
      </c>
      <c r="B18" s="67">
        <f>VLOOKUP(C18,'DATA SISWA KLS 7'!$A$2:$C$113,2,FALSE)</f>
        <v>5483</v>
      </c>
      <c r="C18" s="69" t="s">
        <v>143</v>
      </c>
      <c r="D18" s="77" t="str">
        <f>VLOOKUP(C18,'DATA SISWA KLS 7'!$A$2:$D$159,3,FALSE)</f>
        <v>L</v>
      </c>
      <c r="E18" s="43" t="str">
        <f>VLOOKUP(C18,'DATA SISWA KLS 7'!$A$2:$D$114,4,FALSE)</f>
        <v>ISLAM</v>
      </c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1:17" ht="18" customHeight="1" x14ac:dyDescent="0.25">
      <c r="A19" s="39">
        <v>11</v>
      </c>
      <c r="B19" s="67">
        <f>VLOOKUP(C19,'DATA SISWA KLS 7'!$A$2:$C$113,2,FALSE)</f>
        <v>5484</v>
      </c>
      <c r="C19" s="69" t="s">
        <v>149</v>
      </c>
      <c r="D19" s="77" t="str">
        <f>VLOOKUP(C19,'DATA SISWA KLS 7'!$A$2:$D$159,3,FALSE)</f>
        <v>L</v>
      </c>
      <c r="E19" s="43" t="str">
        <f>VLOOKUP(C19,'DATA SISWA KLS 7'!$A$2:$D$114,4,FALSE)</f>
        <v>ISLAM</v>
      </c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spans="1:17" ht="18" customHeight="1" x14ac:dyDescent="0.25">
      <c r="A20" s="39">
        <v>12</v>
      </c>
      <c r="B20" s="67">
        <f>VLOOKUP(C20,'DATA SISWA KLS 7'!$A$2:$C$113,2,FALSE)</f>
        <v>5486</v>
      </c>
      <c r="C20" s="69" t="s">
        <v>150</v>
      </c>
      <c r="D20" s="77" t="str">
        <f>VLOOKUP(C20,'DATA SISWA KLS 7'!$A$2:$D$159,3,FALSE)</f>
        <v>L</v>
      </c>
      <c r="E20" s="43" t="str">
        <f>VLOOKUP(C20,'DATA SISWA KLS 7'!$A$2:$D$114,4,FALSE)</f>
        <v>ISLAM</v>
      </c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spans="1:17" ht="18" customHeight="1" x14ac:dyDescent="0.25">
      <c r="A21" s="39">
        <v>13</v>
      </c>
      <c r="B21" s="67">
        <f>VLOOKUP(C21,'DATA SISWA KLS 7'!$A$2:$C$113,2,FALSE)</f>
        <v>5487</v>
      </c>
      <c r="C21" s="69" t="s">
        <v>159</v>
      </c>
      <c r="D21" s="77" t="str">
        <f>VLOOKUP(C21,'DATA SISWA KLS 7'!$A$2:$D$159,3,FALSE)</f>
        <v>L</v>
      </c>
      <c r="E21" s="43" t="str">
        <f>VLOOKUP(C21,'DATA SISWA KLS 7'!$A$2:$D$114,4,FALSE)</f>
        <v>ISLAM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spans="1:17" ht="18" customHeight="1" x14ac:dyDescent="0.25">
      <c r="A22" s="39">
        <v>14</v>
      </c>
      <c r="B22" s="67">
        <f>VLOOKUP(C22,'DATA SISWA KLS 7'!$A$2:$C$113,2,FALSE)</f>
        <v>5489</v>
      </c>
      <c r="C22" s="69" t="s">
        <v>151</v>
      </c>
      <c r="D22" s="77" t="str">
        <f>VLOOKUP(C22,'DATA SISWA KLS 7'!$A$2:$D$159,3,FALSE)</f>
        <v>L</v>
      </c>
      <c r="E22" s="43" t="str">
        <f>VLOOKUP(C22,'DATA SISWA KLS 7'!$A$2:$D$114,4,FALSE)</f>
        <v>ISLAM</v>
      </c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spans="1:17" ht="18" customHeight="1" x14ac:dyDescent="0.25">
      <c r="A23" s="39">
        <v>15</v>
      </c>
      <c r="B23" s="67">
        <f>VLOOKUP(C23,'DATA SISWA KLS 7'!$A$2:$C$113,2,FALSE)</f>
        <v>5492</v>
      </c>
      <c r="C23" s="69" t="s">
        <v>172</v>
      </c>
      <c r="D23" s="77" t="str">
        <f>VLOOKUP(C23,'DATA SISWA KLS 7'!$A$2:$D$159,3,FALSE)</f>
        <v>P</v>
      </c>
      <c r="E23" s="43" t="str">
        <f>VLOOKUP(C23,'DATA SISWA KLS 7'!$A$2:$D$114,4,FALSE)</f>
        <v>ISLAM</v>
      </c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62"/>
    </row>
    <row r="24" spans="1:17" ht="18" customHeight="1" x14ac:dyDescent="0.25">
      <c r="A24" s="39">
        <v>16</v>
      </c>
      <c r="B24" s="67">
        <f>VLOOKUP(C24,'DATA SISWA KLS 7'!$A$2:$C$113,2,FALSE)</f>
        <v>5493</v>
      </c>
      <c r="C24" s="69" t="s">
        <v>166</v>
      </c>
      <c r="D24" s="77" t="str">
        <f>VLOOKUP(C24,'DATA SISWA KLS 7'!$A$2:$D$159,3,FALSE)</f>
        <v>P</v>
      </c>
      <c r="E24" s="43" t="str">
        <f>VLOOKUP(C24,'DATA SISWA KLS 7'!$A$2:$D$114,4,FALSE)</f>
        <v>ISLAM</v>
      </c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spans="1:17" ht="18" customHeight="1" x14ac:dyDescent="0.25">
      <c r="A25" s="39">
        <v>17</v>
      </c>
      <c r="B25" s="67">
        <f>VLOOKUP(C25,'DATA SISWA KLS 7'!$A$2:$C$113,2,FALSE)</f>
        <v>5496</v>
      </c>
      <c r="C25" s="69" t="s">
        <v>163</v>
      </c>
      <c r="D25" s="77" t="str">
        <f>VLOOKUP(C25,'DATA SISWA KLS 7'!$A$2:$D$159,3,FALSE)</f>
        <v>P</v>
      </c>
      <c r="E25" s="43" t="str">
        <f>VLOOKUP(C25,'DATA SISWA KLS 7'!$A$2:$D$114,4,FALSE)</f>
        <v>ISLAM</v>
      </c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spans="1:17" ht="18" customHeight="1" x14ac:dyDescent="0.25">
      <c r="A26" s="39">
        <v>18</v>
      </c>
      <c r="B26" s="67">
        <f>VLOOKUP(C26,'DATA SISWA KLS 7'!$A$2:$C$113,2,FALSE)</f>
        <v>5501</v>
      </c>
      <c r="C26" s="69" t="s">
        <v>176</v>
      </c>
      <c r="D26" s="77" t="str">
        <f>VLOOKUP(C26,'DATA SISWA KLS 7'!$A$2:$D$159,3,FALSE)</f>
        <v>P</v>
      </c>
      <c r="E26" s="43" t="str">
        <f>VLOOKUP(C26,'DATA SISWA KLS 7'!$A$2:$D$114,4,FALSE)</f>
        <v>ISLAM</v>
      </c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spans="1:17" ht="18" customHeight="1" x14ac:dyDescent="0.25">
      <c r="A27" s="39">
        <v>19</v>
      </c>
      <c r="B27" s="67">
        <f>VLOOKUP(C27,'DATA SISWA KLS 7'!$A$2:$C$113,2,FALSE)</f>
        <v>5502</v>
      </c>
      <c r="C27" s="69" t="s">
        <v>152</v>
      </c>
      <c r="D27" s="77" t="str">
        <f>VLOOKUP(C27,'DATA SISWA KLS 7'!$A$2:$D$159,3,FALSE)</f>
        <v>L</v>
      </c>
      <c r="E27" s="43" t="str">
        <f>VLOOKUP(C27,'DATA SISWA KLS 7'!$A$2:$D$114,4,FALSE)</f>
        <v>ISLAM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spans="1:17" ht="18" customHeight="1" x14ac:dyDescent="0.25">
      <c r="A28" s="39">
        <v>20</v>
      </c>
      <c r="B28" s="67">
        <f>VLOOKUP(C28,'DATA SISWA KLS 7'!$A$2:$C$113,2,FALSE)</f>
        <v>5503</v>
      </c>
      <c r="C28" s="69" t="s">
        <v>168</v>
      </c>
      <c r="D28" s="77" t="str">
        <f>VLOOKUP(C28,'DATA SISWA KLS 7'!$A$2:$D$159,3,FALSE)</f>
        <v>P</v>
      </c>
      <c r="E28" s="43" t="str">
        <f>VLOOKUP(C28,'DATA SISWA KLS 7'!$A$2:$D$114,4,FALSE)</f>
        <v>ISLAM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</row>
    <row r="29" spans="1:17" ht="18" customHeight="1" x14ac:dyDescent="0.25">
      <c r="A29" s="39">
        <v>21</v>
      </c>
      <c r="B29" s="67">
        <f>VLOOKUP(C29,'DATA SISWA KLS 7'!$A$2:$C$113,2,FALSE)</f>
        <v>5505</v>
      </c>
      <c r="C29" s="69" t="s">
        <v>129</v>
      </c>
      <c r="D29" s="77" t="str">
        <f>VLOOKUP(C29,'DATA SISWA KLS 7'!$A$2:$D$159,3,FALSE)</f>
        <v>P</v>
      </c>
      <c r="E29" s="43" t="str">
        <f>VLOOKUP(C29,'DATA SISWA KLS 7'!$A$2:$D$114,4,FALSE)</f>
        <v>ISLAM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</row>
    <row r="30" spans="1:17" ht="18" customHeight="1" x14ac:dyDescent="0.25">
      <c r="A30" s="39">
        <v>22</v>
      </c>
      <c r="B30" s="67">
        <f>VLOOKUP(C30,'DATA SISWA KLS 7'!$A$2:$C$113,2,FALSE)</f>
        <v>5512</v>
      </c>
      <c r="C30" s="69" t="s">
        <v>142</v>
      </c>
      <c r="D30" s="77" t="str">
        <f>VLOOKUP(C30,'DATA SISWA KLS 7'!$A$2:$D$159,3,FALSE)</f>
        <v>L</v>
      </c>
      <c r="E30" s="43" t="str">
        <f>VLOOKUP(C30,'DATA SISWA KLS 7'!$A$2:$D$114,4,FALSE)</f>
        <v>ISLAM</v>
      </c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</row>
    <row r="31" spans="1:17" ht="18" customHeight="1" x14ac:dyDescent="0.25">
      <c r="A31" s="39">
        <v>23</v>
      </c>
      <c r="B31" s="67">
        <f>VLOOKUP(C31,'DATA SISWA KLS 7'!$A$2:$C$113,2,FALSE)</f>
        <v>5518</v>
      </c>
      <c r="C31" s="69" t="s">
        <v>147</v>
      </c>
      <c r="D31" s="77" t="str">
        <f>VLOOKUP(C31,'DATA SISWA KLS 7'!$A$2:$D$159,3,FALSE)</f>
        <v>L</v>
      </c>
      <c r="E31" s="43" t="str">
        <f>VLOOKUP(C31,'DATA SISWA KLS 7'!$A$2:$D$114,4,FALSE)</f>
        <v>ISLAM</v>
      </c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1:17" ht="18" customHeight="1" x14ac:dyDescent="0.25">
      <c r="A32" s="39">
        <v>24</v>
      </c>
      <c r="B32" s="67">
        <f>VLOOKUP(C32,'DATA SISWA KLS 7'!$A$2:$C$113,2,FALSE)</f>
        <v>5519</v>
      </c>
      <c r="C32" s="69" t="s">
        <v>153</v>
      </c>
      <c r="D32" s="77" t="str">
        <f>VLOOKUP(C32,'DATA SISWA KLS 7'!$A$2:$D$159,3,FALSE)</f>
        <v>L</v>
      </c>
      <c r="E32" s="43" t="str">
        <f>VLOOKUP(C32,'DATA SISWA KLS 7'!$A$2:$D$114,4,FALSE)</f>
        <v>ISLAM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</row>
    <row r="33" spans="1:16" ht="26.25" x14ac:dyDescent="0.25">
      <c r="A33" s="39">
        <v>25</v>
      </c>
      <c r="B33" s="67">
        <f>VLOOKUP(C33,'DATA SISWA KLS 7'!$A$2:$C$113,2,FALSE)</f>
        <v>5522</v>
      </c>
      <c r="C33" s="69" t="s">
        <v>154</v>
      </c>
      <c r="D33" s="77" t="str">
        <f>VLOOKUP(C33,'DATA SISWA KLS 7'!$A$2:$D$159,3,FALSE)</f>
        <v>L</v>
      </c>
      <c r="E33" s="43" t="str">
        <f>VLOOKUP(C33,'DATA SISWA KLS 7'!$A$2:$D$114,4,FALSE)</f>
        <v>ISLAM</v>
      </c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</row>
    <row r="34" spans="1:16" ht="18" customHeight="1" x14ac:dyDescent="0.25">
      <c r="A34" s="39">
        <v>26</v>
      </c>
      <c r="B34" s="67">
        <f>VLOOKUP(C34,'DATA SISWA KLS 7'!$A$2:$C$113,2,FALSE)</f>
        <v>5524</v>
      </c>
      <c r="C34" s="69" t="s">
        <v>174</v>
      </c>
      <c r="D34" s="77" t="str">
        <f>VLOOKUP(C34,'DATA SISWA KLS 7'!$A$2:$D$159,3,FALSE)</f>
        <v>P</v>
      </c>
      <c r="E34" s="43" t="str">
        <f>VLOOKUP(C34,'DATA SISWA KLS 7'!$A$2:$D$114,4,FALSE)</f>
        <v>ISLAM</v>
      </c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</row>
    <row r="35" spans="1:16" ht="18" customHeight="1" x14ac:dyDescent="0.25">
      <c r="A35" s="39">
        <v>27</v>
      </c>
      <c r="B35" s="67">
        <f>VLOOKUP(C35,'DATA SISWA KLS 7'!$A$2:$C$113,2,FALSE)</f>
        <v>5525</v>
      </c>
      <c r="C35" s="69" t="s">
        <v>177</v>
      </c>
      <c r="D35" s="77" t="str">
        <f>VLOOKUP(C35,'DATA SISWA KLS 7'!$A$2:$D$159,3,FALSE)</f>
        <v>P</v>
      </c>
      <c r="E35" s="43" t="str">
        <f>VLOOKUP(C35,'DATA SISWA KLS 7'!$A$2:$D$114,4,FALSE)</f>
        <v>ISLAM</v>
      </c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</row>
    <row r="36" spans="1:16" ht="18" customHeight="1" x14ac:dyDescent="0.25">
      <c r="A36" s="39">
        <v>28</v>
      </c>
      <c r="B36" s="67">
        <f>VLOOKUP(C36,'DATA SISWA KLS 7'!$A$2:$C$113,2,FALSE)</f>
        <v>5534</v>
      </c>
      <c r="C36" s="69" t="s">
        <v>207</v>
      </c>
      <c r="D36" s="77" t="str">
        <f>VLOOKUP(C36,'DATA SISWA KLS 7'!$A$2:$D$159,3,FALSE)</f>
        <v>P</v>
      </c>
      <c r="E36" s="43" t="str">
        <f>VLOOKUP(C36,'DATA SISWA KLS 7'!$A$2:$D$114,4,FALSE)</f>
        <v>ISLAM</v>
      </c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</row>
    <row r="37" spans="1:16" ht="18" customHeight="1" x14ac:dyDescent="0.25">
      <c r="A37" s="39">
        <v>29</v>
      </c>
      <c r="B37" s="67">
        <f>VLOOKUP(C37,'DATA SISWA KLS 7'!$A$2:$C$113,2,FALSE)</f>
        <v>5541</v>
      </c>
      <c r="C37" s="69" t="s">
        <v>155</v>
      </c>
      <c r="D37" s="77" t="str">
        <f>VLOOKUP(C37,'DATA SISWA KLS 7'!$A$2:$D$159,3,FALSE)</f>
        <v>L</v>
      </c>
      <c r="E37" s="43" t="str">
        <f>VLOOKUP(C37,'DATA SISWA KLS 7'!$A$2:$D$114,4,FALSE)</f>
        <v>ISLAM</v>
      </c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</row>
    <row r="38" spans="1:16" ht="18" customHeight="1" x14ac:dyDescent="0.25">
      <c r="A38" s="39">
        <v>30</v>
      </c>
      <c r="B38" s="67">
        <f>VLOOKUP(C38,'DATA SISWA KLS 7'!$A$2:$C$113,2,FALSE)</f>
        <v>5548</v>
      </c>
      <c r="C38" s="69" t="s">
        <v>173</v>
      </c>
      <c r="D38" s="77" t="str">
        <f>VLOOKUP(C38,'DATA SISWA KLS 7'!$A$2:$D$159,3,FALSE)</f>
        <v>P</v>
      </c>
      <c r="E38" s="43" t="str">
        <f>VLOOKUP(C38,'DATA SISWA KLS 7'!$A$2:$D$114,4,FALSE)</f>
        <v>ISLAM</v>
      </c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</row>
    <row r="39" spans="1:16" ht="18" customHeight="1" x14ac:dyDescent="0.25">
      <c r="A39" s="39">
        <v>31</v>
      </c>
      <c r="B39" s="67">
        <f>VLOOKUP(C39,'DATA SISWA KLS 7'!$A$2:$C$113,2,FALSE)</f>
        <v>5549</v>
      </c>
      <c r="C39" s="69" t="s">
        <v>145</v>
      </c>
      <c r="D39" s="77" t="str">
        <f>VLOOKUP(C39,'DATA SISWA KLS 7'!$A$2:$D$159,3,FALSE)</f>
        <v>L</v>
      </c>
      <c r="E39" s="43" t="str">
        <f>VLOOKUP(C39,'DATA SISWA KLS 7'!$A$2:$D$114,4,FALSE)</f>
        <v>ISLAM</v>
      </c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</row>
    <row r="40" spans="1:16" ht="18" customHeight="1" x14ac:dyDescent="0.25">
      <c r="A40" s="39">
        <v>32</v>
      </c>
      <c r="B40" s="67">
        <f>VLOOKUP(C40,'DATA SISWA KLS 7'!$A$2:$C$113,2,FALSE)</f>
        <v>5551</v>
      </c>
      <c r="C40" s="69" t="s">
        <v>167</v>
      </c>
      <c r="D40" s="77" t="str">
        <f>VLOOKUP(C40,'DATA SISWA KLS 7'!$A$2:$D$159,3,FALSE)</f>
        <v>P</v>
      </c>
      <c r="E40" s="43" t="str">
        <f>VLOOKUP(C40,'DATA SISWA KLS 7'!$A$2:$D$114,4,FALSE)</f>
        <v>ISLAM</v>
      </c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</row>
    <row r="41" spans="1:16" ht="18" customHeight="1" x14ac:dyDescent="0.25">
      <c r="A41" s="39">
        <v>33</v>
      </c>
      <c r="B41" s="67">
        <f>VLOOKUP(C41,'DATA SISWA KLS 7'!$A$2:$C$113,2,FALSE)</f>
        <v>5555</v>
      </c>
      <c r="C41" s="69" t="s">
        <v>179</v>
      </c>
      <c r="D41" s="77" t="str">
        <f>VLOOKUP(C41,'DATA SISWA KLS 7'!$A$2:$D$159,3,FALSE)</f>
        <v>L</v>
      </c>
      <c r="E41" s="43" t="str">
        <f>VLOOKUP(C41,'DATA SISWA KLS 7'!$A$2:$D$114,4,FALSE)</f>
        <v>ISLAM</v>
      </c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</row>
    <row r="42" spans="1:16" ht="18" customHeight="1" x14ac:dyDescent="0.25">
      <c r="A42" s="39">
        <v>34</v>
      </c>
      <c r="B42" s="67">
        <f>VLOOKUP(C42,'DATA SISWA KLS 7'!$A$2:$C$113,2,FALSE)</f>
        <v>5556</v>
      </c>
      <c r="C42" s="69" t="s">
        <v>164</v>
      </c>
      <c r="D42" s="77" t="str">
        <f>VLOOKUP(C42,'DATA SISWA KLS 7'!$A$2:$D$159,3,FALSE)</f>
        <v>P</v>
      </c>
      <c r="E42" s="43" t="str">
        <f>VLOOKUP(C42,'DATA SISWA KLS 7'!$A$2:$D$114,4,FALSE)</f>
        <v>ISLAM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</row>
    <row r="43" spans="1:16" ht="18" customHeight="1" x14ac:dyDescent="0.25">
      <c r="A43" s="39">
        <v>35</v>
      </c>
      <c r="B43" s="67">
        <f>VLOOKUP(C43,'DATA SISWA KLS 7'!$A$2:$C$113,2,FALSE)</f>
        <v>5560</v>
      </c>
      <c r="C43" s="69" t="s">
        <v>160</v>
      </c>
      <c r="D43" s="77" t="str">
        <f>VLOOKUP(C43,'DATA SISWA KLS 7'!$A$2:$D$159,3,FALSE)</f>
        <v>P</v>
      </c>
      <c r="E43" s="43" t="str">
        <f>VLOOKUP(C43,'DATA SISWA KLS 7'!$A$2:$D$114,4,FALSE)</f>
        <v>ISLAM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</row>
    <row r="44" spans="1:16" ht="18" customHeight="1" x14ac:dyDescent="0.25">
      <c r="A44" s="39">
        <v>36</v>
      </c>
      <c r="B44" s="67">
        <f>VLOOKUP(C44,'DATA SISWA KLS 7'!$A$2:$C$113,2,FALSE)</f>
        <v>5561</v>
      </c>
      <c r="C44" s="69" t="s">
        <v>171</v>
      </c>
      <c r="D44" s="77" t="str">
        <f>VLOOKUP(C44,'DATA SISWA KLS 7'!$A$2:$D$159,3,FALSE)</f>
        <v>P</v>
      </c>
      <c r="E44" s="43" t="str">
        <f>VLOOKUP(C44,'DATA SISWA KLS 7'!$A$2:$D$114,4,FALSE)</f>
        <v>ISLAM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</row>
    <row r="45" spans="1:16" ht="18" customHeight="1" x14ac:dyDescent="0.25">
      <c r="A45" s="39">
        <v>37</v>
      </c>
      <c r="B45" s="67"/>
      <c r="C45" s="79"/>
      <c r="D45" s="43"/>
      <c r="E45" s="43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</row>
    <row r="46" spans="1:16" ht="18" customHeight="1" x14ac:dyDescent="0.25">
      <c r="A46" s="39">
        <v>38</v>
      </c>
      <c r="B46" s="67"/>
      <c r="C46" s="49"/>
      <c r="D46" s="43"/>
      <c r="E46" s="43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</row>
    <row r="47" spans="1:16" ht="14.25" customHeight="1" x14ac:dyDescent="0.25">
      <c r="A47" s="50"/>
      <c r="B47" s="51"/>
      <c r="C47" s="10"/>
      <c r="D47" s="52"/>
      <c r="E47" s="6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</row>
    <row r="48" spans="1:16" x14ac:dyDescent="0.25">
      <c r="A48" s="83" t="s">
        <v>6</v>
      </c>
      <c r="B48" s="83"/>
      <c r="C48" s="54">
        <f>COUNTIF(D9:D46,"L")</f>
        <v>18</v>
      </c>
      <c r="D48" s="55"/>
      <c r="E48" s="64"/>
      <c r="F48" s="55" t="s">
        <v>11</v>
      </c>
      <c r="G48" s="55"/>
      <c r="H48" s="55"/>
      <c r="I48" s="55"/>
      <c r="J48" s="55" t="s">
        <v>10</v>
      </c>
      <c r="K48" s="55"/>
      <c r="L48" s="55"/>
      <c r="M48" s="55"/>
      <c r="N48" s="55"/>
      <c r="O48" s="55"/>
      <c r="P48" s="56"/>
    </row>
    <row r="49" spans="1:16" x14ac:dyDescent="0.25">
      <c r="A49" s="83" t="s">
        <v>7</v>
      </c>
      <c r="B49" s="83"/>
      <c r="C49" s="57">
        <f>COUNTIF(D9:D46,"P")</f>
        <v>18</v>
      </c>
      <c r="D49" s="55"/>
      <c r="E49" s="64"/>
      <c r="F49" s="55" t="s">
        <v>12</v>
      </c>
      <c r="G49" s="55"/>
      <c r="H49" s="55"/>
      <c r="I49" s="55"/>
      <c r="J49" s="58" t="s">
        <v>10</v>
      </c>
      <c r="K49" s="58"/>
      <c r="L49" s="58"/>
      <c r="M49" s="58"/>
      <c r="N49" s="58"/>
      <c r="O49" s="58"/>
      <c r="P49" s="58"/>
    </row>
    <row r="50" spans="1:16" x14ac:dyDescent="0.25">
      <c r="A50" s="83" t="s">
        <v>8</v>
      </c>
      <c r="B50" s="83"/>
      <c r="C50" s="54">
        <f>SUM(C48:C49)</f>
        <v>36</v>
      </c>
      <c r="D50" s="55"/>
      <c r="E50" s="64"/>
      <c r="F50" s="84" t="s">
        <v>13</v>
      </c>
      <c r="G50" s="84"/>
      <c r="H50" s="84"/>
      <c r="I50" s="84"/>
      <c r="J50" s="85" t="s">
        <v>10</v>
      </c>
      <c r="K50" s="85"/>
      <c r="L50" s="85"/>
      <c r="M50" s="85"/>
      <c r="N50" s="85"/>
      <c r="O50" s="85"/>
      <c r="P50" s="55"/>
    </row>
    <row r="51" spans="1:16" x14ac:dyDescent="0.25">
      <c r="A51" s="83" t="s">
        <v>9</v>
      </c>
      <c r="B51" s="83"/>
      <c r="C51" s="55" t="str">
        <f>guuru!B13</f>
        <v>Ikhlas Munajati, S.Pd</v>
      </c>
      <c r="D51" s="55"/>
      <c r="E51" s="64"/>
      <c r="F51" s="84"/>
      <c r="G51" s="84"/>
      <c r="H51" s="84"/>
      <c r="I51" s="84"/>
      <c r="J51" s="86"/>
      <c r="K51" s="86"/>
      <c r="L51" s="86"/>
      <c r="M51" s="86"/>
      <c r="N51" s="86"/>
      <c r="O51" s="86"/>
      <c r="P51" s="55"/>
    </row>
    <row r="52" spans="1:16" x14ac:dyDescent="0.25">
      <c r="A52" s="55"/>
      <c r="B52" s="55"/>
      <c r="C52" s="55"/>
      <c r="D52" s="55"/>
      <c r="E52" s="64"/>
      <c r="F52" s="55" t="s">
        <v>14</v>
      </c>
      <c r="J52" s="59" t="s">
        <v>10</v>
      </c>
      <c r="K52" s="59"/>
      <c r="L52" s="59"/>
      <c r="M52" s="59"/>
      <c r="N52" s="59"/>
      <c r="O52" s="60"/>
      <c r="P52" s="58"/>
    </row>
    <row r="53" spans="1:16" x14ac:dyDescent="0.25">
      <c r="A53" s="55"/>
      <c r="B53" s="55"/>
      <c r="C53" s="55"/>
      <c r="D53" s="55"/>
      <c r="E53" s="64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</row>
  </sheetData>
  <sortState xmlns:xlrd2="http://schemas.microsoft.com/office/spreadsheetml/2017/richdata2" ref="A7:E46">
    <sortCondition ref="C9:C44"/>
  </sortState>
  <mergeCells count="26">
    <mergeCell ref="A1:P1"/>
    <mergeCell ref="A2:P2"/>
    <mergeCell ref="A3:P3"/>
    <mergeCell ref="A5:P5"/>
    <mergeCell ref="A6:P6"/>
    <mergeCell ref="P7:P8"/>
    <mergeCell ref="A48:B48"/>
    <mergeCell ref="A49:B49"/>
    <mergeCell ref="G7:G8"/>
    <mergeCell ref="H7:H8"/>
    <mergeCell ref="I7:I8"/>
    <mergeCell ref="J7:J8"/>
    <mergeCell ref="K7:K8"/>
    <mergeCell ref="L7:L8"/>
    <mergeCell ref="A7:B7"/>
    <mergeCell ref="C7:C8"/>
    <mergeCell ref="D7:D8"/>
    <mergeCell ref="E7:E8"/>
    <mergeCell ref="F7:F8"/>
    <mergeCell ref="A50:B50"/>
    <mergeCell ref="F50:I51"/>
    <mergeCell ref="J50:O51"/>
    <mergeCell ref="A51:B51"/>
    <mergeCell ref="M7:M8"/>
    <mergeCell ref="N7:N8"/>
    <mergeCell ref="O7:O8"/>
  </mergeCells>
  <conditionalFormatting sqref="C46">
    <cfRule type="duplicateValues" dxfId="4" priority="1"/>
    <cfRule type="duplicateValues" dxfId="3" priority="2"/>
  </conditionalFormatting>
  <printOptions horizontalCentered="1"/>
  <pageMargins left="0.31496062992125984" right="0.31496062992125984" top="0.15748031496062992" bottom="0.15748031496062992" header="0.31496062992125984" footer="0.31496062992125984"/>
  <pageSetup paperSize="5" scale="95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54"/>
  <sheetViews>
    <sheetView zoomScaleNormal="100" workbookViewId="0">
      <selection activeCell="Q8" sqref="Q8"/>
    </sheetView>
  </sheetViews>
  <sheetFormatPr defaultColWidth="8.85546875" defaultRowHeight="15" x14ac:dyDescent="0.25"/>
  <cols>
    <col min="1" max="1" width="4" style="38" customWidth="1"/>
    <col min="2" max="2" width="8.42578125" style="38" customWidth="1"/>
    <col min="3" max="3" width="31.42578125" style="38" customWidth="1"/>
    <col min="4" max="4" width="3.42578125" style="38" customWidth="1"/>
    <col min="5" max="5" width="9.42578125" style="38" customWidth="1"/>
    <col min="6" max="16" width="4.42578125" style="38" customWidth="1"/>
    <col min="17" max="16384" width="8.85546875" style="38"/>
  </cols>
  <sheetData>
    <row r="1" spans="1:19" ht="21" customHeight="1" x14ac:dyDescent="0.25">
      <c r="A1" s="90" t="s">
        <v>53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</row>
    <row r="2" spans="1:19" ht="21" customHeight="1" x14ac:dyDescent="0.25">
      <c r="A2" s="90" t="s">
        <v>52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 spans="1:19" ht="22.5" customHeight="1" x14ac:dyDescent="0.25">
      <c r="A3" s="90" t="s">
        <v>215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</row>
    <row r="4" spans="1:19" ht="9.75" customHeigh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</row>
    <row r="5" spans="1:19" ht="21" customHeight="1" x14ac:dyDescent="0.25">
      <c r="A5" s="91" t="s">
        <v>217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19" ht="4.5" customHeight="1" x14ac:dyDescent="0.25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</row>
    <row r="7" spans="1:19" ht="27" customHeight="1" x14ac:dyDescent="0.25">
      <c r="A7" s="88" t="s">
        <v>0</v>
      </c>
      <c r="B7" s="88"/>
      <c r="C7" s="88" t="s">
        <v>15</v>
      </c>
      <c r="D7" s="88" t="s">
        <v>3</v>
      </c>
      <c r="E7" s="88" t="s">
        <v>102</v>
      </c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</row>
    <row r="8" spans="1:19" ht="27" customHeight="1" x14ac:dyDescent="0.25">
      <c r="A8" s="47" t="s">
        <v>1</v>
      </c>
      <c r="B8" s="43" t="s">
        <v>2</v>
      </c>
      <c r="C8" s="89"/>
      <c r="D8" s="88"/>
      <c r="E8" s="88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</row>
    <row r="9" spans="1:19" ht="18" customHeight="1" x14ac:dyDescent="0.25">
      <c r="A9" s="39">
        <v>1</v>
      </c>
      <c r="B9" s="67">
        <f>VLOOKUP(C9,'DATA SISWA KLS 7'!$A$2:$C$114,2,FALSE)</f>
        <v>5467</v>
      </c>
      <c r="C9" s="69" t="s">
        <v>196</v>
      </c>
      <c r="D9" s="77" t="str">
        <f>VLOOKUP(C9,'DATA SISWA KLS 7'!$A$2:$D$159,3,FALSE)</f>
        <v>P</v>
      </c>
      <c r="E9" s="43" t="str">
        <f>VLOOKUP(C9,'DATA SISWA KLS 7'!$A$2:$D$114,4,FALSE)</f>
        <v>ISLAM</v>
      </c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S9" s="38" t="s">
        <v>98</v>
      </c>
    </row>
    <row r="10" spans="1:19" ht="18" customHeight="1" x14ac:dyDescent="0.25">
      <c r="A10" s="39">
        <v>2</v>
      </c>
      <c r="B10" s="67">
        <f>VLOOKUP(C10,'DATA SISWA KLS 7'!$A$2:$C$114,2,FALSE)</f>
        <v>5470</v>
      </c>
      <c r="C10" s="69" t="s">
        <v>181</v>
      </c>
      <c r="D10" s="77" t="str">
        <f>VLOOKUP(C10,'DATA SISWA KLS 7'!$A$2:$D$159,3,FALSE)</f>
        <v>L</v>
      </c>
      <c r="E10" s="43" t="str">
        <f>VLOOKUP(C10,'DATA SISWA KLS 7'!$A$2:$D$114,4,FALSE)</f>
        <v>ISLAM</v>
      </c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R10" s="48"/>
    </row>
    <row r="11" spans="1:19" ht="18" customHeight="1" x14ac:dyDescent="0.25">
      <c r="A11" s="39">
        <v>3</v>
      </c>
      <c r="B11" s="67">
        <f>VLOOKUP(C11,'DATA SISWA KLS 7'!$A$2:$C$114,2,FALSE)</f>
        <v>5472</v>
      </c>
      <c r="C11" s="69" t="s">
        <v>182</v>
      </c>
      <c r="D11" s="77" t="str">
        <f>VLOOKUP(C11,'DATA SISWA KLS 7'!$A$2:$D$159,3,FALSE)</f>
        <v>L</v>
      </c>
      <c r="E11" s="43" t="str">
        <f>VLOOKUP(C11,'DATA SISWA KLS 7'!$A$2:$D$114,4,FALSE)</f>
        <v>ISLAM</v>
      </c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spans="1:19" ht="18" customHeight="1" x14ac:dyDescent="0.25">
      <c r="A12" s="39">
        <v>4</v>
      </c>
      <c r="B12" s="67">
        <f>VLOOKUP(C12,'DATA SISWA KLS 7'!$A$2:$C$114,2,FALSE)</f>
        <v>5473</v>
      </c>
      <c r="C12" s="69" t="s">
        <v>197</v>
      </c>
      <c r="D12" s="77" t="str">
        <f>VLOOKUP(C12,'DATA SISWA KLS 7'!$A$2:$D$159,3,FALSE)</f>
        <v>P</v>
      </c>
      <c r="E12" s="43" t="str">
        <f>VLOOKUP(C12,'DATA SISWA KLS 7'!$A$2:$D$114,4,FALSE)</f>
        <v>ISLAM</v>
      </c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</row>
    <row r="13" spans="1:19" ht="18" customHeight="1" x14ac:dyDescent="0.25">
      <c r="A13" s="39">
        <v>5</v>
      </c>
      <c r="B13" s="67">
        <f>VLOOKUP(C13,'DATA SISWA KLS 7'!$A$2:$C$114,2,FALSE)</f>
        <v>5478</v>
      </c>
      <c r="C13" s="69" t="s">
        <v>198</v>
      </c>
      <c r="D13" s="77" t="str">
        <f>VLOOKUP(C13,'DATA SISWA KLS 7'!$A$2:$D$159,3,FALSE)</f>
        <v>P</v>
      </c>
      <c r="E13" s="43" t="str">
        <f>VLOOKUP(C13,'DATA SISWA KLS 7'!$A$2:$D$114,4,FALSE)</f>
        <v>ISLAM</v>
      </c>
      <c r="F13" s="44"/>
      <c r="G13" s="44" t="s">
        <v>98</v>
      </c>
      <c r="H13" s="44"/>
      <c r="I13" s="44"/>
      <c r="J13" s="44"/>
      <c r="K13" s="44"/>
      <c r="L13" s="44"/>
      <c r="M13" s="44"/>
      <c r="N13" s="44"/>
      <c r="O13" s="44"/>
      <c r="P13" s="44"/>
    </row>
    <row r="14" spans="1:19" ht="18" customHeight="1" x14ac:dyDescent="0.25">
      <c r="A14" s="39">
        <v>6</v>
      </c>
      <c r="B14" s="67">
        <f>VLOOKUP(C14,'DATA SISWA KLS 7'!$A$2:$C$114,2,FALSE)</f>
        <v>5480</v>
      </c>
      <c r="C14" s="69" t="s">
        <v>180</v>
      </c>
      <c r="D14" s="77" t="str">
        <f>VLOOKUP(C14,'DATA SISWA KLS 7'!$A$2:$D$159,3,FALSE)</f>
        <v>L</v>
      </c>
      <c r="E14" s="43" t="str">
        <f>VLOOKUP(C14,'DATA SISWA KLS 7'!$A$2:$D$114,4,FALSE)</f>
        <v>ISLAM</v>
      </c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spans="1:19" ht="18" customHeight="1" x14ac:dyDescent="0.25">
      <c r="A15" s="39">
        <v>7</v>
      </c>
      <c r="B15" s="67">
        <f>VLOOKUP(C15,'DATA SISWA KLS 7'!$A$2:$C$114,2,FALSE)</f>
        <v>5482</v>
      </c>
      <c r="C15" s="69" t="s">
        <v>183</v>
      </c>
      <c r="D15" s="77" t="str">
        <f>VLOOKUP(C15,'DATA SISWA KLS 7'!$A$2:$D$159,3,FALSE)</f>
        <v>L</v>
      </c>
      <c r="E15" s="43" t="str">
        <f>VLOOKUP(C15,'DATA SISWA KLS 7'!$A$2:$D$114,4,FALSE)</f>
        <v>ISLAM</v>
      </c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spans="1:19" x14ac:dyDescent="0.25">
      <c r="A16" s="39">
        <v>8</v>
      </c>
      <c r="B16" s="67">
        <f>VLOOKUP(C16,'DATA SISWA KLS 7'!$A$2:$C$114,2,FALSE)</f>
        <v>5491</v>
      </c>
      <c r="C16" s="82" t="s">
        <v>199</v>
      </c>
      <c r="D16" s="77" t="str">
        <f>VLOOKUP(C16,'DATA SISWA KLS 7'!$A$2:$D$159,3,FALSE)</f>
        <v>P</v>
      </c>
      <c r="E16" s="43" t="str">
        <f>VLOOKUP(C16,'DATA SISWA KLS 7'!$A$2:$D$114,4,FALSE)</f>
        <v>ISLAM</v>
      </c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spans="1:16" ht="18" customHeight="1" x14ac:dyDescent="0.25">
      <c r="A17" s="39">
        <v>9</v>
      </c>
      <c r="B17" s="67">
        <f>VLOOKUP(C17,'DATA SISWA KLS 7'!$A$2:$C$114,2,FALSE)</f>
        <v>5494</v>
      </c>
      <c r="C17" s="69" t="s">
        <v>184</v>
      </c>
      <c r="D17" s="77" t="str">
        <f>VLOOKUP(C17,'DATA SISWA KLS 7'!$A$2:$D$159,3,FALSE)</f>
        <v>L</v>
      </c>
      <c r="E17" s="43" t="str">
        <f>VLOOKUP(C17,'DATA SISWA KLS 7'!$A$2:$D$114,4,FALSE)</f>
        <v>ISLAM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spans="1:16" ht="18" customHeight="1" x14ac:dyDescent="0.25">
      <c r="A18" s="39">
        <v>10</v>
      </c>
      <c r="B18" s="67">
        <f>VLOOKUP(C18,'DATA SISWA KLS 7'!$A$2:$C$114,2,FALSE)</f>
        <v>5497</v>
      </c>
      <c r="C18" s="69" t="s">
        <v>200</v>
      </c>
      <c r="D18" s="77" t="str">
        <f>VLOOKUP(C18,'DATA SISWA KLS 7'!$A$2:$D$159,3,FALSE)</f>
        <v>P</v>
      </c>
      <c r="E18" s="43" t="str">
        <f>VLOOKUP(C18,'DATA SISWA KLS 7'!$A$2:$D$114,4,FALSE)</f>
        <v>ISLAM</v>
      </c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1:16" ht="18" customHeight="1" x14ac:dyDescent="0.25">
      <c r="A19" s="39">
        <v>11</v>
      </c>
      <c r="B19" s="67">
        <f>VLOOKUP(C19,'DATA SISWA KLS 7'!$A$2:$C$114,2,FALSE)</f>
        <v>5499</v>
      </c>
      <c r="C19" s="69" t="s">
        <v>201</v>
      </c>
      <c r="D19" s="77" t="str">
        <f>VLOOKUP(C19,'DATA SISWA KLS 7'!$A$2:$D$159,3,FALSE)</f>
        <v>P</v>
      </c>
      <c r="E19" s="43" t="str">
        <f>VLOOKUP(C19,'DATA SISWA KLS 7'!$A$2:$D$114,4,FALSE)</f>
        <v>ISLAM</v>
      </c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</row>
    <row r="20" spans="1:16" ht="18" customHeight="1" x14ac:dyDescent="0.25">
      <c r="A20" s="39">
        <v>12</v>
      </c>
      <c r="B20" s="67">
        <f>VLOOKUP(C20,'DATA SISWA KLS 7'!$A$2:$C$114,2,FALSE)</f>
        <v>5500</v>
      </c>
      <c r="C20" s="69" t="s">
        <v>202</v>
      </c>
      <c r="D20" s="77" t="str">
        <f>VLOOKUP(C20,'DATA SISWA KLS 7'!$A$2:$D$159,3,FALSE)</f>
        <v>P</v>
      </c>
      <c r="E20" s="43" t="str">
        <f>VLOOKUP(C20,'DATA SISWA KLS 7'!$A$2:$D$114,4,FALSE)</f>
        <v>ISLAM</v>
      </c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spans="1:16" ht="18" customHeight="1" x14ac:dyDescent="0.25">
      <c r="A21" s="39">
        <v>13</v>
      </c>
      <c r="B21" s="67">
        <f>VLOOKUP(C21,'DATA SISWA KLS 7'!$A$2:$C$114,2,FALSE)</f>
        <v>5504</v>
      </c>
      <c r="C21" s="69" t="s">
        <v>185</v>
      </c>
      <c r="D21" s="77" t="str">
        <f>VLOOKUP(C21,'DATA SISWA KLS 7'!$A$2:$D$159,3,FALSE)</f>
        <v>L</v>
      </c>
      <c r="E21" s="43" t="str">
        <f>VLOOKUP(C21,'DATA SISWA KLS 7'!$A$2:$D$114,4,FALSE)</f>
        <v>ISLAM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spans="1:16" ht="18" customHeight="1" x14ac:dyDescent="0.25">
      <c r="A22" s="39">
        <v>14</v>
      </c>
      <c r="B22" s="67">
        <f>VLOOKUP(C22,'DATA SISWA KLS 7'!$A$2:$C$114,2,FALSE)</f>
        <v>5506</v>
      </c>
      <c r="C22" s="69" t="s">
        <v>203</v>
      </c>
      <c r="D22" s="77" t="str">
        <f>VLOOKUP(C22,'DATA SISWA KLS 7'!$A$2:$D$159,3,FALSE)</f>
        <v>P</v>
      </c>
      <c r="E22" s="43" t="str">
        <f>VLOOKUP(C22,'DATA SISWA KLS 7'!$A$2:$D$114,4,FALSE)</f>
        <v>KRISTEN</v>
      </c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  <row r="23" spans="1:16" ht="18" customHeight="1" x14ac:dyDescent="0.25">
      <c r="A23" s="39">
        <v>15</v>
      </c>
      <c r="B23" s="67">
        <f>VLOOKUP(C23,'DATA SISWA KLS 7'!$A$2:$C$114,2,FALSE)</f>
        <v>5508</v>
      </c>
      <c r="C23" s="69" t="s">
        <v>204</v>
      </c>
      <c r="D23" s="77" t="str">
        <f>VLOOKUP(C23,'DATA SISWA KLS 7'!$A$2:$D$159,3,FALSE)</f>
        <v>P</v>
      </c>
      <c r="E23" s="81" t="str">
        <f>VLOOKUP(C23,'DATA SISWA KLS 7'!$A$2:$D$114,4,FALSE)</f>
        <v>KRISTEN</v>
      </c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spans="1:16" ht="18" customHeight="1" x14ac:dyDescent="0.25">
      <c r="A24" s="39">
        <v>16</v>
      </c>
      <c r="B24" s="67">
        <f>VLOOKUP(C24,'DATA SISWA KLS 7'!$A$2:$C$114,2,FALSE)</f>
        <v>5509</v>
      </c>
      <c r="C24" s="69" t="s">
        <v>178</v>
      </c>
      <c r="D24" s="77" t="str">
        <f>VLOOKUP(C24,'DATA SISWA KLS 7'!$A$2:$D$159,3,FALSE)</f>
        <v>L</v>
      </c>
      <c r="E24" s="43" t="str">
        <f>VLOOKUP(C24,'DATA SISWA KLS 7'!$A$2:$D$114,4,FALSE)</f>
        <v>ISLAM</v>
      </c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spans="1:16" ht="18" customHeight="1" x14ac:dyDescent="0.25">
      <c r="A25" s="39">
        <v>17</v>
      </c>
      <c r="B25" s="67">
        <f>VLOOKUP(C25,'DATA SISWA KLS 7'!$A$2:$C$114,2,FALSE)</f>
        <v>5511</v>
      </c>
      <c r="C25" s="69" t="s">
        <v>186</v>
      </c>
      <c r="D25" s="77" t="str">
        <f>VLOOKUP(C25,'DATA SISWA KLS 7'!$A$2:$D$159,3,FALSE)</f>
        <v>L</v>
      </c>
      <c r="E25" s="43" t="str">
        <f>VLOOKUP(C25,'DATA SISWA KLS 7'!$A$2:$D$114,4,FALSE)</f>
        <v>ISLAM</v>
      </c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  <row r="26" spans="1:16" ht="18" customHeight="1" x14ac:dyDescent="0.25">
      <c r="A26" s="39">
        <v>18</v>
      </c>
      <c r="B26" s="67">
        <f>VLOOKUP(C26,'DATA SISWA KLS 7'!$A$2:$C$114,2,FALSE)</f>
        <v>5513</v>
      </c>
      <c r="C26" s="69" t="s">
        <v>187</v>
      </c>
      <c r="D26" s="77" t="str">
        <f>VLOOKUP(C26,'DATA SISWA KLS 7'!$A$2:$D$159,3,FALSE)</f>
        <v>L</v>
      </c>
      <c r="E26" s="43" t="str">
        <f>VLOOKUP(C26,'DATA SISWA KLS 7'!$A$2:$D$114,4,FALSE)</f>
        <v>ISLAM</v>
      </c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</row>
    <row r="27" spans="1:16" ht="18" customHeight="1" x14ac:dyDescent="0.25">
      <c r="A27" s="39">
        <v>19</v>
      </c>
      <c r="B27" s="67">
        <f>VLOOKUP(C27,'DATA SISWA KLS 7'!$A$2:$C$114,2,FALSE)</f>
        <v>5514</v>
      </c>
      <c r="C27" s="82" t="s">
        <v>188</v>
      </c>
      <c r="D27" s="77" t="str">
        <f>VLOOKUP(C27,'DATA SISWA KLS 7'!$A$2:$D$159,3,FALSE)</f>
        <v>L</v>
      </c>
      <c r="E27" s="43" t="str">
        <f>VLOOKUP(C27,'DATA SISWA KLS 7'!$A$2:$D$114,4,FALSE)</f>
        <v>ISLAM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spans="1:16" ht="18" customHeight="1" x14ac:dyDescent="0.25">
      <c r="A28" s="39">
        <v>20</v>
      </c>
      <c r="B28" s="67">
        <f>VLOOKUP(C28,'DATA SISWA KLS 7'!$A$2:$C$114,2,FALSE)</f>
        <v>5515</v>
      </c>
      <c r="C28" s="69" t="s">
        <v>189</v>
      </c>
      <c r="D28" s="77" t="str">
        <f>VLOOKUP(C28,'DATA SISWA KLS 7'!$A$2:$D$159,3,FALSE)</f>
        <v>L</v>
      </c>
      <c r="E28" s="43" t="str">
        <f>VLOOKUP(C28,'DATA SISWA KLS 7'!$A$2:$D$114,4,FALSE)</f>
        <v>ISLAM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</row>
    <row r="29" spans="1:16" ht="18" customHeight="1" x14ac:dyDescent="0.25">
      <c r="A29" s="39">
        <v>21</v>
      </c>
      <c r="B29" s="67">
        <f>VLOOKUP(C29,'DATA SISWA KLS 7'!$A$2:$C$114,2,FALSE)</f>
        <v>5520</v>
      </c>
      <c r="C29" s="69" t="s">
        <v>190</v>
      </c>
      <c r="D29" s="77" t="str">
        <f>VLOOKUP(C29,'DATA SISWA KLS 7'!$A$2:$D$159,3,FALSE)</f>
        <v>L</v>
      </c>
      <c r="E29" s="43" t="str">
        <f>VLOOKUP(C29,'DATA SISWA KLS 7'!$A$2:$D$114,4,FALSE)</f>
        <v>ISLAM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</row>
    <row r="30" spans="1:16" ht="18" customHeight="1" x14ac:dyDescent="0.25">
      <c r="A30" s="39">
        <v>22</v>
      </c>
      <c r="B30" s="67">
        <f>VLOOKUP(C30,'DATA SISWA KLS 7'!$A$2:$C$114,2,FALSE)</f>
        <v>5521</v>
      </c>
      <c r="C30" s="69" t="s">
        <v>191</v>
      </c>
      <c r="D30" s="77" t="str">
        <f>VLOOKUP(C30,'DATA SISWA KLS 7'!$A$2:$D$159,3,FALSE)</f>
        <v>L</v>
      </c>
      <c r="E30" s="43" t="str">
        <f>VLOOKUP(C30,'DATA SISWA KLS 7'!$A$2:$D$114,4,FALSE)</f>
        <v>ISLAM</v>
      </c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</row>
    <row r="31" spans="1:16" ht="18" customHeight="1" x14ac:dyDescent="0.25">
      <c r="A31" s="39">
        <v>23</v>
      </c>
      <c r="B31" s="67">
        <f>VLOOKUP(C31,'DATA SISWA KLS 7'!$A$2:$C$114,2,FALSE)</f>
        <v>5526</v>
      </c>
      <c r="C31" s="69" t="s">
        <v>205</v>
      </c>
      <c r="D31" s="77" t="str">
        <f>VLOOKUP(C31,'DATA SISWA KLS 7'!$A$2:$D$159,3,FALSE)</f>
        <v>P</v>
      </c>
      <c r="E31" s="43" t="str">
        <f>VLOOKUP(C31,'DATA SISWA KLS 7'!$A$2:$D$114,4,FALSE)</f>
        <v>ISLAM</v>
      </c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1:16" ht="18" customHeight="1" x14ac:dyDescent="0.25">
      <c r="A32" s="39">
        <v>24</v>
      </c>
      <c r="B32" s="67">
        <f>VLOOKUP(C32,'DATA SISWA KLS 7'!$A$2:$C$114,2,FALSE)</f>
        <v>5528</v>
      </c>
      <c r="C32" s="69" t="s">
        <v>206</v>
      </c>
      <c r="D32" s="77" t="str">
        <f>VLOOKUP(C32,'DATA SISWA KLS 7'!$A$2:$D$159,3,FALSE)</f>
        <v>P</v>
      </c>
      <c r="E32" s="43" t="str">
        <f>VLOOKUP(C32,'DATA SISWA KLS 7'!$A$2:$D$114,4,FALSE)</f>
        <v>ISLAM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</row>
    <row r="33" spans="1:16" ht="18" customHeight="1" x14ac:dyDescent="0.25">
      <c r="A33" s="39">
        <v>25</v>
      </c>
      <c r="B33" s="67">
        <f>VLOOKUP(C33,'DATA SISWA KLS 7'!$A$2:$C$114,2,FALSE)</f>
        <v>5531</v>
      </c>
      <c r="C33" s="69" t="s">
        <v>208</v>
      </c>
      <c r="D33" s="77" t="str">
        <f>VLOOKUP(C33,'DATA SISWA KLS 7'!$A$2:$D$159,3,FALSE)</f>
        <v>P</v>
      </c>
      <c r="E33" s="43" t="str">
        <f>VLOOKUP(C33,'DATA SISWA KLS 7'!$A$2:$D$114,4,FALSE)</f>
        <v>ISLAM</v>
      </c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</row>
    <row r="34" spans="1:16" ht="18" customHeight="1" x14ac:dyDescent="0.25">
      <c r="A34" s="39">
        <v>26</v>
      </c>
      <c r="B34" s="67">
        <f>VLOOKUP(C34,'DATA SISWA KLS 7'!$A$2:$C$114,2,FALSE)</f>
        <v>5532</v>
      </c>
      <c r="C34" s="69" t="s">
        <v>209</v>
      </c>
      <c r="D34" s="77" t="str">
        <f>VLOOKUP(C34,'DATA SISWA KLS 7'!$A$2:$D$159,3,FALSE)</f>
        <v>L</v>
      </c>
      <c r="E34" s="43" t="str">
        <f>VLOOKUP(C34,'DATA SISWA KLS 7'!$A$2:$D$114,4,FALSE)</f>
        <v>ISLAM</v>
      </c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</row>
    <row r="35" spans="1:16" ht="18" customHeight="1" x14ac:dyDescent="0.25">
      <c r="A35" s="39">
        <v>27</v>
      </c>
      <c r="B35" s="67">
        <f>VLOOKUP(C35,'DATA SISWA KLS 7'!$A$2:$C$114,2,FALSE)</f>
        <v>5533</v>
      </c>
      <c r="C35" s="69" t="s">
        <v>194</v>
      </c>
      <c r="D35" s="77" t="str">
        <f>VLOOKUP(C35,'DATA SISWA KLS 7'!$A$2:$D$159,3,FALSE)</f>
        <v>L</v>
      </c>
      <c r="E35" s="43" t="str">
        <f>VLOOKUP(C35,'DATA SISWA KLS 7'!$A$2:$D$114,4,FALSE)</f>
        <v>ISLAM</v>
      </c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</row>
    <row r="36" spans="1:16" ht="18" customHeight="1" x14ac:dyDescent="0.25">
      <c r="A36" s="39">
        <v>28</v>
      </c>
      <c r="B36" s="67">
        <f>VLOOKUP(C36,'DATA SISWA KLS 7'!$A$2:$C$114,2,FALSE)</f>
        <v>5544</v>
      </c>
      <c r="C36" s="69" t="s">
        <v>195</v>
      </c>
      <c r="D36" s="77" t="str">
        <f>VLOOKUP(C36,'DATA SISWA KLS 7'!$A$2:$D$159,3,FALSE)</f>
        <v>P</v>
      </c>
      <c r="E36" s="43" t="str">
        <f>VLOOKUP(C36,'DATA SISWA KLS 7'!$A$2:$D$114,4,FALSE)</f>
        <v>ISLAM</v>
      </c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</row>
    <row r="37" spans="1:16" ht="18" customHeight="1" x14ac:dyDescent="0.25">
      <c r="A37" s="39">
        <v>29</v>
      </c>
      <c r="B37" s="67">
        <f>VLOOKUP(C37,'DATA SISWA KLS 7'!$A$2:$C$114,2,FALSE)</f>
        <v>5545</v>
      </c>
      <c r="C37" s="69" t="s">
        <v>192</v>
      </c>
      <c r="D37" s="77" t="str">
        <f>VLOOKUP(C37,'DATA SISWA KLS 7'!$A$2:$D$159,3,FALSE)</f>
        <v>L</v>
      </c>
      <c r="E37" s="43" t="str">
        <f>VLOOKUP(C37,'DATA SISWA KLS 7'!$A$2:$D$114,4,FALSE)</f>
        <v>ISLAM</v>
      </c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</row>
    <row r="38" spans="1:16" ht="18" customHeight="1" x14ac:dyDescent="0.25">
      <c r="A38" s="39">
        <v>30</v>
      </c>
      <c r="B38" s="67">
        <f>VLOOKUP(C38,'DATA SISWA KLS 7'!$A$2:$C$114,2,FALSE)</f>
        <v>5546</v>
      </c>
      <c r="C38" s="69" t="s">
        <v>138</v>
      </c>
      <c r="D38" s="77" t="str">
        <f>VLOOKUP(C38,'DATA SISWA KLS 7'!$A$2:$D$159,3,FALSE)</f>
        <v>P</v>
      </c>
      <c r="E38" s="43" t="str">
        <f>VLOOKUP(C38,'DATA SISWA KLS 7'!$A$2:$D$114,4,FALSE)</f>
        <v>ISLAM</v>
      </c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</row>
    <row r="39" spans="1:16" ht="18" customHeight="1" x14ac:dyDescent="0.25">
      <c r="A39" s="39">
        <v>31</v>
      </c>
      <c r="B39" s="67">
        <f>VLOOKUP(C39,'DATA SISWA KLS 7'!$A$2:$C$114,2,FALSE)</f>
        <v>5550</v>
      </c>
      <c r="C39" s="69" t="s">
        <v>211</v>
      </c>
      <c r="D39" s="77" t="str">
        <f>VLOOKUP(C39,'DATA SISWA KLS 7'!$A$2:$D$159,3,FALSE)</f>
        <v>P</v>
      </c>
      <c r="E39" s="43" t="str">
        <f>VLOOKUP(C39,'DATA SISWA KLS 7'!$A$2:$D$114,4,FALSE)</f>
        <v>ISLAM</v>
      </c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</row>
    <row r="40" spans="1:16" ht="18" customHeight="1" x14ac:dyDescent="0.25">
      <c r="A40" s="39">
        <v>32</v>
      </c>
      <c r="B40" s="67">
        <f>VLOOKUP(C40,'DATA SISWA KLS 7'!$A$2:$C$114,2,FALSE)</f>
        <v>5552</v>
      </c>
      <c r="C40" s="69" t="s">
        <v>212</v>
      </c>
      <c r="D40" s="77" t="str">
        <f>VLOOKUP(C40,'DATA SISWA KLS 7'!$A$2:$D$159,3,FALSE)</f>
        <v>P</v>
      </c>
      <c r="E40" s="43" t="str">
        <f>VLOOKUP(C40,'DATA SISWA KLS 7'!$A$2:$D$114,4,FALSE)</f>
        <v>ISLAM</v>
      </c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</row>
    <row r="41" spans="1:16" ht="18" customHeight="1" x14ac:dyDescent="0.25">
      <c r="A41" s="39">
        <v>33</v>
      </c>
      <c r="B41" s="67">
        <f>VLOOKUP(C41,'DATA SISWA KLS 7'!$A$2:$C$114,2,FALSE)</f>
        <v>5553</v>
      </c>
      <c r="C41" s="69" t="s">
        <v>213</v>
      </c>
      <c r="D41" s="77" t="str">
        <f>VLOOKUP(C41,'DATA SISWA KLS 7'!$A$2:$D$159,3,FALSE)</f>
        <v>P</v>
      </c>
      <c r="E41" s="43" t="str">
        <f>VLOOKUP(C41,'DATA SISWA KLS 7'!$A$2:$D$114,4,FALSE)</f>
        <v>ISLAM</v>
      </c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</row>
    <row r="42" spans="1:16" ht="18" customHeight="1" x14ac:dyDescent="0.25">
      <c r="A42" s="39">
        <v>34</v>
      </c>
      <c r="B42" s="67">
        <f>VLOOKUP(C42,'DATA SISWA KLS 7'!$A$2:$C$114,2,FALSE)</f>
        <v>5554</v>
      </c>
      <c r="C42" s="69" t="s">
        <v>144</v>
      </c>
      <c r="D42" s="77" t="str">
        <f>VLOOKUP(C42,'DATA SISWA KLS 7'!$A$2:$D$159,3,FALSE)</f>
        <v>L</v>
      </c>
      <c r="E42" s="43" t="str">
        <f>VLOOKUP(C42,'DATA SISWA KLS 7'!$A$2:$D$114,4,FALSE)</f>
        <v>ISLAM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</row>
    <row r="43" spans="1:16" ht="18" customHeight="1" x14ac:dyDescent="0.25">
      <c r="A43" s="39">
        <v>35</v>
      </c>
      <c r="B43" s="67">
        <f>VLOOKUP(C43,'DATA SISWA KLS 7'!$A$2:$C$114,2,FALSE)</f>
        <v>5557</v>
      </c>
      <c r="C43" s="69" t="s">
        <v>170</v>
      </c>
      <c r="D43" s="77" t="str">
        <f>VLOOKUP(C43,'DATA SISWA KLS 7'!$A$2:$D$159,3,FALSE)</f>
        <v>P</v>
      </c>
      <c r="E43" s="43" t="str">
        <f>VLOOKUP(C43,'DATA SISWA KLS 7'!$A$2:$D$114,4,FALSE)</f>
        <v>ISLAM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</row>
    <row r="44" spans="1:16" ht="18" customHeight="1" x14ac:dyDescent="0.25">
      <c r="A44" s="39">
        <v>36</v>
      </c>
      <c r="B44" s="67">
        <f>VLOOKUP(C44,'DATA SISWA KLS 7'!$A$2:$C$114,2,FALSE)</f>
        <v>5558</v>
      </c>
      <c r="C44" s="69" t="s">
        <v>193</v>
      </c>
      <c r="D44" s="77" t="str">
        <f>VLOOKUP(C44,'DATA SISWA KLS 7'!$A$2:$D$159,3,FALSE)</f>
        <v>L</v>
      </c>
      <c r="E44" s="43" t="str">
        <f>VLOOKUP(C44,'DATA SISWA KLS 7'!$A$2:$D$114,4,FALSE)</f>
        <v>ISLAM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</row>
    <row r="45" spans="1:16" ht="18" customHeight="1" x14ac:dyDescent="0.25">
      <c r="A45" s="39">
        <v>37</v>
      </c>
      <c r="B45" s="67">
        <f>VLOOKUP(C45,'DATA SISWA KLS 7'!$A$2:$C$114,2,FALSE)</f>
        <v>5559</v>
      </c>
      <c r="C45" s="69" t="s">
        <v>214</v>
      </c>
      <c r="D45" s="77" t="str">
        <f>VLOOKUP(C45,'DATA SISWA KLS 7'!$A$2:$D$159,3,FALSE)</f>
        <v>P</v>
      </c>
      <c r="E45" s="43" t="str">
        <f>VLOOKUP(C45,'DATA SISWA KLS 7'!$A$2:$D$114,4,FALSE)</f>
        <v>ISLAM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</row>
    <row r="46" spans="1:16" ht="18" customHeight="1" x14ac:dyDescent="0.25">
      <c r="A46" s="39">
        <v>38</v>
      </c>
      <c r="B46" s="67"/>
      <c r="C46" s="3"/>
      <c r="D46" s="77"/>
      <c r="E46" s="43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</row>
    <row r="47" spans="1:16" ht="18" customHeight="1" x14ac:dyDescent="0.25">
      <c r="A47" s="39">
        <v>39</v>
      </c>
      <c r="B47" s="67"/>
      <c r="C47" s="44"/>
      <c r="D47" s="80"/>
      <c r="E47" s="43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</row>
    <row r="48" spans="1:16" ht="14.25" customHeight="1" x14ac:dyDescent="0.25">
      <c r="A48" s="50"/>
      <c r="B48" s="51"/>
      <c r="C48" s="10"/>
      <c r="D48" s="52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</row>
    <row r="49" spans="1:16" x14ac:dyDescent="0.25">
      <c r="A49" s="83" t="s">
        <v>6</v>
      </c>
      <c r="B49" s="83"/>
      <c r="C49" s="54">
        <f>COUNTIF(D9:D46,"L")</f>
        <v>18</v>
      </c>
      <c r="D49" s="55"/>
      <c r="E49" s="55"/>
      <c r="F49" s="55" t="s">
        <v>11</v>
      </c>
      <c r="G49" s="55"/>
      <c r="H49" s="55"/>
      <c r="I49" s="55"/>
      <c r="J49" s="55" t="s">
        <v>10</v>
      </c>
      <c r="K49" s="55"/>
      <c r="L49" s="55"/>
      <c r="M49" s="55"/>
      <c r="N49" s="55"/>
      <c r="O49" s="55"/>
      <c r="P49" s="56"/>
    </row>
    <row r="50" spans="1:16" x14ac:dyDescent="0.25">
      <c r="A50" s="83" t="s">
        <v>7</v>
      </c>
      <c r="B50" s="83"/>
      <c r="C50" s="57">
        <f>COUNTIF(D9:D46,"P")</f>
        <v>19</v>
      </c>
      <c r="D50" s="55"/>
      <c r="E50" s="55"/>
      <c r="F50" s="55" t="s">
        <v>12</v>
      </c>
      <c r="G50" s="55"/>
      <c r="H50" s="55"/>
      <c r="I50" s="55"/>
      <c r="J50" s="58" t="s">
        <v>10</v>
      </c>
      <c r="K50" s="58"/>
      <c r="L50" s="58"/>
      <c r="M50" s="58"/>
      <c r="N50" s="58"/>
      <c r="O50" s="58"/>
      <c r="P50" s="58"/>
    </row>
    <row r="51" spans="1:16" x14ac:dyDescent="0.25">
      <c r="A51" s="83" t="s">
        <v>8</v>
      </c>
      <c r="B51" s="83"/>
      <c r="C51" s="54">
        <f>SUM(C49:C50)</f>
        <v>37</v>
      </c>
      <c r="D51" s="55"/>
      <c r="E51" s="55"/>
      <c r="F51" s="84" t="s">
        <v>13</v>
      </c>
      <c r="G51" s="84"/>
      <c r="H51" s="84"/>
      <c r="I51" s="84"/>
      <c r="J51" s="85" t="s">
        <v>10</v>
      </c>
      <c r="K51" s="85"/>
      <c r="L51" s="85"/>
      <c r="M51" s="85"/>
      <c r="N51" s="85"/>
      <c r="O51" s="85"/>
      <c r="P51" s="55"/>
    </row>
    <row r="52" spans="1:16" x14ac:dyDescent="0.25">
      <c r="A52" s="83" t="s">
        <v>9</v>
      </c>
      <c r="B52" s="83"/>
      <c r="C52" s="55" t="str">
        <f>guuru!B11</f>
        <v>Suci Rahayu, S.S</v>
      </c>
      <c r="D52" s="55"/>
      <c r="E52" s="55"/>
      <c r="F52" s="84"/>
      <c r="G52" s="84"/>
      <c r="H52" s="84"/>
      <c r="I52" s="84"/>
      <c r="J52" s="86"/>
      <c r="K52" s="86"/>
      <c r="L52" s="86"/>
      <c r="M52" s="86"/>
      <c r="N52" s="86"/>
      <c r="O52" s="86"/>
      <c r="P52" s="55"/>
    </row>
    <row r="53" spans="1:16" x14ac:dyDescent="0.25">
      <c r="A53" s="55"/>
      <c r="B53" s="55"/>
      <c r="C53" s="55"/>
      <c r="D53" s="55"/>
      <c r="E53" s="55"/>
      <c r="F53" s="55" t="s">
        <v>14</v>
      </c>
      <c r="J53" s="59" t="s">
        <v>10</v>
      </c>
      <c r="K53" s="59"/>
      <c r="L53" s="59"/>
      <c r="M53" s="59"/>
      <c r="N53" s="59"/>
      <c r="O53" s="60"/>
      <c r="P53" s="58"/>
    </row>
    <row r="54" spans="1:16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</row>
  </sheetData>
  <sortState xmlns:xlrd2="http://schemas.microsoft.com/office/spreadsheetml/2017/richdata2" ref="A7:E47">
    <sortCondition ref="C9:C45"/>
  </sortState>
  <mergeCells count="26">
    <mergeCell ref="A7:B7"/>
    <mergeCell ref="C7:C8"/>
    <mergeCell ref="D7:D8"/>
    <mergeCell ref="E7:E8"/>
    <mergeCell ref="F7:F8"/>
    <mergeCell ref="A1:P1"/>
    <mergeCell ref="A2:P2"/>
    <mergeCell ref="A3:P3"/>
    <mergeCell ref="A5:P5"/>
    <mergeCell ref="A6:P6"/>
    <mergeCell ref="M7:M8"/>
    <mergeCell ref="N7:N8"/>
    <mergeCell ref="O7:O8"/>
    <mergeCell ref="P7:P8"/>
    <mergeCell ref="G7:G8"/>
    <mergeCell ref="H7:H8"/>
    <mergeCell ref="I7:I8"/>
    <mergeCell ref="J7:J8"/>
    <mergeCell ref="K7:K8"/>
    <mergeCell ref="L7:L8"/>
    <mergeCell ref="F51:I52"/>
    <mergeCell ref="J51:O52"/>
    <mergeCell ref="A49:B49"/>
    <mergeCell ref="A50:B50"/>
    <mergeCell ref="A51:B51"/>
    <mergeCell ref="A52:B52"/>
  </mergeCells>
  <printOptions horizontalCentered="1"/>
  <pageMargins left="0.35433070866141736" right="0.31496062992125984" top="0.15748031496062992" bottom="0.15748031496062992" header="0.31496062992125984" footer="0.31496062992125984"/>
  <pageSetup paperSize="5" scale="94" orientation="portrait" horizontalDpi="4294967292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1"/>
  <sheetViews>
    <sheetView topLeftCell="A124" zoomScaleNormal="100" workbookViewId="0">
      <selection activeCell="J7" sqref="J7"/>
    </sheetView>
  </sheetViews>
  <sheetFormatPr defaultColWidth="8.85546875" defaultRowHeight="15" x14ac:dyDescent="0.25"/>
  <cols>
    <col min="1" max="1" width="39.28515625" style="38" customWidth="1"/>
    <col min="2" max="2" width="8.140625" style="38" customWidth="1"/>
    <col min="3" max="3" width="8.85546875" style="38"/>
    <col min="4" max="4" width="15.7109375" style="38" customWidth="1"/>
    <col min="5" max="16384" width="8.85546875" style="38"/>
  </cols>
  <sheetData>
    <row r="1" spans="1:6" x14ac:dyDescent="0.25">
      <c r="A1" s="70">
        <v>1</v>
      </c>
      <c r="B1" s="71">
        <v>2</v>
      </c>
      <c r="C1" s="72">
        <v>3</v>
      </c>
    </row>
    <row r="2" spans="1:6" ht="15.75" x14ac:dyDescent="0.25">
      <c r="A2" s="69" t="s">
        <v>134</v>
      </c>
      <c r="B2" s="37">
        <v>5453</v>
      </c>
      <c r="C2" s="37" t="s">
        <v>5</v>
      </c>
      <c r="D2" s="37" t="s">
        <v>218</v>
      </c>
      <c r="F2" s="4"/>
    </row>
    <row r="3" spans="1:6" ht="15.75" x14ac:dyDescent="0.25">
      <c r="A3" s="69" t="s">
        <v>114</v>
      </c>
      <c r="B3" s="37">
        <v>5454</v>
      </c>
      <c r="C3" s="37" t="s">
        <v>4</v>
      </c>
      <c r="D3" s="37" t="s">
        <v>218</v>
      </c>
      <c r="F3" s="4"/>
    </row>
    <row r="4" spans="1:6" ht="15.75" x14ac:dyDescent="0.25">
      <c r="A4" s="69" t="s">
        <v>158</v>
      </c>
      <c r="B4" s="37">
        <v>5455</v>
      </c>
      <c r="C4" s="37" t="s">
        <v>4</v>
      </c>
      <c r="D4" s="37" t="s">
        <v>218</v>
      </c>
      <c r="F4" s="4"/>
    </row>
    <row r="5" spans="1:6" ht="15.75" x14ac:dyDescent="0.25">
      <c r="A5" s="69" t="s">
        <v>107</v>
      </c>
      <c r="B5" s="37">
        <v>5456</v>
      </c>
      <c r="C5" s="37" t="s">
        <v>4</v>
      </c>
      <c r="D5" s="37" t="s">
        <v>218</v>
      </c>
      <c r="F5" s="4"/>
    </row>
    <row r="6" spans="1:6" ht="15.75" x14ac:dyDescent="0.25">
      <c r="A6" s="69" t="s">
        <v>132</v>
      </c>
      <c r="B6" s="37">
        <v>5457</v>
      </c>
      <c r="C6" s="37" t="s">
        <v>5</v>
      </c>
      <c r="D6" s="37" t="s">
        <v>218</v>
      </c>
      <c r="F6" s="4"/>
    </row>
    <row r="7" spans="1:6" ht="15.75" x14ac:dyDescent="0.25">
      <c r="A7" s="69" t="s">
        <v>127</v>
      </c>
      <c r="B7" s="37">
        <v>5458</v>
      </c>
      <c r="C7" s="37" t="s">
        <v>5</v>
      </c>
      <c r="D7" s="37" t="s">
        <v>218</v>
      </c>
      <c r="F7" s="4"/>
    </row>
    <row r="8" spans="1:6" ht="15.75" x14ac:dyDescent="0.25">
      <c r="A8" s="69" t="s">
        <v>148</v>
      </c>
      <c r="B8" s="37">
        <v>5459</v>
      </c>
      <c r="C8" s="37" t="s">
        <v>4</v>
      </c>
      <c r="D8" s="37" t="s">
        <v>218</v>
      </c>
      <c r="F8" s="4"/>
    </row>
    <row r="9" spans="1:6" ht="15.75" x14ac:dyDescent="0.25">
      <c r="A9" s="69" t="s">
        <v>156</v>
      </c>
      <c r="B9" s="37">
        <v>5460</v>
      </c>
      <c r="C9" s="37" t="s">
        <v>4</v>
      </c>
      <c r="D9" s="37" t="s">
        <v>218</v>
      </c>
      <c r="F9" s="4"/>
    </row>
    <row r="10" spans="1:6" ht="15.75" x14ac:dyDescent="0.25">
      <c r="A10" s="69" t="s">
        <v>115</v>
      </c>
      <c r="B10" s="37">
        <v>5461</v>
      </c>
      <c r="C10" s="37" t="s">
        <v>4</v>
      </c>
      <c r="D10" s="37" t="s">
        <v>218</v>
      </c>
      <c r="F10" s="4"/>
    </row>
    <row r="11" spans="1:6" ht="15.75" x14ac:dyDescent="0.25">
      <c r="A11" s="69" t="s">
        <v>175</v>
      </c>
      <c r="B11" s="37">
        <v>5462</v>
      </c>
      <c r="C11" s="37" t="s">
        <v>5</v>
      </c>
      <c r="D11" s="37" t="s">
        <v>218</v>
      </c>
      <c r="F11" s="4"/>
    </row>
    <row r="12" spans="1:6" ht="15.75" x14ac:dyDescent="0.25">
      <c r="A12" s="69" t="s">
        <v>165</v>
      </c>
      <c r="B12" s="37">
        <v>5463</v>
      </c>
      <c r="C12" s="37" t="s">
        <v>5</v>
      </c>
      <c r="D12" s="37" t="s">
        <v>218</v>
      </c>
      <c r="F12" s="4"/>
    </row>
    <row r="13" spans="1:6" ht="15.75" x14ac:dyDescent="0.25">
      <c r="A13" s="69" t="s">
        <v>157</v>
      </c>
      <c r="B13" s="37">
        <v>5464</v>
      </c>
      <c r="C13" s="37" t="s">
        <v>4</v>
      </c>
      <c r="D13" s="37" t="s">
        <v>218</v>
      </c>
      <c r="F13" s="4"/>
    </row>
    <row r="14" spans="1:6" ht="15.75" x14ac:dyDescent="0.25">
      <c r="A14" s="69" t="s">
        <v>136</v>
      </c>
      <c r="B14" s="37">
        <v>5465</v>
      </c>
      <c r="C14" s="37" t="s">
        <v>5</v>
      </c>
      <c r="D14" s="37" t="s">
        <v>218</v>
      </c>
      <c r="F14" s="4"/>
    </row>
    <row r="15" spans="1:6" ht="15.75" x14ac:dyDescent="0.25">
      <c r="A15" s="69" t="s">
        <v>126</v>
      </c>
      <c r="B15" s="37">
        <v>5466</v>
      </c>
      <c r="C15" s="37" t="s">
        <v>5</v>
      </c>
      <c r="D15" s="37" t="s">
        <v>218</v>
      </c>
      <c r="F15" s="4"/>
    </row>
    <row r="16" spans="1:6" ht="15.75" x14ac:dyDescent="0.25">
      <c r="A16" s="69" t="s">
        <v>196</v>
      </c>
      <c r="B16" s="37">
        <v>5467</v>
      </c>
      <c r="C16" s="37" t="s">
        <v>5</v>
      </c>
      <c r="D16" s="37" t="s">
        <v>218</v>
      </c>
      <c r="F16" s="4"/>
    </row>
    <row r="17" spans="1:6" ht="15.75" x14ac:dyDescent="0.25">
      <c r="A17" s="69" t="s">
        <v>119</v>
      </c>
      <c r="B17" s="37">
        <v>5468</v>
      </c>
      <c r="C17" s="37" t="s">
        <v>4</v>
      </c>
      <c r="D17" s="37" t="s">
        <v>218</v>
      </c>
      <c r="F17" s="4"/>
    </row>
    <row r="18" spans="1:6" ht="15.75" x14ac:dyDescent="0.25">
      <c r="A18" s="69" t="s">
        <v>169</v>
      </c>
      <c r="B18" s="37">
        <v>5469</v>
      </c>
      <c r="C18" s="37" t="s">
        <v>5</v>
      </c>
      <c r="D18" s="37" t="s">
        <v>218</v>
      </c>
      <c r="F18" s="4"/>
    </row>
    <row r="19" spans="1:6" ht="15.75" x14ac:dyDescent="0.25">
      <c r="A19" s="69" t="s">
        <v>181</v>
      </c>
      <c r="B19" s="37">
        <v>5470</v>
      </c>
      <c r="C19" s="37" t="s">
        <v>4</v>
      </c>
      <c r="D19" s="37" t="s">
        <v>218</v>
      </c>
      <c r="F19" s="4"/>
    </row>
    <row r="20" spans="1:6" ht="15.75" x14ac:dyDescent="0.25">
      <c r="A20" s="69" t="s">
        <v>106</v>
      </c>
      <c r="B20" s="37">
        <v>5471</v>
      </c>
      <c r="C20" s="37" t="s">
        <v>4</v>
      </c>
      <c r="D20" s="37" t="s">
        <v>218</v>
      </c>
      <c r="F20" s="4"/>
    </row>
    <row r="21" spans="1:6" ht="15.75" x14ac:dyDescent="0.25">
      <c r="A21" s="69" t="s">
        <v>182</v>
      </c>
      <c r="B21" s="37">
        <v>5472</v>
      </c>
      <c r="C21" s="37" t="s">
        <v>4</v>
      </c>
      <c r="D21" s="37" t="s">
        <v>218</v>
      </c>
      <c r="F21" s="4"/>
    </row>
    <row r="22" spans="1:6" ht="15.75" x14ac:dyDescent="0.25">
      <c r="A22" s="69" t="s">
        <v>197</v>
      </c>
      <c r="B22" s="37">
        <v>5473</v>
      </c>
      <c r="C22" s="37" t="s">
        <v>5</v>
      </c>
      <c r="D22" s="37" t="s">
        <v>218</v>
      </c>
      <c r="F22" s="4"/>
    </row>
    <row r="23" spans="1:6" ht="15.75" x14ac:dyDescent="0.25">
      <c r="A23" s="69" t="s">
        <v>146</v>
      </c>
      <c r="B23" s="37">
        <v>5474</v>
      </c>
      <c r="C23" s="37" t="s">
        <v>4</v>
      </c>
      <c r="D23" s="37" t="s">
        <v>218</v>
      </c>
      <c r="F23" s="4"/>
    </row>
    <row r="24" spans="1:6" ht="15.75" x14ac:dyDescent="0.25">
      <c r="A24" s="69" t="s">
        <v>109</v>
      </c>
      <c r="B24" s="37">
        <v>5475</v>
      </c>
      <c r="C24" s="37" t="s">
        <v>4</v>
      </c>
      <c r="D24" s="37" t="s">
        <v>218</v>
      </c>
      <c r="F24" s="4"/>
    </row>
    <row r="25" spans="1:6" ht="15.75" x14ac:dyDescent="0.25">
      <c r="A25" s="69" t="s">
        <v>161</v>
      </c>
      <c r="B25" s="37">
        <v>5476</v>
      </c>
      <c r="C25" s="37" t="s">
        <v>5</v>
      </c>
      <c r="D25" s="37" t="s">
        <v>218</v>
      </c>
      <c r="F25" s="4"/>
    </row>
    <row r="26" spans="1:6" ht="15.75" x14ac:dyDescent="0.25">
      <c r="A26" s="69" t="s">
        <v>120</v>
      </c>
      <c r="B26" s="37">
        <v>5477</v>
      </c>
      <c r="C26" s="37" t="s">
        <v>4</v>
      </c>
      <c r="D26" s="37" t="s">
        <v>218</v>
      </c>
      <c r="F26" s="4"/>
    </row>
    <row r="27" spans="1:6" ht="15.75" x14ac:dyDescent="0.25">
      <c r="A27" s="69" t="s">
        <v>198</v>
      </c>
      <c r="B27" s="37">
        <v>5478</v>
      </c>
      <c r="C27" s="37" t="s">
        <v>5</v>
      </c>
      <c r="D27" s="37" t="s">
        <v>218</v>
      </c>
      <c r="F27" s="4"/>
    </row>
    <row r="28" spans="1:6" ht="15.75" x14ac:dyDescent="0.25">
      <c r="A28" s="69" t="s">
        <v>133</v>
      </c>
      <c r="B28" s="37">
        <v>5479</v>
      </c>
      <c r="C28" s="37" t="s">
        <v>5</v>
      </c>
      <c r="D28" s="37" t="s">
        <v>218</v>
      </c>
      <c r="F28" s="4"/>
    </row>
    <row r="29" spans="1:6" ht="15.75" x14ac:dyDescent="0.25">
      <c r="A29" s="69" t="s">
        <v>180</v>
      </c>
      <c r="B29" s="37">
        <v>5480</v>
      </c>
      <c r="C29" s="37" t="s">
        <v>4</v>
      </c>
      <c r="D29" s="37" t="s">
        <v>218</v>
      </c>
      <c r="F29" s="4"/>
    </row>
    <row r="30" spans="1:6" ht="15.75" x14ac:dyDescent="0.25">
      <c r="A30" s="69" t="s">
        <v>124</v>
      </c>
      <c r="B30" s="37">
        <v>5481</v>
      </c>
      <c r="C30" s="37" t="s">
        <v>5</v>
      </c>
      <c r="D30" s="37" t="s">
        <v>218</v>
      </c>
      <c r="F30" s="4"/>
    </row>
    <row r="31" spans="1:6" ht="15.75" x14ac:dyDescent="0.25">
      <c r="A31" s="69" t="s">
        <v>183</v>
      </c>
      <c r="B31" s="37">
        <v>5482</v>
      </c>
      <c r="C31" s="37" t="s">
        <v>4</v>
      </c>
      <c r="D31" s="37" t="s">
        <v>218</v>
      </c>
      <c r="F31" s="4"/>
    </row>
    <row r="32" spans="1:6" ht="15.75" x14ac:dyDescent="0.25">
      <c r="A32" s="69" t="s">
        <v>143</v>
      </c>
      <c r="B32" s="37">
        <v>5483</v>
      </c>
      <c r="C32" s="37" t="s">
        <v>4</v>
      </c>
      <c r="D32" s="37" t="s">
        <v>218</v>
      </c>
      <c r="F32" s="4"/>
    </row>
    <row r="33" spans="1:6" ht="15.75" x14ac:dyDescent="0.25">
      <c r="A33" s="69" t="s">
        <v>149</v>
      </c>
      <c r="B33" s="37">
        <v>5484</v>
      </c>
      <c r="C33" s="37" t="s">
        <v>4</v>
      </c>
      <c r="D33" s="37" t="s">
        <v>218</v>
      </c>
      <c r="F33" s="4"/>
    </row>
    <row r="34" spans="1:6" ht="15.75" x14ac:dyDescent="0.25">
      <c r="A34" s="69" t="s">
        <v>112</v>
      </c>
      <c r="B34" s="37">
        <v>5485</v>
      </c>
      <c r="C34" s="37" t="s">
        <v>4</v>
      </c>
      <c r="D34" s="37" t="s">
        <v>218</v>
      </c>
      <c r="F34" s="4"/>
    </row>
    <row r="35" spans="1:6" ht="15.75" x14ac:dyDescent="0.25">
      <c r="A35" s="69" t="s">
        <v>150</v>
      </c>
      <c r="B35" s="37">
        <v>5486</v>
      </c>
      <c r="C35" s="37" t="s">
        <v>4</v>
      </c>
      <c r="D35" s="37" t="s">
        <v>218</v>
      </c>
      <c r="F35" s="4"/>
    </row>
    <row r="36" spans="1:6" ht="15.75" x14ac:dyDescent="0.25">
      <c r="A36" s="69" t="s">
        <v>159</v>
      </c>
      <c r="B36" s="37">
        <v>5487</v>
      </c>
      <c r="C36" s="37" t="s">
        <v>4</v>
      </c>
      <c r="D36" s="37" t="s">
        <v>218</v>
      </c>
      <c r="F36" s="4"/>
    </row>
    <row r="37" spans="1:6" ht="15.75" x14ac:dyDescent="0.25">
      <c r="A37" s="69" t="s">
        <v>117</v>
      </c>
      <c r="B37" s="37">
        <v>5488</v>
      </c>
      <c r="C37" s="37" t="s">
        <v>4</v>
      </c>
      <c r="D37" s="37" t="s">
        <v>218</v>
      </c>
      <c r="F37" s="4"/>
    </row>
    <row r="38" spans="1:6" ht="15.75" x14ac:dyDescent="0.25">
      <c r="A38" s="69" t="s">
        <v>151</v>
      </c>
      <c r="B38" s="37">
        <v>5489</v>
      </c>
      <c r="C38" s="37" t="s">
        <v>4</v>
      </c>
      <c r="D38" s="37" t="s">
        <v>218</v>
      </c>
      <c r="F38" s="4"/>
    </row>
    <row r="39" spans="1:6" ht="15.75" x14ac:dyDescent="0.25">
      <c r="A39" s="69" t="s">
        <v>113</v>
      </c>
      <c r="B39" s="37">
        <v>5490</v>
      </c>
      <c r="C39" s="37" t="s">
        <v>4</v>
      </c>
      <c r="D39" s="37" t="s">
        <v>218</v>
      </c>
      <c r="F39" s="4"/>
    </row>
    <row r="40" spans="1:6" ht="15.75" x14ac:dyDescent="0.25">
      <c r="A40" s="69" t="s">
        <v>199</v>
      </c>
      <c r="B40" s="37">
        <v>5491</v>
      </c>
      <c r="C40" s="37" t="s">
        <v>5</v>
      </c>
      <c r="D40" s="37" t="s">
        <v>218</v>
      </c>
      <c r="F40" s="4"/>
    </row>
    <row r="41" spans="1:6" ht="15.75" x14ac:dyDescent="0.25">
      <c r="A41" s="69" t="s">
        <v>172</v>
      </c>
      <c r="B41" s="37">
        <v>5492</v>
      </c>
      <c r="C41" s="37" t="s">
        <v>5</v>
      </c>
      <c r="D41" s="37" t="s">
        <v>218</v>
      </c>
      <c r="F41" s="4"/>
    </row>
    <row r="42" spans="1:6" ht="15.75" x14ac:dyDescent="0.25">
      <c r="A42" s="69" t="s">
        <v>166</v>
      </c>
      <c r="B42" s="37">
        <v>5493</v>
      </c>
      <c r="C42" s="37" t="s">
        <v>5</v>
      </c>
      <c r="D42" s="37" t="s">
        <v>218</v>
      </c>
      <c r="F42" s="4"/>
    </row>
    <row r="43" spans="1:6" ht="15.75" x14ac:dyDescent="0.25">
      <c r="A43" s="69" t="s">
        <v>184</v>
      </c>
      <c r="B43" s="37">
        <v>5494</v>
      </c>
      <c r="C43" s="37" t="s">
        <v>4</v>
      </c>
      <c r="D43" s="37" t="s">
        <v>218</v>
      </c>
      <c r="F43" s="4"/>
    </row>
    <row r="44" spans="1:6" ht="15.75" x14ac:dyDescent="0.25">
      <c r="A44" s="69" t="s">
        <v>162</v>
      </c>
      <c r="B44" s="37">
        <v>5495</v>
      </c>
      <c r="C44" s="37" t="s">
        <v>5</v>
      </c>
      <c r="D44" s="37" t="s">
        <v>218</v>
      </c>
      <c r="F44" s="4"/>
    </row>
    <row r="45" spans="1:6" ht="15.75" x14ac:dyDescent="0.25">
      <c r="A45" s="69" t="s">
        <v>163</v>
      </c>
      <c r="B45" s="37">
        <v>5496</v>
      </c>
      <c r="C45" s="37" t="s">
        <v>5</v>
      </c>
      <c r="D45" s="37" t="s">
        <v>218</v>
      </c>
      <c r="F45" s="4"/>
    </row>
    <row r="46" spans="1:6" ht="15.75" x14ac:dyDescent="0.25">
      <c r="A46" s="69" t="s">
        <v>200</v>
      </c>
      <c r="B46" s="37">
        <v>5497</v>
      </c>
      <c r="C46" s="37" t="s">
        <v>5</v>
      </c>
      <c r="D46" s="37" t="s">
        <v>218</v>
      </c>
      <c r="F46" s="4"/>
    </row>
    <row r="47" spans="1:6" ht="15.75" x14ac:dyDescent="0.25">
      <c r="A47" s="69" t="s">
        <v>121</v>
      </c>
      <c r="B47" s="37">
        <v>5498</v>
      </c>
      <c r="C47" s="37" t="s">
        <v>4</v>
      </c>
      <c r="D47" s="37" t="s">
        <v>219</v>
      </c>
      <c r="F47" s="4"/>
    </row>
    <row r="48" spans="1:6" ht="15.75" x14ac:dyDescent="0.25">
      <c r="A48" s="69" t="s">
        <v>201</v>
      </c>
      <c r="B48" s="37">
        <v>5499</v>
      </c>
      <c r="C48" s="37" t="s">
        <v>5</v>
      </c>
      <c r="D48" s="37" t="s">
        <v>218</v>
      </c>
      <c r="F48" s="4"/>
    </row>
    <row r="49" spans="1:6" ht="15.75" x14ac:dyDescent="0.25">
      <c r="A49" s="69" t="s">
        <v>202</v>
      </c>
      <c r="B49" s="37">
        <v>5500</v>
      </c>
      <c r="C49" s="37" t="s">
        <v>5</v>
      </c>
      <c r="D49" s="37" t="s">
        <v>218</v>
      </c>
      <c r="F49" s="4"/>
    </row>
    <row r="50" spans="1:6" ht="15.75" x14ac:dyDescent="0.25">
      <c r="A50" s="69" t="s">
        <v>176</v>
      </c>
      <c r="B50" s="37">
        <v>5501</v>
      </c>
      <c r="C50" s="37" t="s">
        <v>5</v>
      </c>
      <c r="D50" s="37" t="s">
        <v>218</v>
      </c>
      <c r="F50" s="4"/>
    </row>
    <row r="51" spans="1:6" ht="15.75" x14ac:dyDescent="0.25">
      <c r="A51" s="69" t="s">
        <v>152</v>
      </c>
      <c r="B51" s="37">
        <v>5502</v>
      </c>
      <c r="C51" s="37" t="s">
        <v>4</v>
      </c>
      <c r="D51" s="37" t="s">
        <v>218</v>
      </c>
      <c r="F51" s="4"/>
    </row>
    <row r="52" spans="1:6" ht="15.75" x14ac:dyDescent="0.25">
      <c r="A52" s="69" t="s">
        <v>168</v>
      </c>
      <c r="B52" s="37">
        <v>5503</v>
      </c>
      <c r="C52" s="37" t="s">
        <v>5</v>
      </c>
      <c r="D52" s="37" t="s">
        <v>218</v>
      </c>
      <c r="F52" s="4"/>
    </row>
    <row r="53" spans="1:6" ht="15.75" x14ac:dyDescent="0.25">
      <c r="A53" s="69" t="s">
        <v>185</v>
      </c>
      <c r="B53" s="37">
        <v>5504</v>
      </c>
      <c r="C53" s="37" t="s">
        <v>4</v>
      </c>
      <c r="D53" s="37" t="s">
        <v>218</v>
      </c>
      <c r="F53" s="4"/>
    </row>
    <row r="54" spans="1:6" ht="15.75" x14ac:dyDescent="0.25">
      <c r="A54" s="69" t="s">
        <v>129</v>
      </c>
      <c r="B54" s="37">
        <v>5505</v>
      </c>
      <c r="C54" s="37" t="s">
        <v>5</v>
      </c>
      <c r="D54" s="37" t="s">
        <v>218</v>
      </c>
      <c r="F54" s="4"/>
    </row>
    <row r="55" spans="1:6" ht="15.75" x14ac:dyDescent="0.25">
      <c r="A55" s="69" t="s">
        <v>203</v>
      </c>
      <c r="B55" s="37">
        <v>5506</v>
      </c>
      <c r="C55" s="37" t="s">
        <v>5</v>
      </c>
      <c r="D55" s="37" t="s">
        <v>220</v>
      </c>
      <c r="F55" s="4"/>
    </row>
    <row r="56" spans="1:6" ht="15.75" x14ac:dyDescent="0.25">
      <c r="A56" s="69" t="s">
        <v>135</v>
      </c>
      <c r="B56" s="37">
        <v>5507</v>
      </c>
      <c r="C56" s="37" t="s">
        <v>5</v>
      </c>
      <c r="D56" s="37" t="s">
        <v>218</v>
      </c>
      <c r="F56" s="4"/>
    </row>
    <row r="57" spans="1:6" ht="15.75" x14ac:dyDescent="0.25">
      <c r="A57" s="69" t="s">
        <v>204</v>
      </c>
      <c r="B57" s="37">
        <v>5508</v>
      </c>
      <c r="C57" s="37" t="s">
        <v>5</v>
      </c>
      <c r="D57" s="37" t="s">
        <v>220</v>
      </c>
      <c r="F57" s="4"/>
    </row>
    <row r="58" spans="1:6" ht="15.75" x14ac:dyDescent="0.25">
      <c r="A58" s="69" t="s">
        <v>178</v>
      </c>
      <c r="B58" s="37">
        <v>5509</v>
      </c>
      <c r="C58" s="37" t="s">
        <v>4</v>
      </c>
      <c r="D58" s="37" t="s">
        <v>218</v>
      </c>
      <c r="F58" s="4"/>
    </row>
    <row r="59" spans="1:6" ht="15.75" x14ac:dyDescent="0.25">
      <c r="A59" s="69" t="s">
        <v>139</v>
      </c>
      <c r="B59" s="37">
        <v>5510</v>
      </c>
      <c r="C59" s="37" t="s">
        <v>5</v>
      </c>
      <c r="D59" s="37" t="s">
        <v>218</v>
      </c>
      <c r="F59" s="4"/>
    </row>
    <row r="60" spans="1:6" ht="15.75" x14ac:dyDescent="0.25">
      <c r="A60" s="69" t="s">
        <v>186</v>
      </c>
      <c r="B60" s="37">
        <v>5511</v>
      </c>
      <c r="C60" s="37" t="s">
        <v>4</v>
      </c>
      <c r="D60" s="37" t="s">
        <v>218</v>
      </c>
      <c r="F60" s="4"/>
    </row>
    <row r="61" spans="1:6" ht="15.75" x14ac:dyDescent="0.25">
      <c r="A61" s="69" t="s">
        <v>142</v>
      </c>
      <c r="B61" s="37">
        <v>5512</v>
      </c>
      <c r="C61" s="37" t="s">
        <v>4</v>
      </c>
      <c r="D61" s="37" t="s">
        <v>218</v>
      </c>
      <c r="F61" s="4"/>
    </row>
    <row r="62" spans="1:6" ht="15.75" x14ac:dyDescent="0.25">
      <c r="A62" s="69" t="s">
        <v>187</v>
      </c>
      <c r="B62" s="37">
        <v>5513</v>
      </c>
      <c r="C62" s="37" t="s">
        <v>4</v>
      </c>
      <c r="D62" s="37" t="s">
        <v>218</v>
      </c>
      <c r="F62" s="4"/>
    </row>
    <row r="63" spans="1:6" ht="15.75" x14ac:dyDescent="0.25">
      <c r="A63" s="69" t="s">
        <v>188</v>
      </c>
      <c r="B63" s="37">
        <v>5514</v>
      </c>
      <c r="C63" s="37" t="s">
        <v>4</v>
      </c>
      <c r="D63" s="37" t="s">
        <v>218</v>
      </c>
      <c r="F63" s="4"/>
    </row>
    <row r="64" spans="1:6" ht="15.75" x14ac:dyDescent="0.25">
      <c r="A64" s="69" t="s">
        <v>189</v>
      </c>
      <c r="B64" s="37">
        <v>5515</v>
      </c>
      <c r="C64" s="37" t="s">
        <v>4</v>
      </c>
      <c r="D64" s="37" t="s">
        <v>218</v>
      </c>
      <c r="F64" s="4"/>
    </row>
    <row r="65" spans="1:6" ht="15.75" x14ac:dyDescent="0.25">
      <c r="A65" s="69" t="s">
        <v>123</v>
      </c>
      <c r="B65" s="37">
        <v>5516</v>
      </c>
      <c r="C65" s="37" t="s">
        <v>4</v>
      </c>
      <c r="D65" s="37" t="s">
        <v>218</v>
      </c>
      <c r="F65" s="4"/>
    </row>
    <row r="66" spans="1:6" ht="15.75" x14ac:dyDescent="0.25">
      <c r="A66" s="69" t="s">
        <v>118</v>
      </c>
      <c r="B66" s="37">
        <v>5517</v>
      </c>
      <c r="C66" s="37" t="s">
        <v>4</v>
      </c>
      <c r="D66" s="37" t="s">
        <v>218</v>
      </c>
      <c r="F66" s="4"/>
    </row>
    <row r="67" spans="1:6" ht="15.75" x14ac:dyDescent="0.25">
      <c r="A67" s="69" t="s">
        <v>147</v>
      </c>
      <c r="B67" s="37">
        <v>5518</v>
      </c>
      <c r="C67" s="37" t="s">
        <v>4</v>
      </c>
      <c r="D67" s="37" t="s">
        <v>218</v>
      </c>
      <c r="F67" s="4"/>
    </row>
    <row r="68" spans="1:6" ht="15.75" x14ac:dyDescent="0.25">
      <c r="A68" s="69" t="s">
        <v>153</v>
      </c>
      <c r="B68" s="37">
        <v>5519</v>
      </c>
      <c r="C68" s="37" t="s">
        <v>4</v>
      </c>
      <c r="D68" s="37" t="s">
        <v>218</v>
      </c>
      <c r="F68" s="4"/>
    </row>
    <row r="69" spans="1:6" ht="15.75" x14ac:dyDescent="0.25">
      <c r="A69" s="69" t="s">
        <v>190</v>
      </c>
      <c r="B69" s="37">
        <v>5520</v>
      </c>
      <c r="C69" s="37" t="s">
        <v>4</v>
      </c>
      <c r="D69" s="37" t="s">
        <v>218</v>
      </c>
      <c r="F69" s="4"/>
    </row>
    <row r="70" spans="1:6" ht="15.75" x14ac:dyDescent="0.25">
      <c r="A70" s="69" t="s">
        <v>191</v>
      </c>
      <c r="B70" s="37">
        <v>5521</v>
      </c>
      <c r="C70" s="37" t="s">
        <v>4</v>
      </c>
      <c r="D70" s="37" t="s">
        <v>218</v>
      </c>
      <c r="F70" s="4"/>
    </row>
    <row r="71" spans="1:6" ht="15.75" x14ac:dyDescent="0.25">
      <c r="A71" s="69" t="s">
        <v>154</v>
      </c>
      <c r="B71" s="37">
        <v>5522</v>
      </c>
      <c r="C71" s="37" t="s">
        <v>4</v>
      </c>
      <c r="D71" s="37" t="s">
        <v>218</v>
      </c>
      <c r="F71" s="4"/>
    </row>
    <row r="72" spans="1:6" ht="15.75" x14ac:dyDescent="0.25">
      <c r="A72" s="69" t="s">
        <v>140</v>
      </c>
      <c r="B72" s="37">
        <v>5523</v>
      </c>
      <c r="C72" s="37" t="s">
        <v>5</v>
      </c>
      <c r="D72" s="37" t="s">
        <v>218</v>
      </c>
      <c r="F72" s="4"/>
    </row>
    <row r="73" spans="1:6" ht="15.75" x14ac:dyDescent="0.25">
      <c r="A73" s="69" t="s">
        <v>174</v>
      </c>
      <c r="B73" s="37">
        <v>5524</v>
      </c>
      <c r="C73" s="37" t="s">
        <v>5</v>
      </c>
      <c r="D73" s="37" t="s">
        <v>218</v>
      </c>
      <c r="F73" s="4"/>
    </row>
    <row r="74" spans="1:6" ht="15.75" x14ac:dyDescent="0.25">
      <c r="A74" s="69" t="s">
        <v>177</v>
      </c>
      <c r="B74" s="37">
        <v>5525</v>
      </c>
      <c r="C74" s="37" t="s">
        <v>5</v>
      </c>
      <c r="D74" s="37" t="s">
        <v>218</v>
      </c>
      <c r="F74" s="4"/>
    </row>
    <row r="75" spans="1:6" ht="15.75" x14ac:dyDescent="0.25">
      <c r="A75" s="69" t="s">
        <v>205</v>
      </c>
      <c r="B75" s="37">
        <v>5526</v>
      </c>
      <c r="C75" s="37" t="s">
        <v>5</v>
      </c>
      <c r="D75" s="37" t="s">
        <v>218</v>
      </c>
      <c r="F75" s="4"/>
    </row>
    <row r="76" spans="1:6" ht="15.75" x14ac:dyDescent="0.25">
      <c r="A76" s="69" t="s">
        <v>131</v>
      </c>
      <c r="B76" s="37">
        <v>5527</v>
      </c>
      <c r="C76" s="37" t="s">
        <v>5</v>
      </c>
      <c r="D76" s="37" t="s">
        <v>218</v>
      </c>
      <c r="F76" s="4"/>
    </row>
    <row r="77" spans="1:6" ht="15.75" x14ac:dyDescent="0.25">
      <c r="A77" s="69" t="s">
        <v>206</v>
      </c>
      <c r="B77" s="37">
        <v>5528</v>
      </c>
      <c r="C77" s="37" t="s">
        <v>5</v>
      </c>
      <c r="D77" s="37" t="s">
        <v>218</v>
      </c>
      <c r="F77" s="4"/>
    </row>
    <row r="78" spans="1:6" ht="15.75" x14ac:dyDescent="0.25">
      <c r="A78" s="69" t="s">
        <v>141</v>
      </c>
      <c r="B78" s="37">
        <v>5529</v>
      </c>
      <c r="C78" s="37" t="s">
        <v>5</v>
      </c>
      <c r="D78" s="37" t="s">
        <v>218</v>
      </c>
      <c r="F78" s="4"/>
    </row>
    <row r="79" spans="1:6" ht="15.75" x14ac:dyDescent="0.25">
      <c r="A79" s="69" t="s">
        <v>137</v>
      </c>
      <c r="B79" s="37">
        <v>5530</v>
      </c>
      <c r="C79" s="37" t="s">
        <v>5</v>
      </c>
      <c r="D79" s="37" t="s">
        <v>218</v>
      </c>
      <c r="E79" s="73"/>
      <c r="F79" s="4"/>
    </row>
    <row r="80" spans="1:6" ht="15.75" x14ac:dyDescent="0.25">
      <c r="A80" s="69" t="s">
        <v>208</v>
      </c>
      <c r="B80" s="37">
        <v>5531</v>
      </c>
      <c r="C80" s="37" t="s">
        <v>5</v>
      </c>
      <c r="D80" s="37" t="s">
        <v>218</v>
      </c>
      <c r="F80" s="4"/>
    </row>
    <row r="81" spans="1:6" ht="15.75" x14ac:dyDescent="0.25">
      <c r="A81" s="69" t="s">
        <v>209</v>
      </c>
      <c r="B81" s="37">
        <v>5532</v>
      </c>
      <c r="C81" s="37" t="s">
        <v>4</v>
      </c>
      <c r="D81" s="37" t="s">
        <v>218</v>
      </c>
      <c r="F81" s="4"/>
    </row>
    <row r="82" spans="1:6" ht="15.75" x14ac:dyDescent="0.25">
      <c r="A82" s="69" t="s">
        <v>194</v>
      </c>
      <c r="B82" s="37">
        <v>5533</v>
      </c>
      <c r="C82" s="37" t="s">
        <v>4</v>
      </c>
      <c r="D82" s="37" t="s">
        <v>218</v>
      </c>
      <c r="F82" s="4"/>
    </row>
    <row r="83" spans="1:6" ht="15.75" x14ac:dyDescent="0.25">
      <c r="A83" s="69" t="s">
        <v>207</v>
      </c>
      <c r="B83" s="37">
        <v>5534</v>
      </c>
      <c r="C83" s="37" t="s">
        <v>5</v>
      </c>
      <c r="D83" s="37" t="s">
        <v>218</v>
      </c>
      <c r="F83" s="4"/>
    </row>
    <row r="84" spans="1:6" ht="15.75" x14ac:dyDescent="0.25">
      <c r="A84" s="69" t="s">
        <v>130</v>
      </c>
      <c r="B84" s="37">
        <v>5535</v>
      </c>
      <c r="C84" s="37" t="s">
        <v>5</v>
      </c>
      <c r="D84" s="37" t="s">
        <v>218</v>
      </c>
      <c r="F84" s="4"/>
    </row>
    <row r="85" spans="1:6" ht="15.75" x14ac:dyDescent="0.25">
      <c r="A85" s="69" t="s">
        <v>128</v>
      </c>
      <c r="B85" s="37">
        <v>5536</v>
      </c>
      <c r="C85" s="37" t="s">
        <v>5</v>
      </c>
      <c r="D85" s="37" t="s">
        <v>218</v>
      </c>
      <c r="F85" s="4"/>
    </row>
    <row r="86" spans="1:6" ht="15.75" x14ac:dyDescent="0.25">
      <c r="A86" s="69" t="s">
        <v>122</v>
      </c>
      <c r="B86" s="37">
        <v>5537</v>
      </c>
      <c r="C86" s="37" t="s">
        <v>4</v>
      </c>
      <c r="D86" s="37" t="s">
        <v>218</v>
      </c>
      <c r="F86" s="4"/>
    </row>
    <row r="87" spans="1:6" ht="15.75" x14ac:dyDescent="0.25">
      <c r="A87" s="69" t="s">
        <v>108</v>
      </c>
      <c r="B87" s="37">
        <v>5538</v>
      </c>
      <c r="C87" s="37" t="s">
        <v>4</v>
      </c>
      <c r="D87" s="37" t="s">
        <v>218</v>
      </c>
      <c r="F87" s="4"/>
    </row>
    <row r="88" spans="1:6" ht="15.75" x14ac:dyDescent="0.25">
      <c r="A88" s="69" t="s">
        <v>210</v>
      </c>
      <c r="B88" s="37">
        <v>5539</v>
      </c>
      <c r="C88" s="37" t="s">
        <v>5</v>
      </c>
      <c r="D88" s="37" t="s">
        <v>218</v>
      </c>
      <c r="F88" s="4"/>
    </row>
    <row r="89" spans="1:6" ht="15.75" x14ac:dyDescent="0.25">
      <c r="A89" s="69" t="s">
        <v>110</v>
      </c>
      <c r="B89" s="37">
        <v>5540</v>
      </c>
      <c r="C89" s="37" t="s">
        <v>4</v>
      </c>
      <c r="D89" s="37" t="s">
        <v>218</v>
      </c>
      <c r="F89" s="4"/>
    </row>
    <row r="90" spans="1:6" ht="15.75" x14ac:dyDescent="0.25">
      <c r="A90" s="69" t="s">
        <v>155</v>
      </c>
      <c r="B90" s="37">
        <v>5541</v>
      </c>
      <c r="C90" s="37" t="s">
        <v>4</v>
      </c>
      <c r="D90" s="37" t="s">
        <v>218</v>
      </c>
      <c r="F90" s="4"/>
    </row>
    <row r="91" spans="1:6" ht="15.75" x14ac:dyDescent="0.25">
      <c r="A91" s="69" t="s">
        <v>111</v>
      </c>
      <c r="B91" s="37">
        <v>5542</v>
      </c>
      <c r="C91" s="37" t="s">
        <v>4</v>
      </c>
      <c r="D91" s="37" t="s">
        <v>218</v>
      </c>
      <c r="F91" s="4"/>
    </row>
    <row r="92" spans="1:6" ht="15.75" x14ac:dyDescent="0.25">
      <c r="A92" s="69" t="s">
        <v>116</v>
      </c>
      <c r="B92" s="37">
        <v>5543</v>
      </c>
      <c r="C92" s="37" t="s">
        <v>4</v>
      </c>
      <c r="D92" s="37" t="s">
        <v>218</v>
      </c>
      <c r="F92" s="4"/>
    </row>
    <row r="93" spans="1:6" ht="15.75" x14ac:dyDescent="0.25">
      <c r="A93" s="69" t="s">
        <v>195</v>
      </c>
      <c r="B93" s="37">
        <v>5544</v>
      </c>
      <c r="C93" s="37" t="s">
        <v>5</v>
      </c>
      <c r="D93" s="37" t="s">
        <v>218</v>
      </c>
      <c r="F93" s="4"/>
    </row>
    <row r="94" spans="1:6" ht="15.75" x14ac:dyDescent="0.25">
      <c r="A94" s="69" t="s">
        <v>192</v>
      </c>
      <c r="B94" s="37">
        <v>5545</v>
      </c>
      <c r="C94" s="37" t="s">
        <v>4</v>
      </c>
      <c r="D94" s="37" t="s">
        <v>218</v>
      </c>
      <c r="F94" s="4"/>
    </row>
    <row r="95" spans="1:6" ht="15.75" x14ac:dyDescent="0.25">
      <c r="A95" s="69" t="s">
        <v>138</v>
      </c>
      <c r="B95" s="37">
        <v>5546</v>
      </c>
      <c r="C95" s="37" t="s">
        <v>5</v>
      </c>
      <c r="D95" s="37" t="s">
        <v>218</v>
      </c>
      <c r="F95" s="4"/>
    </row>
    <row r="96" spans="1:6" ht="15.75" x14ac:dyDescent="0.25">
      <c r="A96" s="69" t="s">
        <v>125</v>
      </c>
      <c r="B96" s="37">
        <v>5547</v>
      </c>
      <c r="C96" s="37" t="s">
        <v>5</v>
      </c>
      <c r="D96" s="37" t="s">
        <v>218</v>
      </c>
      <c r="F96" s="4"/>
    </row>
    <row r="97" spans="1:6" ht="15.75" x14ac:dyDescent="0.25">
      <c r="A97" s="69" t="s">
        <v>173</v>
      </c>
      <c r="B97" s="37">
        <v>5548</v>
      </c>
      <c r="C97" s="37" t="s">
        <v>5</v>
      </c>
      <c r="D97" s="37" t="s">
        <v>218</v>
      </c>
      <c r="F97" s="4"/>
    </row>
    <row r="98" spans="1:6" ht="15.75" x14ac:dyDescent="0.25">
      <c r="A98" s="69" t="s">
        <v>145</v>
      </c>
      <c r="B98" s="37">
        <v>5549</v>
      </c>
      <c r="C98" s="37" t="s">
        <v>4</v>
      </c>
      <c r="D98" s="37" t="s">
        <v>218</v>
      </c>
      <c r="F98" s="4"/>
    </row>
    <row r="99" spans="1:6" ht="15.75" x14ac:dyDescent="0.25">
      <c r="A99" s="69" t="s">
        <v>211</v>
      </c>
      <c r="B99" s="37">
        <v>5550</v>
      </c>
      <c r="C99" s="37" t="s">
        <v>5</v>
      </c>
      <c r="D99" s="37" t="s">
        <v>218</v>
      </c>
      <c r="F99" s="4"/>
    </row>
    <row r="100" spans="1:6" ht="15.75" x14ac:dyDescent="0.25">
      <c r="A100" s="69" t="s">
        <v>167</v>
      </c>
      <c r="B100" s="37">
        <v>5551</v>
      </c>
      <c r="C100" s="37" t="s">
        <v>5</v>
      </c>
      <c r="D100" s="37" t="s">
        <v>218</v>
      </c>
      <c r="F100" s="4"/>
    </row>
    <row r="101" spans="1:6" ht="15.75" x14ac:dyDescent="0.25">
      <c r="A101" s="69" t="s">
        <v>212</v>
      </c>
      <c r="B101" s="37">
        <v>5552</v>
      </c>
      <c r="C101" s="37" t="s">
        <v>5</v>
      </c>
      <c r="D101" s="37" t="s">
        <v>218</v>
      </c>
      <c r="F101" s="4"/>
    </row>
    <row r="102" spans="1:6" ht="15.75" x14ac:dyDescent="0.25">
      <c r="A102" s="69" t="s">
        <v>213</v>
      </c>
      <c r="B102" s="37">
        <v>5553</v>
      </c>
      <c r="C102" s="37" t="s">
        <v>5</v>
      </c>
      <c r="D102" s="37" t="s">
        <v>218</v>
      </c>
      <c r="F102" s="4"/>
    </row>
    <row r="103" spans="1:6" ht="15.75" x14ac:dyDescent="0.25">
      <c r="A103" s="69" t="s">
        <v>144</v>
      </c>
      <c r="B103" s="37">
        <v>5554</v>
      </c>
      <c r="C103" s="37" t="s">
        <v>4</v>
      </c>
      <c r="D103" s="37" t="s">
        <v>218</v>
      </c>
      <c r="F103" s="4"/>
    </row>
    <row r="104" spans="1:6" ht="15.75" x14ac:dyDescent="0.25">
      <c r="A104" s="69" t="s">
        <v>179</v>
      </c>
      <c r="B104" s="37">
        <v>5555</v>
      </c>
      <c r="C104" s="37" t="s">
        <v>4</v>
      </c>
      <c r="D104" s="37" t="s">
        <v>218</v>
      </c>
      <c r="F104" s="4"/>
    </row>
    <row r="105" spans="1:6" ht="15.75" x14ac:dyDescent="0.25">
      <c r="A105" s="69" t="s">
        <v>164</v>
      </c>
      <c r="B105" s="37">
        <v>5556</v>
      </c>
      <c r="C105" s="37" t="s">
        <v>5</v>
      </c>
      <c r="D105" s="37" t="s">
        <v>218</v>
      </c>
      <c r="F105" s="4"/>
    </row>
    <row r="106" spans="1:6" ht="15.75" x14ac:dyDescent="0.25">
      <c r="A106" s="69" t="s">
        <v>170</v>
      </c>
      <c r="B106" s="37">
        <v>5557</v>
      </c>
      <c r="C106" s="37" t="s">
        <v>5</v>
      </c>
      <c r="D106" s="37" t="s">
        <v>218</v>
      </c>
      <c r="F106" s="4"/>
    </row>
    <row r="107" spans="1:6" ht="15.75" x14ac:dyDescent="0.25">
      <c r="A107" s="69" t="s">
        <v>193</v>
      </c>
      <c r="B107" s="37">
        <v>5558</v>
      </c>
      <c r="C107" s="37" t="s">
        <v>4</v>
      </c>
      <c r="D107" s="37" t="s">
        <v>218</v>
      </c>
      <c r="F107" s="4"/>
    </row>
    <row r="108" spans="1:6" ht="15.75" x14ac:dyDescent="0.25">
      <c r="A108" s="69" t="s">
        <v>214</v>
      </c>
      <c r="B108" s="37">
        <v>5559</v>
      </c>
      <c r="C108" s="37" t="s">
        <v>5</v>
      </c>
      <c r="D108" s="37" t="s">
        <v>218</v>
      </c>
      <c r="F108" s="4"/>
    </row>
    <row r="109" spans="1:6" ht="15.75" x14ac:dyDescent="0.25">
      <c r="A109" s="69" t="s">
        <v>160</v>
      </c>
      <c r="B109" s="37">
        <v>5560</v>
      </c>
      <c r="C109" s="37" t="s">
        <v>5</v>
      </c>
      <c r="D109" s="37" t="s">
        <v>218</v>
      </c>
      <c r="F109" s="4"/>
    </row>
    <row r="110" spans="1:6" ht="15.75" x14ac:dyDescent="0.25">
      <c r="A110" s="69" t="s">
        <v>171</v>
      </c>
      <c r="B110" s="37">
        <v>5561</v>
      </c>
      <c r="C110" s="37" t="s">
        <v>5</v>
      </c>
      <c r="D110" s="37" t="s">
        <v>218</v>
      </c>
      <c r="F110" s="4"/>
    </row>
    <row r="111" spans="1:6" ht="15.75" x14ac:dyDescent="0.25">
      <c r="A111" s="75"/>
      <c r="B111" s="37"/>
      <c r="C111" s="76"/>
      <c r="D111" s="37" t="s">
        <v>218</v>
      </c>
      <c r="F111" s="4"/>
    </row>
    <row r="112" spans="1:6" ht="15.75" x14ac:dyDescent="0.25">
      <c r="A112" s="29"/>
      <c r="B112" s="37"/>
      <c r="C112" s="37"/>
      <c r="D112" s="37" t="s">
        <v>218</v>
      </c>
      <c r="F112" s="4"/>
    </row>
    <row r="113" spans="1:6" ht="15.75" x14ac:dyDescent="0.25">
      <c r="A113" s="29"/>
      <c r="B113" s="37"/>
      <c r="C113" s="37"/>
      <c r="D113" s="37" t="s">
        <v>218</v>
      </c>
      <c r="F113" s="4"/>
    </row>
    <row r="114" spans="1:6" ht="15.75" x14ac:dyDescent="0.25">
      <c r="A114" s="49"/>
      <c r="B114" s="37"/>
      <c r="C114" s="37"/>
      <c r="D114" s="37" t="s">
        <v>218</v>
      </c>
      <c r="F114" s="4"/>
    </row>
    <row r="115" spans="1:6" ht="15.75" x14ac:dyDescent="0.25">
      <c r="A115" s="61"/>
      <c r="B115" s="37"/>
      <c r="C115" s="37"/>
      <c r="D115" s="37" t="s">
        <v>218</v>
      </c>
      <c r="F115" s="4"/>
    </row>
    <row r="116" spans="1:6" ht="15.75" x14ac:dyDescent="0.25">
      <c r="A116" s="49"/>
      <c r="B116" s="37"/>
      <c r="C116" s="37"/>
      <c r="D116" s="37" t="s">
        <v>218</v>
      </c>
      <c r="F116" s="4"/>
    </row>
    <row r="117" spans="1:6" ht="15.75" x14ac:dyDescent="0.25">
      <c r="A117" s="3"/>
      <c r="B117" s="37"/>
      <c r="C117" s="37"/>
      <c r="D117" s="37" t="s">
        <v>218</v>
      </c>
      <c r="F117" s="4"/>
    </row>
    <row r="118" spans="1:6" ht="15.75" x14ac:dyDescent="0.25">
      <c r="A118" s="49"/>
      <c r="B118" s="37"/>
      <c r="C118" s="37"/>
      <c r="D118" s="37" t="s">
        <v>218</v>
      </c>
      <c r="F118" s="4"/>
    </row>
    <row r="119" spans="1:6" ht="15.75" x14ac:dyDescent="0.25">
      <c r="A119" s="29"/>
      <c r="B119" s="37"/>
      <c r="C119" s="37"/>
      <c r="D119" s="37" t="s">
        <v>218</v>
      </c>
      <c r="F119" s="4"/>
    </row>
    <row r="120" spans="1:6" ht="15.75" x14ac:dyDescent="0.25">
      <c r="A120" s="49"/>
      <c r="B120" s="37"/>
      <c r="C120" s="37"/>
      <c r="D120" s="37" t="s">
        <v>218</v>
      </c>
      <c r="F120" s="4"/>
    </row>
    <row r="121" spans="1:6" ht="15.75" x14ac:dyDescent="0.25">
      <c r="A121" s="29"/>
      <c r="B121" s="37"/>
      <c r="C121" s="37"/>
      <c r="D121" s="37" t="s">
        <v>218</v>
      </c>
      <c r="F121" s="4"/>
    </row>
    <row r="122" spans="1:6" ht="15.75" x14ac:dyDescent="0.25">
      <c r="A122" s="49"/>
      <c r="B122" s="37"/>
      <c r="C122" s="37"/>
      <c r="D122" s="37" t="s">
        <v>218</v>
      </c>
      <c r="F122" s="4"/>
    </row>
    <row r="123" spans="1:6" ht="15.75" x14ac:dyDescent="0.25">
      <c r="A123" s="29"/>
      <c r="B123" s="37"/>
      <c r="C123" s="37"/>
      <c r="D123" s="37" t="s">
        <v>218</v>
      </c>
      <c r="F123" s="4"/>
    </row>
    <row r="124" spans="1:6" ht="15.75" x14ac:dyDescent="0.25">
      <c r="A124" s="13"/>
      <c r="B124" s="37"/>
      <c r="C124" s="37"/>
      <c r="D124" s="37" t="s">
        <v>218</v>
      </c>
      <c r="F124" s="4"/>
    </row>
    <row r="125" spans="1:6" ht="15.75" x14ac:dyDescent="0.25">
      <c r="A125" s="30"/>
      <c r="B125" s="37"/>
      <c r="C125" s="37"/>
      <c r="D125" s="37" t="s">
        <v>218</v>
      </c>
      <c r="F125" s="4"/>
    </row>
    <row r="126" spans="1:6" ht="15.75" x14ac:dyDescent="0.25">
      <c r="A126" s="13"/>
      <c r="B126" s="37"/>
      <c r="C126" s="37"/>
      <c r="D126" s="37" t="s">
        <v>218</v>
      </c>
      <c r="F126" s="4"/>
    </row>
    <row r="127" spans="1:6" ht="15.75" x14ac:dyDescent="0.25">
      <c r="A127" s="49"/>
      <c r="B127" s="37"/>
      <c r="C127" s="37"/>
      <c r="D127" s="37" t="s">
        <v>218</v>
      </c>
      <c r="F127" s="4"/>
    </row>
    <row r="128" spans="1:6" ht="15.75" x14ac:dyDescent="0.25">
      <c r="A128" s="61"/>
      <c r="B128" s="37"/>
      <c r="C128" s="37"/>
      <c r="D128" s="37" t="s">
        <v>218</v>
      </c>
      <c r="F128" s="4"/>
    </row>
    <row r="129" spans="1:6" ht="15.75" x14ac:dyDescent="0.25">
      <c r="A129" s="61"/>
      <c r="B129" s="37"/>
      <c r="C129" s="37"/>
      <c r="D129" s="37" t="s">
        <v>218</v>
      </c>
      <c r="F129" s="4"/>
    </row>
    <row r="130" spans="1:6" ht="15.75" x14ac:dyDescent="0.25">
      <c r="A130" s="29"/>
      <c r="B130" s="37"/>
      <c r="C130" s="37"/>
      <c r="D130" s="37" t="s">
        <v>218</v>
      </c>
      <c r="F130" s="4"/>
    </row>
    <row r="131" spans="1:6" ht="15.75" x14ac:dyDescent="0.25">
      <c r="A131" s="61"/>
      <c r="B131" s="37"/>
      <c r="C131" s="37"/>
      <c r="D131" s="37" t="s">
        <v>218</v>
      </c>
      <c r="F131" s="4"/>
    </row>
    <row r="132" spans="1:6" ht="15.75" x14ac:dyDescent="0.25">
      <c r="A132" s="49"/>
      <c r="B132" s="37"/>
      <c r="C132" s="37"/>
      <c r="D132" s="37" t="s">
        <v>218</v>
      </c>
      <c r="F132" s="4"/>
    </row>
    <row r="133" spans="1:6" ht="15.75" x14ac:dyDescent="0.25">
      <c r="A133" s="28"/>
      <c r="B133" s="37"/>
      <c r="C133" s="37"/>
      <c r="D133" s="37" t="s">
        <v>218</v>
      </c>
      <c r="F133" s="4"/>
    </row>
    <row r="134" spans="1:6" ht="15.75" x14ac:dyDescent="0.25">
      <c r="A134" s="45"/>
      <c r="B134" s="37"/>
      <c r="C134" s="37"/>
      <c r="D134" s="37" t="s">
        <v>218</v>
      </c>
      <c r="E134" s="73"/>
      <c r="F134" s="4"/>
    </row>
    <row r="135" spans="1:6" ht="15.75" x14ac:dyDescent="0.25">
      <c r="A135" s="13"/>
      <c r="B135" s="37"/>
      <c r="C135" s="37"/>
      <c r="D135" s="37" t="s">
        <v>218</v>
      </c>
      <c r="F135" s="4"/>
    </row>
    <row r="136" spans="1:6" ht="15.75" x14ac:dyDescent="0.25">
      <c r="A136" s="49"/>
      <c r="B136" s="37"/>
      <c r="C136" s="37"/>
      <c r="D136" s="37" t="s">
        <v>218</v>
      </c>
      <c r="F136" s="4"/>
    </row>
    <row r="137" spans="1:6" ht="15.75" x14ac:dyDescent="0.25">
      <c r="A137" s="31"/>
      <c r="B137" s="37"/>
      <c r="C137" s="37"/>
      <c r="D137" s="37"/>
      <c r="F137" s="4"/>
    </row>
    <row r="138" spans="1:6" ht="15.75" x14ac:dyDescent="0.25">
      <c r="A138" s="44"/>
      <c r="B138" s="37"/>
      <c r="C138" s="37"/>
      <c r="D138" s="37"/>
      <c r="F138" s="4"/>
    </row>
    <row r="139" spans="1:6" ht="15.75" x14ac:dyDescent="0.25">
      <c r="A139" s="44"/>
      <c r="B139" s="37"/>
      <c r="C139" s="37"/>
      <c r="D139" s="37"/>
      <c r="F139" s="4"/>
    </row>
    <row r="140" spans="1:6" ht="15.75" x14ac:dyDescent="0.25">
      <c r="A140" s="44"/>
      <c r="B140" s="37"/>
      <c r="C140" s="37"/>
      <c r="D140" s="37"/>
      <c r="F140" s="4"/>
    </row>
    <row r="141" spans="1:6" ht="15.75" x14ac:dyDescent="0.25">
      <c r="A141" s="44"/>
      <c r="B141" s="37"/>
      <c r="C141" s="37"/>
      <c r="D141" s="37"/>
      <c r="F141" s="4"/>
    </row>
    <row r="142" spans="1:6" ht="15.75" x14ac:dyDescent="0.25">
      <c r="A142" s="44"/>
      <c r="B142" s="37"/>
      <c r="C142" s="37"/>
      <c r="D142" s="37"/>
      <c r="F142" s="4"/>
    </row>
    <row r="143" spans="1:6" ht="15.75" x14ac:dyDescent="0.25">
      <c r="A143" s="44"/>
      <c r="B143" s="37"/>
      <c r="C143" s="37"/>
      <c r="D143" s="37"/>
      <c r="F143" s="4"/>
    </row>
    <row r="144" spans="1:6" ht="15.75" x14ac:dyDescent="0.25">
      <c r="A144" s="44"/>
      <c r="B144" s="37"/>
      <c r="C144" s="37"/>
      <c r="D144" s="37"/>
      <c r="F144" s="4"/>
    </row>
    <row r="145" spans="1:4" ht="15.75" x14ac:dyDescent="0.25">
      <c r="A145" s="68"/>
      <c r="B145" s="37"/>
      <c r="C145" s="37"/>
      <c r="D145" s="37"/>
    </row>
    <row r="146" spans="1:4" ht="15.75" x14ac:dyDescent="0.25">
      <c r="A146" s="68"/>
      <c r="B146" s="37"/>
      <c r="C146" s="74"/>
      <c r="D146" s="37"/>
    </row>
    <row r="147" spans="1:4" ht="15.75" x14ac:dyDescent="0.25">
      <c r="A147" s="68"/>
      <c r="B147" s="37"/>
      <c r="C147" s="74"/>
      <c r="D147" s="37"/>
    </row>
    <row r="148" spans="1:4" ht="15.75" x14ac:dyDescent="0.25">
      <c r="A148" s="68"/>
      <c r="B148" s="37"/>
      <c r="C148" s="74"/>
      <c r="D148" s="37"/>
    </row>
    <row r="149" spans="1:4" ht="15.75" x14ac:dyDescent="0.25">
      <c r="A149" s="68"/>
      <c r="B149" s="37"/>
      <c r="C149" s="74"/>
      <c r="D149" s="37"/>
    </row>
    <row r="150" spans="1:4" ht="15.75" x14ac:dyDescent="0.25">
      <c r="A150" s="68"/>
      <c r="B150" s="37"/>
      <c r="C150" s="74"/>
      <c r="D150" s="37"/>
    </row>
    <row r="151" spans="1:4" ht="15.75" x14ac:dyDescent="0.25">
      <c r="A151" s="68"/>
      <c r="B151" s="37"/>
      <c r="C151" s="74"/>
      <c r="D151" s="37"/>
    </row>
    <row r="152" spans="1:4" ht="15.75" x14ac:dyDescent="0.25">
      <c r="A152" s="68"/>
      <c r="B152" s="37"/>
      <c r="C152" s="74"/>
      <c r="D152" s="37"/>
    </row>
    <row r="153" spans="1:4" ht="15.75" x14ac:dyDescent="0.25">
      <c r="A153" s="68"/>
      <c r="B153" s="37"/>
      <c r="C153" s="74"/>
      <c r="D153" s="37"/>
    </row>
    <row r="154" spans="1:4" ht="15.75" x14ac:dyDescent="0.25">
      <c r="A154" s="68"/>
      <c r="B154" s="37"/>
      <c r="C154" s="74"/>
      <c r="D154" s="37"/>
    </row>
    <row r="155" spans="1:4" ht="15.75" x14ac:dyDescent="0.25">
      <c r="A155" s="68"/>
      <c r="B155" s="37"/>
      <c r="C155" s="74"/>
      <c r="D155" s="37"/>
    </row>
    <row r="156" spans="1:4" ht="15.75" x14ac:dyDescent="0.25">
      <c r="A156" s="68"/>
      <c r="B156" s="37"/>
      <c r="C156" s="74"/>
      <c r="D156" s="37"/>
    </row>
    <row r="157" spans="1:4" ht="15.75" x14ac:dyDescent="0.25">
      <c r="A157" s="68"/>
      <c r="B157" s="37"/>
      <c r="C157" s="74"/>
      <c r="D157" s="37"/>
    </row>
    <row r="158" spans="1:4" ht="15.75" x14ac:dyDescent="0.25">
      <c r="A158" s="68"/>
      <c r="B158" s="37"/>
      <c r="C158" s="74"/>
      <c r="D158" s="37"/>
    </row>
    <row r="159" spans="1:4" ht="15.75" x14ac:dyDescent="0.25">
      <c r="A159" s="68"/>
      <c r="B159" s="37"/>
      <c r="C159" s="74"/>
      <c r="D159" s="37"/>
    </row>
    <row r="160" spans="1:4" ht="15.75" x14ac:dyDescent="0.25">
      <c r="A160" s="68"/>
      <c r="B160" s="37"/>
      <c r="C160" s="74"/>
      <c r="D160" s="37"/>
    </row>
    <row r="161" spans="1:4" ht="15.75" x14ac:dyDescent="0.25">
      <c r="A161" s="68"/>
      <c r="B161" s="37"/>
      <c r="C161" s="74"/>
      <c r="D161" s="37"/>
    </row>
  </sheetData>
  <autoFilter ref="A1:D136" xr:uid="{00000000-0009-0000-0000-000004000000}">
    <sortState xmlns:xlrd2="http://schemas.microsoft.com/office/spreadsheetml/2017/richdata2" ref="A2:D136">
      <sortCondition ref="A1:A136"/>
    </sortState>
  </autoFilter>
  <sortState xmlns:xlrd2="http://schemas.microsoft.com/office/spreadsheetml/2017/richdata2" ref="A2:A45">
    <sortCondition ref="A2"/>
  </sortState>
  <phoneticPr fontId="26" type="noConversion"/>
  <conditionalFormatting sqref="A1 A111:A1048576">
    <cfRule type="duplicateValues" dxfId="2" priority="1"/>
    <cfRule type="duplicateValues" dxfId="1" priority="2"/>
  </conditionalFormatting>
  <conditionalFormatting sqref="A145:A161 C145:C161">
    <cfRule type="duplicateValues" dxfId="0" priority="8"/>
  </conditionalFormatting>
  <printOptions horizontalCentered="1"/>
  <pageMargins left="0.70866141732283472" right="0.70866141732283472" top="0.55118110236220474" bottom="0.15748031496062992" header="0.31496062992125984" footer="0.31496062992125984"/>
  <pageSetup paperSize="120" orientation="portrait" horizontalDpi="4294967293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6"/>
  <sheetViews>
    <sheetView topLeftCell="C1" workbookViewId="0">
      <selection activeCell="E16" activeCellId="2" sqref="K16 G16 E16"/>
    </sheetView>
  </sheetViews>
  <sheetFormatPr defaultRowHeight="15" x14ac:dyDescent="0.25"/>
  <sheetData>
    <row r="1" spans="1:27" x14ac:dyDescent="0.25">
      <c r="A1" s="6">
        <v>1</v>
      </c>
      <c r="B1" s="6">
        <v>2</v>
      </c>
      <c r="C1" s="6">
        <v>3</v>
      </c>
      <c r="D1" s="6">
        <v>4</v>
      </c>
      <c r="E1" s="6">
        <v>5</v>
      </c>
      <c r="F1" s="6">
        <v>6</v>
      </c>
      <c r="G1" s="6">
        <v>7</v>
      </c>
      <c r="H1" s="6">
        <v>8</v>
      </c>
      <c r="I1" s="6">
        <v>9</v>
      </c>
      <c r="J1" s="6">
        <v>10</v>
      </c>
      <c r="K1" s="6">
        <v>11</v>
      </c>
      <c r="L1" s="6">
        <v>12</v>
      </c>
      <c r="M1" s="6">
        <v>13</v>
      </c>
      <c r="N1" s="6">
        <v>14</v>
      </c>
      <c r="O1" s="6">
        <v>15</v>
      </c>
      <c r="P1" s="6">
        <v>16</v>
      </c>
      <c r="Q1" s="6">
        <v>17</v>
      </c>
      <c r="R1" s="6">
        <v>18</v>
      </c>
      <c r="S1" s="6">
        <v>19</v>
      </c>
      <c r="T1" s="6">
        <v>20</v>
      </c>
      <c r="U1" s="6">
        <v>21</v>
      </c>
      <c r="V1" s="6">
        <v>22</v>
      </c>
      <c r="W1" s="6">
        <v>23</v>
      </c>
      <c r="X1" s="6">
        <v>24</v>
      </c>
      <c r="Y1" s="6">
        <v>25</v>
      </c>
      <c r="Z1" s="6">
        <v>26</v>
      </c>
      <c r="AA1" s="6">
        <v>27</v>
      </c>
    </row>
    <row r="2" spans="1:27" x14ac:dyDescent="0.25">
      <c r="A2" s="16">
        <v>78</v>
      </c>
      <c r="B2" s="16">
        <v>84</v>
      </c>
      <c r="C2" s="16">
        <v>80</v>
      </c>
      <c r="D2" s="16">
        <v>82</v>
      </c>
      <c r="E2" s="16">
        <v>90</v>
      </c>
      <c r="F2" s="16">
        <v>80</v>
      </c>
      <c r="G2" s="16">
        <v>88</v>
      </c>
      <c r="H2" s="16">
        <v>77</v>
      </c>
      <c r="I2" s="16">
        <v>80</v>
      </c>
      <c r="J2" s="16">
        <v>82</v>
      </c>
      <c r="K2" s="16">
        <v>92</v>
      </c>
      <c r="L2" s="16">
        <v>84</v>
      </c>
      <c r="M2" s="16">
        <v>80</v>
      </c>
      <c r="N2" s="16">
        <v>80</v>
      </c>
      <c r="O2" s="16">
        <v>78</v>
      </c>
      <c r="P2" s="16">
        <v>86</v>
      </c>
      <c r="Q2" s="16">
        <v>78</v>
      </c>
      <c r="R2" s="16">
        <v>78</v>
      </c>
      <c r="S2" s="16">
        <v>78</v>
      </c>
      <c r="T2" s="16">
        <v>75</v>
      </c>
      <c r="U2" s="16">
        <v>86</v>
      </c>
      <c r="V2" s="16">
        <v>80</v>
      </c>
      <c r="W2" s="16">
        <v>80</v>
      </c>
      <c r="X2" s="16">
        <v>80</v>
      </c>
      <c r="Y2" s="16">
        <v>78</v>
      </c>
      <c r="Z2" s="16">
        <v>80</v>
      </c>
      <c r="AA2" s="16">
        <v>76</v>
      </c>
    </row>
    <row r="3" spans="1:27" x14ac:dyDescent="0.25">
      <c r="A3" s="16">
        <v>86</v>
      </c>
      <c r="B3" s="16">
        <v>87</v>
      </c>
      <c r="C3" s="16">
        <v>84</v>
      </c>
      <c r="D3" s="16">
        <v>87</v>
      </c>
      <c r="E3" s="16">
        <v>87</v>
      </c>
      <c r="F3" s="16">
        <v>86</v>
      </c>
      <c r="G3" s="16">
        <v>88</v>
      </c>
      <c r="H3" s="16">
        <v>86</v>
      </c>
      <c r="I3" s="16">
        <v>87</v>
      </c>
      <c r="J3" s="16">
        <v>87</v>
      </c>
      <c r="K3" s="16">
        <v>87</v>
      </c>
      <c r="L3" s="16">
        <v>86</v>
      </c>
      <c r="M3" s="16">
        <v>83</v>
      </c>
      <c r="N3" s="16">
        <v>85</v>
      </c>
      <c r="O3" s="16">
        <v>85</v>
      </c>
      <c r="P3" s="16">
        <v>86</v>
      </c>
      <c r="Q3" s="16">
        <v>84</v>
      </c>
      <c r="R3" s="16">
        <v>86</v>
      </c>
      <c r="S3" s="16">
        <v>83</v>
      </c>
      <c r="T3" s="16">
        <v>78</v>
      </c>
      <c r="U3" s="16">
        <v>85</v>
      </c>
      <c r="V3" s="16">
        <v>85</v>
      </c>
      <c r="W3" s="16">
        <v>82</v>
      </c>
      <c r="X3" s="16">
        <v>84</v>
      </c>
      <c r="Y3" s="16">
        <v>85</v>
      </c>
      <c r="Z3" s="16">
        <v>83</v>
      </c>
      <c r="AA3" s="16">
        <v>81</v>
      </c>
    </row>
    <row r="4" spans="1:27" x14ac:dyDescent="0.25">
      <c r="A4" s="16">
        <v>83</v>
      </c>
      <c r="B4" s="16">
        <v>83</v>
      </c>
      <c r="C4" s="16">
        <v>80</v>
      </c>
      <c r="D4" s="16">
        <v>85</v>
      </c>
      <c r="E4" s="16">
        <v>87</v>
      </c>
      <c r="F4" s="16">
        <v>82</v>
      </c>
      <c r="G4" s="16">
        <v>84</v>
      </c>
      <c r="H4" s="16">
        <v>80</v>
      </c>
      <c r="I4" s="16">
        <v>83</v>
      </c>
      <c r="J4" s="16">
        <v>80</v>
      </c>
      <c r="K4" s="16">
        <v>82</v>
      </c>
      <c r="L4" s="16">
        <v>82</v>
      </c>
      <c r="M4" s="16">
        <v>80</v>
      </c>
      <c r="N4" s="16">
        <v>84</v>
      </c>
      <c r="O4" s="16">
        <v>80</v>
      </c>
      <c r="P4" s="16">
        <v>82</v>
      </c>
      <c r="Q4" s="16">
        <v>82</v>
      </c>
      <c r="R4" s="16">
        <v>80</v>
      </c>
      <c r="S4" s="16">
        <v>82</v>
      </c>
      <c r="T4" s="16">
        <v>78</v>
      </c>
      <c r="U4" s="16">
        <v>83</v>
      </c>
      <c r="V4" s="16">
        <v>83</v>
      </c>
      <c r="W4" s="16">
        <v>78</v>
      </c>
      <c r="X4" s="16">
        <v>80</v>
      </c>
      <c r="Y4" s="16">
        <v>83</v>
      </c>
      <c r="Z4" s="16">
        <v>78</v>
      </c>
      <c r="AA4" s="16">
        <v>78</v>
      </c>
    </row>
    <row r="5" spans="1:27" x14ac:dyDescent="0.25">
      <c r="A5" s="16">
        <v>78</v>
      </c>
      <c r="B5" s="16">
        <v>78</v>
      </c>
      <c r="C5" s="16">
        <v>80</v>
      </c>
      <c r="D5" s="16">
        <v>75</v>
      </c>
      <c r="E5" s="16">
        <v>75</v>
      </c>
      <c r="F5" s="16">
        <v>77</v>
      </c>
      <c r="G5" s="16">
        <v>78</v>
      </c>
      <c r="H5" s="16">
        <v>74</v>
      </c>
      <c r="I5" s="16">
        <v>84</v>
      </c>
      <c r="J5" s="16">
        <v>78</v>
      </c>
      <c r="K5" s="16">
        <v>77</v>
      </c>
      <c r="L5" s="16">
        <v>76</v>
      </c>
      <c r="M5" s="16">
        <v>77</v>
      </c>
      <c r="N5" s="16">
        <v>75</v>
      </c>
      <c r="O5" s="16">
        <v>76</v>
      </c>
      <c r="P5" s="16">
        <v>81</v>
      </c>
      <c r="Q5" s="16">
        <v>78</v>
      </c>
      <c r="R5" s="16">
        <v>76</v>
      </c>
      <c r="S5" s="16">
        <v>76</v>
      </c>
      <c r="T5" s="16">
        <v>73</v>
      </c>
      <c r="U5" s="16">
        <v>75</v>
      </c>
      <c r="V5" s="16">
        <v>77</v>
      </c>
      <c r="W5" s="16">
        <v>76</v>
      </c>
      <c r="X5" s="16">
        <v>76</v>
      </c>
      <c r="Y5" s="16">
        <v>77</v>
      </c>
      <c r="Z5" s="16">
        <v>74</v>
      </c>
      <c r="AA5" s="16">
        <v>74</v>
      </c>
    </row>
    <row r="6" spans="1:27" x14ac:dyDescent="0.25">
      <c r="A6" s="16">
        <v>71</v>
      </c>
      <c r="B6" s="16">
        <v>82</v>
      </c>
      <c r="C6" s="16">
        <v>72</v>
      </c>
      <c r="D6" s="16">
        <v>71</v>
      </c>
      <c r="E6" s="16">
        <v>75</v>
      </c>
      <c r="F6" s="16">
        <v>75</v>
      </c>
      <c r="G6" s="16">
        <v>80</v>
      </c>
      <c r="H6" s="16">
        <v>70</v>
      </c>
      <c r="I6" s="16">
        <v>71</v>
      </c>
      <c r="J6" s="16">
        <v>73</v>
      </c>
      <c r="K6" s="16">
        <v>79</v>
      </c>
      <c r="L6" s="16">
        <v>85</v>
      </c>
      <c r="M6" s="16">
        <v>80</v>
      </c>
      <c r="N6" s="16">
        <v>70</v>
      </c>
      <c r="O6" s="16">
        <v>72</v>
      </c>
      <c r="P6" s="16">
        <v>71</v>
      </c>
      <c r="Q6" s="16">
        <v>73</v>
      </c>
      <c r="R6" s="16">
        <v>75</v>
      </c>
      <c r="S6" s="16">
        <v>74</v>
      </c>
      <c r="T6" s="16">
        <v>70</v>
      </c>
      <c r="U6" s="16">
        <v>80</v>
      </c>
      <c r="V6" s="16">
        <v>71</v>
      </c>
      <c r="W6" s="16">
        <v>70</v>
      </c>
      <c r="X6" s="16">
        <v>70</v>
      </c>
      <c r="Y6" s="16">
        <v>80</v>
      </c>
      <c r="Z6" s="16">
        <v>70</v>
      </c>
      <c r="AA6" s="16">
        <v>72</v>
      </c>
    </row>
    <row r="7" spans="1:27" x14ac:dyDescent="0.25">
      <c r="A7" s="16">
        <v>85</v>
      </c>
      <c r="B7" s="16">
        <v>84</v>
      </c>
      <c r="C7" s="16">
        <v>80</v>
      </c>
      <c r="D7" s="16">
        <v>78</v>
      </c>
      <c r="E7" s="16">
        <v>83</v>
      </c>
      <c r="F7" s="16">
        <v>82</v>
      </c>
      <c r="G7" s="16">
        <v>86</v>
      </c>
      <c r="H7" s="16">
        <v>75</v>
      </c>
      <c r="I7" s="16">
        <v>78</v>
      </c>
      <c r="J7" s="16">
        <v>77</v>
      </c>
      <c r="K7" s="16">
        <v>84</v>
      </c>
      <c r="L7" s="16">
        <v>81</v>
      </c>
      <c r="M7" s="16">
        <v>76</v>
      </c>
      <c r="N7" s="16">
        <v>82</v>
      </c>
      <c r="O7" s="16">
        <v>78</v>
      </c>
      <c r="P7" s="16">
        <v>79</v>
      </c>
      <c r="Q7" s="16">
        <v>80</v>
      </c>
      <c r="R7" s="16">
        <v>82</v>
      </c>
      <c r="S7" s="16">
        <v>84</v>
      </c>
      <c r="T7" s="16">
        <v>75</v>
      </c>
      <c r="U7" s="16">
        <v>83</v>
      </c>
      <c r="V7" s="16">
        <v>82</v>
      </c>
      <c r="W7" s="16">
        <v>77</v>
      </c>
      <c r="X7" s="16">
        <v>76</v>
      </c>
      <c r="Y7" s="16">
        <v>81</v>
      </c>
      <c r="Z7" s="16">
        <v>80</v>
      </c>
      <c r="AA7" s="16">
        <v>78</v>
      </c>
    </row>
    <row r="8" spans="1:27" x14ac:dyDescent="0.25">
      <c r="A8" s="16">
        <v>83</v>
      </c>
      <c r="B8" s="16">
        <v>80</v>
      </c>
      <c r="C8" s="16">
        <v>84</v>
      </c>
      <c r="D8" s="16">
        <v>83</v>
      </c>
      <c r="E8" s="16">
        <v>85</v>
      </c>
      <c r="F8" s="16">
        <v>82</v>
      </c>
      <c r="G8" s="16">
        <v>81</v>
      </c>
      <c r="H8" s="16">
        <v>76</v>
      </c>
      <c r="I8" s="16">
        <v>82</v>
      </c>
      <c r="J8" s="16">
        <v>82</v>
      </c>
      <c r="K8" s="16">
        <v>83</v>
      </c>
      <c r="L8" s="16">
        <v>83</v>
      </c>
      <c r="M8" s="16">
        <v>81</v>
      </c>
      <c r="N8" s="16">
        <v>82</v>
      </c>
      <c r="O8" s="16">
        <v>78</v>
      </c>
      <c r="P8" s="16">
        <v>83</v>
      </c>
      <c r="Q8" s="16">
        <v>82</v>
      </c>
      <c r="R8" s="16">
        <v>83</v>
      </c>
      <c r="S8" s="16">
        <v>84</v>
      </c>
      <c r="T8" s="16">
        <v>76</v>
      </c>
      <c r="U8" s="16">
        <v>81</v>
      </c>
      <c r="V8" s="16">
        <v>83</v>
      </c>
      <c r="W8" s="16">
        <v>81</v>
      </c>
      <c r="X8" s="16">
        <v>80</v>
      </c>
      <c r="Y8" s="16">
        <v>81</v>
      </c>
      <c r="Z8" s="16">
        <v>80</v>
      </c>
      <c r="AA8" s="16">
        <v>79</v>
      </c>
    </row>
    <row r="9" spans="1:27" x14ac:dyDescent="0.25">
      <c r="A9" s="16">
        <v>82</v>
      </c>
      <c r="B9" s="16">
        <v>83</v>
      </c>
      <c r="C9" s="16">
        <v>85</v>
      </c>
      <c r="D9" s="16">
        <v>84</v>
      </c>
      <c r="E9" s="16">
        <v>85</v>
      </c>
      <c r="F9" s="16">
        <v>85</v>
      </c>
      <c r="G9" s="16">
        <v>85</v>
      </c>
      <c r="H9" s="16">
        <v>81</v>
      </c>
      <c r="I9" s="16">
        <v>83</v>
      </c>
      <c r="J9" s="16">
        <v>83</v>
      </c>
      <c r="K9" s="16">
        <v>84</v>
      </c>
      <c r="L9" s="16">
        <v>85</v>
      </c>
      <c r="M9" s="16">
        <v>80</v>
      </c>
      <c r="N9" s="16">
        <v>83</v>
      </c>
      <c r="O9" s="16">
        <v>80</v>
      </c>
      <c r="P9" s="16">
        <v>83</v>
      </c>
      <c r="Q9" s="16">
        <v>83</v>
      </c>
      <c r="R9" s="16">
        <v>84</v>
      </c>
      <c r="S9" s="16">
        <v>85</v>
      </c>
      <c r="T9" s="16">
        <v>80</v>
      </c>
      <c r="U9" s="16">
        <v>81</v>
      </c>
      <c r="V9" s="16">
        <v>83</v>
      </c>
      <c r="W9" s="16">
        <v>80</v>
      </c>
      <c r="X9" s="16">
        <v>80</v>
      </c>
      <c r="Y9" s="16">
        <v>82</v>
      </c>
      <c r="Z9" s="16">
        <v>82</v>
      </c>
      <c r="AA9" s="16">
        <v>80</v>
      </c>
    </row>
    <row r="10" spans="1:27" x14ac:dyDescent="0.25">
      <c r="A10" s="16">
        <v>78</v>
      </c>
      <c r="B10" s="16">
        <v>78</v>
      </c>
      <c r="C10" s="16">
        <v>78</v>
      </c>
      <c r="D10" s="16">
        <v>77</v>
      </c>
      <c r="E10" s="16">
        <v>78</v>
      </c>
      <c r="F10" s="16">
        <v>78</v>
      </c>
      <c r="G10" s="16">
        <v>78</v>
      </c>
      <c r="H10" s="16">
        <v>77</v>
      </c>
      <c r="I10" s="16">
        <v>77</v>
      </c>
      <c r="J10" s="16">
        <v>79</v>
      </c>
      <c r="K10" s="16">
        <v>79</v>
      </c>
      <c r="L10" s="16">
        <v>77</v>
      </c>
      <c r="M10" s="16">
        <v>79</v>
      </c>
      <c r="N10" s="16">
        <v>77</v>
      </c>
      <c r="O10" s="16">
        <v>77</v>
      </c>
      <c r="P10" s="16">
        <v>80</v>
      </c>
      <c r="Q10" s="16">
        <v>77</v>
      </c>
      <c r="R10" s="16">
        <v>79</v>
      </c>
      <c r="S10" s="16">
        <v>79</v>
      </c>
      <c r="T10" s="16">
        <v>77</v>
      </c>
      <c r="U10" s="16">
        <v>78</v>
      </c>
      <c r="V10" s="16">
        <v>78</v>
      </c>
      <c r="W10" s="16">
        <v>77</v>
      </c>
      <c r="X10" s="16">
        <v>78</v>
      </c>
      <c r="Y10" s="16">
        <v>78</v>
      </c>
      <c r="Z10" s="16">
        <v>77</v>
      </c>
      <c r="AA10" s="16">
        <v>77</v>
      </c>
    </row>
    <row r="11" spans="1:27" x14ac:dyDescent="0.25">
      <c r="A11" s="16">
        <v>80</v>
      </c>
      <c r="B11" s="16">
        <v>79</v>
      </c>
      <c r="C11" s="16">
        <v>79</v>
      </c>
      <c r="D11" s="16">
        <v>78</v>
      </c>
      <c r="E11" s="16">
        <v>81</v>
      </c>
      <c r="F11" s="16">
        <v>80</v>
      </c>
      <c r="G11" s="16">
        <v>82</v>
      </c>
      <c r="H11" s="16">
        <v>76</v>
      </c>
      <c r="I11" s="16">
        <v>80</v>
      </c>
      <c r="J11" s="16">
        <v>79</v>
      </c>
      <c r="K11" s="16">
        <v>81</v>
      </c>
      <c r="L11" s="16">
        <v>80</v>
      </c>
      <c r="M11" s="16">
        <v>79</v>
      </c>
      <c r="N11" s="16">
        <v>80</v>
      </c>
      <c r="O11" s="16">
        <v>78</v>
      </c>
      <c r="P11" s="16">
        <v>80</v>
      </c>
      <c r="Q11" s="16">
        <v>78</v>
      </c>
      <c r="R11" s="16">
        <v>79</v>
      </c>
      <c r="S11" s="16">
        <v>80</v>
      </c>
      <c r="T11" s="16">
        <v>77</v>
      </c>
      <c r="U11" s="16">
        <v>80</v>
      </c>
      <c r="V11" s="16">
        <v>80</v>
      </c>
      <c r="W11" s="16">
        <v>78</v>
      </c>
      <c r="X11" s="16">
        <v>78</v>
      </c>
      <c r="Y11" s="16">
        <v>79</v>
      </c>
      <c r="Z11" s="16">
        <v>78</v>
      </c>
      <c r="AA11" s="16">
        <v>79</v>
      </c>
    </row>
    <row r="12" spans="1:27" x14ac:dyDescent="0.25">
      <c r="A12" s="16">
        <v>83</v>
      </c>
      <c r="B12" s="16">
        <v>83</v>
      </c>
      <c r="C12" s="16">
        <v>85</v>
      </c>
      <c r="D12" s="16">
        <v>83</v>
      </c>
      <c r="E12" s="16">
        <v>85</v>
      </c>
      <c r="F12" s="16">
        <v>85</v>
      </c>
      <c r="G12" s="16">
        <v>85</v>
      </c>
      <c r="H12" s="16">
        <v>82</v>
      </c>
      <c r="I12" s="16">
        <v>82</v>
      </c>
      <c r="J12" s="16">
        <v>83</v>
      </c>
      <c r="K12" s="16">
        <v>84</v>
      </c>
      <c r="L12" s="16">
        <v>85</v>
      </c>
      <c r="M12" s="16">
        <v>80</v>
      </c>
      <c r="N12" s="16">
        <v>83</v>
      </c>
      <c r="O12" s="16">
        <v>81</v>
      </c>
      <c r="P12" s="16">
        <v>83</v>
      </c>
      <c r="Q12" s="16">
        <v>83</v>
      </c>
      <c r="R12" s="16">
        <v>84</v>
      </c>
      <c r="S12" s="16">
        <v>85</v>
      </c>
      <c r="T12" s="16">
        <v>80</v>
      </c>
      <c r="U12" s="16">
        <v>82</v>
      </c>
      <c r="V12" s="16">
        <v>83</v>
      </c>
      <c r="W12" s="16">
        <v>80</v>
      </c>
      <c r="X12" s="16">
        <v>80</v>
      </c>
      <c r="Y12" s="16">
        <v>82</v>
      </c>
      <c r="Z12" s="16">
        <v>82</v>
      </c>
      <c r="AA12" s="16">
        <v>80</v>
      </c>
    </row>
    <row r="13" spans="1:27" x14ac:dyDescent="0.25">
      <c r="A13" s="16">
        <v>76</v>
      </c>
      <c r="B13" s="16">
        <v>75</v>
      </c>
      <c r="C13" s="16">
        <v>75</v>
      </c>
      <c r="D13" s="16">
        <v>73</v>
      </c>
      <c r="E13" s="16">
        <v>77</v>
      </c>
      <c r="F13" s="16">
        <v>76</v>
      </c>
      <c r="G13" s="16">
        <v>74</v>
      </c>
      <c r="H13" s="16">
        <v>70</v>
      </c>
      <c r="I13" s="16">
        <v>72</v>
      </c>
      <c r="J13" s="16">
        <v>73</v>
      </c>
      <c r="K13" s="16">
        <v>74</v>
      </c>
      <c r="L13" s="16">
        <v>75</v>
      </c>
      <c r="M13" s="16">
        <v>72</v>
      </c>
      <c r="N13" s="16">
        <v>73</v>
      </c>
      <c r="O13" s="16">
        <v>73</v>
      </c>
      <c r="P13" s="16">
        <v>74</v>
      </c>
      <c r="Q13" s="16">
        <v>72</v>
      </c>
      <c r="R13" s="16">
        <v>72</v>
      </c>
      <c r="S13" s="16">
        <v>76</v>
      </c>
      <c r="T13" s="16">
        <v>70</v>
      </c>
      <c r="U13" s="16">
        <v>75</v>
      </c>
      <c r="V13" s="16">
        <v>75</v>
      </c>
      <c r="W13" s="16">
        <v>72</v>
      </c>
      <c r="X13" s="16">
        <v>72</v>
      </c>
      <c r="Y13" s="16">
        <v>75</v>
      </c>
      <c r="Z13" s="16">
        <v>73</v>
      </c>
      <c r="AA13" s="16">
        <v>72</v>
      </c>
    </row>
    <row r="14" spans="1:27" x14ac:dyDescent="0.25">
      <c r="A14" s="16">
        <f>SUM(A2:A13)</f>
        <v>963</v>
      </c>
      <c r="B14" s="16">
        <f t="shared" ref="B14:AA14" si="0">SUM(B2:B13)</f>
        <v>976</v>
      </c>
      <c r="C14" s="16">
        <f t="shared" si="0"/>
        <v>962</v>
      </c>
      <c r="D14" s="16">
        <f t="shared" si="0"/>
        <v>956</v>
      </c>
      <c r="E14" s="16">
        <f t="shared" si="0"/>
        <v>988</v>
      </c>
      <c r="F14" s="16">
        <f t="shared" si="0"/>
        <v>968</v>
      </c>
      <c r="G14" s="16">
        <f t="shared" si="0"/>
        <v>989</v>
      </c>
      <c r="H14" s="16">
        <f t="shared" si="0"/>
        <v>924</v>
      </c>
      <c r="I14" s="16">
        <f t="shared" si="0"/>
        <v>959</v>
      </c>
      <c r="J14" s="16">
        <f t="shared" si="0"/>
        <v>956</v>
      </c>
      <c r="K14" s="16">
        <f t="shared" si="0"/>
        <v>986</v>
      </c>
      <c r="L14" s="16">
        <f t="shared" si="0"/>
        <v>979</v>
      </c>
      <c r="M14" s="16">
        <f t="shared" si="0"/>
        <v>947</v>
      </c>
      <c r="N14" s="16">
        <f t="shared" si="0"/>
        <v>954</v>
      </c>
      <c r="O14" s="16">
        <f t="shared" si="0"/>
        <v>936</v>
      </c>
      <c r="P14" s="16">
        <f t="shared" si="0"/>
        <v>968</v>
      </c>
      <c r="Q14" s="16">
        <f t="shared" si="0"/>
        <v>950</v>
      </c>
      <c r="R14" s="16">
        <f t="shared" si="0"/>
        <v>958</v>
      </c>
      <c r="S14" s="16">
        <f t="shared" si="0"/>
        <v>966</v>
      </c>
      <c r="T14" s="16">
        <f t="shared" si="0"/>
        <v>909</v>
      </c>
      <c r="U14" s="16">
        <f t="shared" si="0"/>
        <v>969</v>
      </c>
      <c r="V14" s="16">
        <f t="shared" si="0"/>
        <v>960</v>
      </c>
      <c r="W14" s="16">
        <f t="shared" si="0"/>
        <v>931</v>
      </c>
      <c r="X14" s="16">
        <f t="shared" si="0"/>
        <v>934</v>
      </c>
      <c r="Y14" s="16">
        <f t="shared" si="0"/>
        <v>961</v>
      </c>
      <c r="Z14" s="16">
        <f t="shared" si="0"/>
        <v>937</v>
      </c>
      <c r="AA14" s="16">
        <f t="shared" si="0"/>
        <v>926</v>
      </c>
    </row>
    <row r="15" spans="1:27" ht="23.25" x14ac:dyDescent="0.25">
      <c r="A15" s="17">
        <f>RANK($A$14:$AA$14,$A$14:$AA$14,0)</f>
        <v>10</v>
      </c>
      <c r="B15" s="17">
        <f t="shared" ref="B15:AA15" si="1">RANK($A$14:$AA$14,$A$14:$AA$14,0)</f>
        <v>5</v>
      </c>
      <c r="C15" s="17">
        <f t="shared" si="1"/>
        <v>11</v>
      </c>
      <c r="D15" s="17">
        <f t="shared" si="1"/>
        <v>16</v>
      </c>
      <c r="E15" s="17">
        <f t="shared" si="1"/>
        <v>2</v>
      </c>
      <c r="F15" s="17">
        <f t="shared" si="1"/>
        <v>7</v>
      </c>
      <c r="G15" s="17">
        <f t="shared" si="1"/>
        <v>1</v>
      </c>
      <c r="H15" s="17">
        <f t="shared" si="1"/>
        <v>26</v>
      </c>
      <c r="I15" s="17">
        <f t="shared" si="1"/>
        <v>14</v>
      </c>
      <c r="J15" s="17">
        <f t="shared" si="1"/>
        <v>16</v>
      </c>
      <c r="K15" s="17">
        <f t="shared" si="1"/>
        <v>3</v>
      </c>
      <c r="L15" s="17">
        <f t="shared" si="1"/>
        <v>4</v>
      </c>
      <c r="M15" s="17">
        <f t="shared" si="1"/>
        <v>20</v>
      </c>
      <c r="N15" s="17">
        <f t="shared" si="1"/>
        <v>18</v>
      </c>
      <c r="O15" s="17">
        <f t="shared" si="1"/>
        <v>22</v>
      </c>
      <c r="P15" s="17">
        <f t="shared" si="1"/>
        <v>7</v>
      </c>
      <c r="Q15" s="17">
        <f t="shared" si="1"/>
        <v>19</v>
      </c>
      <c r="R15" s="17">
        <f t="shared" si="1"/>
        <v>15</v>
      </c>
      <c r="S15" s="17">
        <f t="shared" si="1"/>
        <v>9</v>
      </c>
      <c r="T15" s="17">
        <f t="shared" si="1"/>
        <v>27</v>
      </c>
      <c r="U15" s="17">
        <f t="shared" si="1"/>
        <v>6</v>
      </c>
      <c r="V15" s="17">
        <f t="shared" si="1"/>
        <v>13</v>
      </c>
      <c r="W15" s="17">
        <f t="shared" si="1"/>
        <v>24</v>
      </c>
      <c r="X15" s="17">
        <f t="shared" si="1"/>
        <v>23</v>
      </c>
      <c r="Y15" s="17">
        <f t="shared" si="1"/>
        <v>12</v>
      </c>
      <c r="Z15" s="17">
        <f t="shared" si="1"/>
        <v>21</v>
      </c>
      <c r="AA15" s="17">
        <f t="shared" si="1"/>
        <v>25</v>
      </c>
    </row>
    <row r="16" spans="1:27" x14ac:dyDescent="0.25">
      <c r="E16" s="24">
        <f>AVERAGE(E2:E13)</f>
        <v>82.333333333333329</v>
      </c>
      <c r="G16" s="24">
        <f>AVERAGE(G2:G13)</f>
        <v>82.416666666666671</v>
      </c>
      <c r="K16" s="24">
        <f>AVERAGE(K2:K13)</f>
        <v>82.166666666666671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selection activeCell="B18" sqref="B18"/>
    </sheetView>
  </sheetViews>
  <sheetFormatPr defaultRowHeight="15" x14ac:dyDescent="0.25"/>
  <cols>
    <col min="1" max="1" width="4.5703125" customWidth="1"/>
    <col min="2" max="2" width="31" customWidth="1"/>
    <col min="3" max="3" width="7.42578125" customWidth="1"/>
    <col min="4" max="4" width="15" customWidth="1"/>
    <col min="5" max="6" width="17.28515625" customWidth="1"/>
    <col min="7" max="7" width="13.140625" customWidth="1"/>
  </cols>
  <sheetData>
    <row r="1" spans="1:7" ht="18" x14ac:dyDescent="0.25">
      <c r="A1" s="97" t="s">
        <v>16</v>
      </c>
      <c r="B1" s="97"/>
      <c r="C1" s="97"/>
      <c r="D1" s="97"/>
      <c r="E1" s="97"/>
      <c r="F1" s="97"/>
      <c r="G1" s="97"/>
    </row>
    <row r="2" spans="1:7" ht="18" x14ac:dyDescent="0.25">
      <c r="A2" s="98" t="s">
        <v>28</v>
      </c>
      <c r="B2" s="98"/>
      <c r="C2" s="98"/>
      <c r="D2" s="98"/>
      <c r="E2" s="98"/>
      <c r="F2" s="98"/>
      <c r="G2" s="98"/>
    </row>
    <row r="3" spans="1:7" ht="18" x14ac:dyDescent="0.25">
      <c r="A3" s="98" t="s">
        <v>27</v>
      </c>
      <c r="B3" s="98"/>
      <c r="C3" s="98"/>
      <c r="D3" s="98"/>
      <c r="E3" s="98"/>
      <c r="F3" s="98"/>
      <c r="G3" s="98"/>
    </row>
    <row r="5" spans="1:7" ht="21" customHeight="1" x14ac:dyDescent="0.25">
      <c r="A5" s="96" t="s">
        <v>0</v>
      </c>
      <c r="B5" s="96" t="s">
        <v>21</v>
      </c>
      <c r="C5" s="96" t="s">
        <v>17</v>
      </c>
      <c r="D5" s="96" t="s">
        <v>18</v>
      </c>
      <c r="E5" s="96" t="s">
        <v>19</v>
      </c>
      <c r="F5" s="96"/>
      <c r="G5" s="96" t="s">
        <v>20</v>
      </c>
    </row>
    <row r="6" spans="1:7" ht="21" customHeight="1" x14ac:dyDescent="0.25">
      <c r="A6" s="96"/>
      <c r="B6" s="96"/>
      <c r="C6" s="96"/>
      <c r="D6" s="96"/>
      <c r="E6" s="18" t="s">
        <v>25</v>
      </c>
      <c r="F6" s="18" t="s">
        <v>26</v>
      </c>
      <c r="G6" s="96"/>
    </row>
    <row r="7" spans="1:7" ht="26.25" customHeight="1" x14ac:dyDescent="0.25">
      <c r="A7" s="5">
        <v>1</v>
      </c>
      <c r="B7" s="19" t="s">
        <v>23</v>
      </c>
      <c r="C7" s="23" t="s">
        <v>32</v>
      </c>
      <c r="D7" s="23" t="s">
        <v>29</v>
      </c>
      <c r="E7" s="93">
        <v>989</v>
      </c>
      <c r="F7" s="94"/>
      <c r="G7" s="23">
        <v>82.42</v>
      </c>
    </row>
    <row r="8" spans="1:7" ht="26.25" customHeight="1" x14ac:dyDescent="0.25">
      <c r="A8" s="5">
        <v>2</v>
      </c>
      <c r="B8" s="20" t="s">
        <v>24</v>
      </c>
      <c r="C8" s="23" t="s">
        <v>33</v>
      </c>
      <c r="D8" s="23" t="s">
        <v>30</v>
      </c>
      <c r="E8" s="93">
        <v>988</v>
      </c>
      <c r="F8" s="94"/>
      <c r="G8" s="23">
        <v>82.33</v>
      </c>
    </row>
    <row r="9" spans="1:7" ht="26.25" customHeight="1" x14ac:dyDescent="0.25">
      <c r="A9" s="5">
        <v>3</v>
      </c>
      <c r="B9" s="21" t="s">
        <v>22</v>
      </c>
      <c r="C9" s="23" t="s">
        <v>34</v>
      </c>
      <c r="D9" s="23" t="s">
        <v>31</v>
      </c>
      <c r="E9" s="93">
        <v>986</v>
      </c>
      <c r="F9" s="94"/>
      <c r="G9" s="23">
        <v>82.17</v>
      </c>
    </row>
    <row r="10" spans="1:7" ht="26.25" customHeight="1" x14ac:dyDescent="0.25">
      <c r="A10" s="5">
        <v>4</v>
      </c>
      <c r="B10" s="22" t="e">
        <f>#REF!</f>
        <v>#REF!</v>
      </c>
      <c r="C10" s="23" t="s">
        <v>35</v>
      </c>
      <c r="D10" s="23" t="s">
        <v>29</v>
      </c>
      <c r="E10" s="25">
        <v>849.2</v>
      </c>
      <c r="F10" s="23">
        <v>855</v>
      </c>
      <c r="G10" s="26">
        <v>85.372727272727275</v>
      </c>
    </row>
    <row r="11" spans="1:7" ht="26.25" customHeight="1" x14ac:dyDescent="0.25">
      <c r="A11" s="5">
        <v>5</v>
      </c>
      <c r="B11" s="22" t="e">
        <f>#REF!</f>
        <v>#REF!</v>
      </c>
      <c r="C11" s="23" t="s">
        <v>36</v>
      </c>
      <c r="D11" s="23" t="s">
        <v>30</v>
      </c>
      <c r="E11" s="25">
        <v>840.9</v>
      </c>
      <c r="F11" s="23">
        <v>853</v>
      </c>
      <c r="G11" s="26">
        <v>84.404545454545456</v>
      </c>
    </row>
    <row r="12" spans="1:7" ht="26.25" customHeight="1" x14ac:dyDescent="0.25">
      <c r="A12" s="5">
        <v>6</v>
      </c>
      <c r="B12" s="22" t="e">
        <f>#REF!</f>
        <v>#REF!</v>
      </c>
      <c r="C12" s="23" t="s">
        <v>37</v>
      </c>
      <c r="D12" s="23" t="s">
        <v>31</v>
      </c>
      <c r="E12" s="25">
        <v>837.9</v>
      </c>
      <c r="F12" s="23">
        <v>842</v>
      </c>
      <c r="G12" s="26">
        <v>84.086363636363643</v>
      </c>
    </row>
    <row r="13" spans="1:7" x14ac:dyDescent="0.25">
      <c r="C13" s="6"/>
      <c r="D13" s="6"/>
      <c r="E13" s="6"/>
      <c r="F13" s="6"/>
      <c r="G13" s="6"/>
    </row>
    <row r="14" spans="1:7" x14ac:dyDescent="0.25">
      <c r="F14" s="95" t="s">
        <v>38</v>
      </c>
      <c r="G14" s="95"/>
    </row>
    <row r="15" spans="1:7" x14ac:dyDescent="0.25">
      <c r="F15" s="95" t="s">
        <v>39</v>
      </c>
      <c r="G15" s="95"/>
    </row>
  </sheetData>
  <mergeCells count="14">
    <mergeCell ref="A1:G1"/>
    <mergeCell ref="A2:G2"/>
    <mergeCell ref="A3:G3"/>
    <mergeCell ref="E7:F7"/>
    <mergeCell ref="A5:A6"/>
    <mergeCell ref="B5:B6"/>
    <mergeCell ref="C5:C6"/>
    <mergeCell ref="D5:D6"/>
    <mergeCell ref="E5:F5"/>
    <mergeCell ref="E8:F8"/>
    <mergeCell ref="E9:F9"/>
    <mergeCell ref="F14:G14"/>
    <mergeCell ref="F15:G15"/>
    <mergeCell ref="G5:G6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"/>
  <sheetViews>
    <sheetView workbookViewId="0">
      <selection activeCell="B13" sqref="B13"/>
    </sheetView>
  </sheetViews>
  <sheetFormatPr defaultRowHeight="15" x14ac:dyDescent="0.25"/>
  <cols>
    <col min="1" max="1" width="4.28515625" customWidth="1"/>
    <col min="2" max="2" width="31.42578125" customWidth="1"/>
    <col min="3" max="3" width="18.42578125" customWidth="1"/>
  </cols>
  <sheetData>
    <row r="1" spans="1:3" x14ac:dyDescent="0.25">
      <c r="A1" s="1" t="s">
        <v>0</v>
      </c>
      <c r="B1" s="5" t="s">
        <v>21</v>
      </c>
      <c r="C1" s="1" t="s">
        <v>40</v>
      </c>
    </row>
    <row r="2" spans="1:3" x14ac:dyDescent="0.25">
      <c r="A2" s="5">
        <v>1</v>
      </c>
      <c r="B2" s="1" t="s">
        <v>41</v>
      </c>
      <c r="C2" s="1"/>
    </row>
    <row r="3" spans="1:3" x14ac:dyDescent="0.25">
      <c r="A3" s="5">
        <v>2</v>
      </c>
      <c r="B3" s="1" t="s">
        <v>99</v>
      </c>
      <c r="C3" s="1"/>
    </row>
    <row r="4" spans="1:3" x14ac:dyDescent="0.25">
      <c r="A4" s="5">
        <v>3</v>
      </c>
      <c r="B4" s="1" t="s">
        <v>42</v>
      </c>
      <c r="C4" s="1"/>
    </row>
    <row r="5" spans="1:3" x14ac:dyDescent="0.25">
      <c r="A5" s="5">
        <v>4</v>
      </c>
      <c r="B5" s="1" t="s">
        <v>43</v>
      </c>
      <c r="C5" s="1"/>
    </row>
    <row r="6" spans="1:3" x14ac:dyDescent="0.25">
      <c r="A6" s="5">
        <v>5</v>
      </c>
      <c r="B6" s="1" t="s">
        <v>44</v>
      </c>
      <c r="C6" s="1"/>
    </row>
    <row r="7" spans="1:3" x14ac:dyDescent="0.25">
      <c r="A7" s="5">
        <v>6</v>
      </c>
      <c r="B7" s="1" t="s">
        <v>45</v>
      </c>
      <c r="C7" s="1"/>
    </row>
    <row r="8" spans="1:3" x14ac:dyDescent="0.25">
      <c r="A8" s="5">
        <v>7</v>
      </c>
      <c r="B8" s="1" t="s">
        <v>46</v>
      </c>
      <c r="C8" s="1"/>
    </row>
    <row r="9" spans="1:3" x14ac:dyDescent="0.25">
      <c r="A9" s="5">
        <v>8</v>
      </c>
      <c r="B9" s="1" t="s">
        <v>47</v>
      </c>
      <c r="C9" s="1"/>
    </row>
    <row r="10" spans="1:3" x14ac:dyDescent="0.25">
      <c r="A10" s="5">
        <v>9</v>
      </c>
      <c r="B10" s="1" t="s">
        <v>89</v>
      </c>
      <c r="C10" s="1"/>
    </row>
    <row r="11" spans="1:3" x14ac:dyDescent="0.25">
      <c r="A11" s="5">
        <v>10</v>
      </c>
      <c r="B11" s="1" t="s">
        <v>100</v>
      </c>
      <c r="C11" s="1"/>
    </row>
    <row r="12" spans="1:3" x14ac:dyDescent="0.25">
      <c r="A12" s="5">
        <v>11</v>
      </c>
      <c r="B12" s="1" t="s">
        <v>48</v>
      </c>
      <c r="C12" s="1"/>
    </row>
    <row r="13" spans="1:3" x14ac:dyDescent="0.25">
      <c r="A13" s="5">
        <v>12</v>
      </c>
      <c r="B13" s="1" t="s">
        <v>101</v>
      </c>
      <c r="C13" s="1"/>
    </row>
    <row r="14" spans="1:3" x14ac:dyDescent="0.25">
      <c r="A14" s="5">
        <v>13</v>
      </c>
      <c r="B14" s="1" t="s">
        <v>51</v>
      </c>
      <c r="C14" s="1"/>
    </row>
    <row r="15" spans="1:3" x14ac:dyDescent="0.25">
      <c r="A15" s="5">
        <v>14</v>
      </c>
      <c r="B15" s="1" t="s">
        <v>103</v>
      </c>
      <c r="C15" s="1"/>
    </row>
    <row r="16" spans="1:3" x14ac:dyDescent="0.25">
      <c r="A16" s="5">
        <v>15</v>
      </c>
      <c r="B16" s="1" t="s">
        <v>105</v>
      </c>
      <c r="C16" s="1"/>
    </row>
    <row r="17" spans="1:3" x14ac:dyDescent="0.25">
      <c r="A17" s="5">
        <v>16</v>
      </c>
      <c r="B17" s="1" t="s">
        <v>49</v>
      </c>
      <c r="C17" s="1"/>
    </row>
    <row r="18" spans="1:3" x14ac:dyDescent="0.25">
      <c r="A18" s="5">
        <v>17</v>
      </c>
      <c r="B18" s="1" t="s">
        <v>50</v>
      </c>
      <c r="C18" s="1"/>
    </row>
    <row r="19" spans="1:3" x14ac:dyDescent="0.25">
      <c r="A19" s="5">
        <v>18</v>
      </c>
      <c r="B19" s="1" t="s">
        <v>104</v>
      </c>
      <c r="C19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44AB-5BD2-41DE-8850-ACD829E99F70}">
  <sheetPr>
    <pageSetUpPr fitToPage="1"/>
  </sheetPr>
  <dimension ref="A1:P51"/>
  <sheetViews>
    <sheetView topLeftCell="A7" zoomScaleNormal="100" workbookViewId="0">
      <selection activeCell="U51" sqref="U51"/>
    </sheetView>
  </sheetViews>
  <sheetFormatPr defaultRowHeight="15" x14ac:dyDescent="0.25"/>
  <cols>
    <col min="1" max="1" width="4" customWidth="1"/>
    <col min="2" max="2" width="8.42578125" customWidth="1"/>
    <col min="3" max="3" width="27.28515625" customWidth="1"/>
    <col min="4" max="4" width="3.42578125" customWidth="1"/>
    <col min="5" max="6" width="16.140625" bestFit="1" customWidth="1"/>
    <col min="7" max="16" width="4" customWidth="1"/>
  </cols>
  <sheetData>
    <row r="1" spans="1:16" ht="19.5" customHeight="1" x14ac:dyDescent="0.25">
      <c r="A1" s="102" t="s">
        <v>53</v>
      </c>
      <c r="B1" s="102"/>
      <c r="C1" s="102"/>
      <c r="D1" s="102"/>
      <c r="E1" s="102"/>
      <c r="F1" s="102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17.25" customHeight="1" x14ac:dyDescent="0.25">
      <c r="A2" s="102" t="s">
        <v>52</v>
      </c>
      <c r="B2" s="102"/>
      <c r="C2" s="102"/>
      <c r="D2" s="102"/>
      <c r="E2" s="102"/>
      <c r="F2" s="102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16" ht="20.25" customHeight="1" x14ac:dyDescent="0.25">
      <c r="A3" s="102" t="s">
        <v>90</v>
      </c>
      <c r="B3" s="102"/>
      <c r="C3" s="102"/>
      <c r="D3" s="102"/>
      <c r="E3" s="102"/>
      <c r="F3" s="102"/>
      <c r="G3" s="40"/>
      <c r="H3" s="40"/>
      <c r="I3" s="40"/>
      <c r="J3" s="40"/>
      <c r="K3" s="40"/>
      <c r="L3" s="40"/>
      <c r="M3" s="40"/>
      <c r="N3" s="40"/>
      <c r="O3" s="40"/>
      <c r="P3" s="40"/>
    </row>
    <row r="4" spans="1:16" ht="7.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 ht="17.25" customHeight="1" x14ac:dyDescent="0.25">
      <c r="A5" s="103" t="s">
        <v>91</v>
      </c>
      <c r="B5" s="103"/>
      <c r="C5" s="103"/>
      <c r="D5" s="103"/>
      <c r="E5" s="103"/>
      <c r="F5" s="103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16" ht="21" customHeight="1" x14ac:dyDescent="0.25">
      <c r="A6" s="99" t="s">
        <v>0</v>
      </c>
      <c r="B6" s="99"/>
      <c r="C6" s="99" t="s">
        <v>15</v>
      </c>
      <c r="D6" s="99" t="s">
        <v>3</v>
      </c>
      <c r="E6" s="104" t="s">
        <v>93</v>
      </c>
      <c r="F6" s="105"/>
    </row>
    <row r="7" spans="1:16" ht="27" customHeight="1" x14ac:dyDescent="0.25">
      <c r="A7" s="14" t="s">
        <v>1</v>
      </c>
      <c r="B7" s="33" t="s">
        <v>2</v>
      </c>
      <c r="C7" s="99"/>
      <c r="D7" s="99"/>
      <c r="E7" s="106"/>
      <c r="F7" s="107"/>
    </row>
    <row r="8" spans="1:16" ht="35.25" customHeight="1" x14ac:dyDescent="0.25">
      <c r="A8" s="15">
        <v>1</v>
      </c>
      <c r="B8" s="34" t="e">
        <f>VLOOKUP(C8,'DATA SISWA KLS 7'!$A$2:$C$165,'DATA SISWA KLS 7'!$C$1,FALSE)</f>
        <v>#N/A</v>
      </c>
      <c r="C8" s="3" t="s">
        <v>54</v>
      </c>
      <c r="D8" s="42" t="e">
        <f>VLOOKUP(C8,'DATA SISWA KLS 7'!$A$2:$C$165,'DATA SISWA KLS 7'!$B$1,FALSE)</f>
        <v>#N/A</v>
      </c>
      <c r="E8" s="100">
        <v>1</v>
      </c>
      <c r="F8" s="100">
        <v>2</v>
      </c>
    </row>
    <row r="9" spans="1:16" ht="32.25" customHeight="1" x14ac:dyDescent="0.25">
      <c r="A9" s="15">
        <v>2</v>
      </c>
      <c r="B9" s="34" t="e">
        <f>VLOOKUP(C9,'DATA SISWA KLS 7'!$A$2:$C$165,'DATA SISWA KLS 7'!$C$1,FALSE)</f>
        <v>#N/A</v>
      </c>
      <c r="C9" s="3" t="s">
        <v>55</v>
      </c>
      <c r="D9" s="33" t="e">
        <f>VLOOKUP(C9,'DATA SISWA KLS 7'!$A$2:$C$165,'DATA SISWA KLS 7'!$B$1,FALSE)</f>
        <v>#N/A</v>
      </c>
      <c r="E9" s="100"/>
      <c r="F9" s="100"/>
    </row>
    <row r="10" spans="1:16" ht="32.25" customHeight="1" x14ac:dyDescent="0.25">
      <c r="A10" s="15">
        <v>3</v>
      </c>
      <c r="B10" s="34" t="e">
        <f>VLOOKUP(C10,'DATA SISWA KLS 7'!$A$2:$C$165,'DATA SISWA KLS 7'!$C$1,FALSE)</f>
        <v>#N/A</v>
      </c>
      <c r="C10" s="3" t="s">
        <v>56</v>
      </c>
      <c r="D10" s="33" t="e">
        <f>VLOOKUP(C10,'DATA SISWA KLS 7'!$A$2:$C$165,'DATA SISWA KLS 7'!$B$1,FALSE)</f>
        <v>#N/A</v>
      </c>
      <c r="E10" s="100">
        <v>3</v>
      </c>
      <c r="F10" s="100">
        <v>4</v>
      </c>
    </row>
    <row r="11" spans="1:16" ht="32.25" customHeight="1" x14ac:dyDescent="0.25">
      <c r="A11" s="15">
        <v>4</v>
      </c>
      <c r="B11" s="34" t="e">
        <f>VLOOKUP(C11,'DATA SISWA KLS 7'!$A$2:$C$165,'DATA SISWA KLS 7'!$C$1,FALSE)</f>
        <v>#N/A</v>
      </c>
      <c r="C11" s="3" t="s">
        <v>57</v>
      </c>
      <c r="D11" s="33" t="e">
        <f>VLOOKUP(C11,'DATA SISWA KLS 7'!$A$2:$C$165,'DATA SISWA KLS 7'!$B$1,FALSE)</f>
        <v>#N/A</v>
      </c>
      <c r="E11" s="100"/>
      <c r="F11" s="100"/>
    </row>
    <row r="12" spans="1:16" ht="32.25" customHeight="1" x14ac:dyDescent="0.25">
      <c r="A12" s="15">
        <v>5</v>
      </c>
      <c r="B12" s="34" t="e">
        <f>VLOOKUP(C12,'DATA SISWA KLS 7'!$A$2:$C$165,'DATA SISWA KLS 7'!$C$1,FALSE)</f>
        <v>#N/A</v>
      </c>
      <c r="C12" s="3" t="s">
        <v>58</v>
      </c>
      <c r="D12" s="33" t="e">
        <f>VLOOKUP(C12,'DATA SISWA KLS 7'!$A$2:$C$165,'DATA SISWA KLS 7'!$B$1,FALSE)</f>
        <v>#N/A</v>
      </c>
      <c r="E12" s="100">
        <v>5</v>
      </c>
      <c r="F12" s="100">
        <v>6</v>
      </c>
    </row>
    <row r="13" spans="1:16" ht="32.25" customHeight="1" x14ac:dyDescent="0.25">
      <c r="A13" s="15">
        <v>6</v>
      </c>
      <c r="B13" s="34" t="e">
        <f>VLOOKUP(C13,'DATA SISWA KLS 7'!$A$2:$C$165,'DATA SISWA KLS 7'!$C$1,FALSE)</f>
        <v>#N/A</v>
      </c>
      <c r="C13" s="3" t="s">
        <v>59</v>
      </c>
      <c r="D13" s="33" t="e">
        <f>VLOOKUP(C13,'DATA SISWA KLS 7'!$A$2:$C$165,'DATA SISWA KLS 7'!$B$1,FALSE)</f>
        <v>#N/A</v>
      </c>
      <c r="E13" s="100"/>
      <c r="F13" s="100"/>
    </row>
    <row r="14" spans="1:16" ht="32.25" customHeight="1" x14ac:dyDescent="0.25">
      <c r="A14" s="15">
        <v>7</v>
      </c>
      <c r="B14" s="34" t="e">
        <f>VLOOKUP(C14,'DATA SISWA KLS 7'!$A$2:$C$165,'DATA SISWA KLS 7'!$C$1,FALSE)</f>
        <v>#N/A</v>
      </c>
      <c r="C14" s="7" t="s">
        <v>60</v>
      </c>
      <c r="D14" s="33" t="e">
        <f>VLOOKUP(C14,'DATA SISWA KLS 7'!$A$2:$C$165,'DATA SISWA KLS 7'!$B$1,FALSE)</f>
        <v>#N/A</v>
      </c>
      <c r="E14" s="100">
        <v>7</v>
      </c>
      <c r="F14" s="100">
        <v>8</v>
      </c>
    </row>
    <row r="15" spans="1:16" ht="32.25" customHeight="1" x14ac:dyDescent="0.25">
      <c r="A15" s="15">
        <v>8</v>
      </c>
      <c r="B15" s="34" t="e">
        <f>VLOOKUP(C15,'DATA SISWA KLS 7'!$A$2:$C$165,'DATA SISWA KLS 7'!$C$1,FALSE)</f>
        <v>#N/A</v>
      </c>
      <c r="C15" s="7" t="s">
        <v>61</v>
      </c>
      <c r="D15" s="33" t="e">
        <f>VLOOKUP(C15,'DATA SISWA KLS 7'!$A$2:$C$165,'DATA SISWA KLS 7'!$B$1,FALSE)</f>
        <v>#N/A</v>
      </c>
      <c r="E15" s="100"/>
      <c r="F15" s="100"/>
    </row>
    <row r="16" spans="1:16" ht="32.25" customHeight="1" x14ac:dyDescent="0.25">
      <c r="A16" s="15">
        <v>9</v>
      </c>
      <c r="B16" s="34" t="e">
        <f>VLOOKUP(C16,'DATA SISWA KLS 7'!$A$2:$C$165,'DATA SISWA KLS 7'!$C$1,FALSE)</f>
        <v>#N/A</v>
      </c>
      <c r="C16" s="3" t="s">
        <v>62</v>
      </c>
      <c r="D16" s="33" t="e">
        <f>VLOOKUP(C16,'DATA SISWA KLS 7'!$A$2:$C$165,'DATA SISWA KLS 7'!$B$1,FALSE)</f>
        <v>#N/A</v>
      </c>
      <c r="E16" s="100">
        <v>9</v>
      </c>
      <c r="F16" s="100">
        <v>10</v>
      </c>
    </row>
    <row r="17" spans="1:6" ht="32.25" customHeight="1" x14ac:dyDescent="0.25">
      <c r="A17" s="15">
        <v>10</v>
      </c>
      <c r="B17" s="34" t="e">
        <f>VLOOKUP(C17,'DATA SISWA KLS 7'!$A$2:$C$165,'DATA SISWA KLS 7'!$C$1,FALSE)</f>
        <v>#N/A</v>
      </c>
      <c r="C17" s="7" t="s">
        <v>63</v>
      </c>
      <c r="D17" s="33" t="e">
        <f>VLOOKUP(C17,'DATA SISWA KLS 7'!$A$2:$C$165,'DATA SISWA KLS 7'!$B$1,FALSE)</f>
        <v>#N/A</v>
      </c>
      <c r="E17" s="100"/>
      <c r="F17" s="100"/>
    </row>
    <row r="18" spans="1:6" ht="32.25" customHeight="1" x14ac:dyDescent="0.25">
      <c r="A18" s="15">
        <v>11</v>
      </c>
      <c r="B18" s="34" t="e">
        <f>VLOOKUP(C18,'DATA SISWA KLS 7'!$A$2:$C$165,'DATA SISWA KLS 7'!$C$1,FALSE)</f>
        <v>#N/A</v>
      </c>
      <c r="C18" s="3" t="s">
        <v>64</v>
      </c>
      <c r="D18" s="33" t="e">
        <f>VLOOKUP(C18,'DATA SISWA KLS 7'!$A$2:$C$165,'DATA SISWA KLS 7'!$B$1,FALSE)</f>
        <v>#N/A</v>
      </c>
      <c r="E18" s="100">
        <v>11</v>
      </c>
      <c r="F18" s="100">
        <v>12</v>
      </c>
    </row>
    <row r="19" spans="1:6" ht="32.25" customHeight="1" x14ac:dyDescent="0.25">
      <c r="A19" s="15">
        <v>12</v>
      </c>
      <c r="B19" s="34" t="e">
        <f>VLOOKUP(C19,'DATA SISWA KLS 7'!$A$2:$C$165,'DATA SISWA KLS 7'!$C$1,FALSE)</f>
        <v>#N/A</v>
      </c>
      <c r="C19" s="3" t="s">
        <v>65</v>
      </c>
      <c r="D19" s="33" t="e">
        <f>VLOOKUP(C19,'DATA SISWA KLS 7'!$A$2:$C$165,'DATA SISWA KLS 7'!$B$1,FALSE)</f>
        <v>#N/A</v>
      </c>
      <c r="E19" s="100"/>
      <c r="F19" s="100"/>
    </row>
    <row r="20" spans="1:6" ht="32.25" customHeight="1" x14ac:dyDescent="0.25">
      <c r="A20" s="15">
        <v>13</v>
      </c>
      <c r="B20" s="34" t="e">
        <f>VLOOKUP(C20,'DATA SISWA KLS 7'!$A$2:$C$165,'DATA SISWA KLS 7'!$C$1,FALSE)</f>
        <v>#N/A</v>
      </c>
      <c r="C20" s="3" t="s">
        <v>66</v>
      </c>
      <c r="D20" s="33" t="e">
        <f>VLOOKUP(C20,'DATA SISWA KLS 7'!$A$2:$C$165,'DATA SISWA KLS 7'!$B$1,FALSE)</f>
        <v>#N/A</v>
      </c>
      <c r="E20" s="100">
        <v>13</v>
      </c>
      <c r="F20" s="100">
        <v>14</v>
      </c>
    </row>
    <row r="21" spans="1:6" ht="32.25" customHeight="1" x14ac:dyDescent="0.25">
      <c r="A21" s="15">
        <v>14</v>
      </c>
      <c r="B21" s="34" t="e">
        <f>VLOOKUP(C21,'DATA SISWA KLS 7'!$A$2:$C$165,'DATA SISWA KLS 7'!$C$1,FALSE)</f>
        <v>#N/A</v>
      </c>
      <c r="C21" s="3" t="s">
        <v>67</v>
      </c>
      <c r="D21" s="33" t="e">
        <f>VLOOKUP(C21,'DATA SISWA KLS 7'!$A$2:$C$165,'DATA SISWA KLS 7'!$B$1,FALSE)</f>
        <v>#N/A</v>
      </c>
      <c r="E21" s="100"/>
      <c r="F21" s="100"/>
    </row>
    <row r="22" spans="1:6" ht="32.25" customHeight="1" x14ac:dyDescent="0.25">
      <c r="A22" s="15">
        <v>15</v>
      </c>
      <c r="B22" s="34" t="e">
        <f>VLOOKUP(C22,'DATA SISWA KLS 7'!$A$2:$C$165,'DATA SISWA KLS 7'!$C$1,FALSE)</f>
        <v>#N/A</v>
      </c>
      <c r="C22" s="3" t="s">
        <v>68</v>
      </c>
      <c r="D22" s="33" t="e">
        <f>VLOOKUP(C22,'DATA SISWA KLS 7'!$A$2:$C$165,'DATA SISWA KLS 7'!$B$1,FALSE)</f>
        <v>#N/A</v>
      </c>
      <c r="E22" s="100">
        <v>15</v>
      </c>
      <c r="F22" s="100">
        <v>16</v>
      </c>
    </row>
    <row r="23" spans="1:6" ht="32.25" customHeight="1" x14ac:dyDescent="0.25">
      <c r="A23" s="15">
        <v>16</v>
      </c>
      <c r="B23" s="34" t="e">
        <f>VLOOKUP(C23,'DATA SISWA KLS 7'!$A$2:$C$165,'DATA SISWA KLS 7'!$C$1,FALSE)</f>
        <v>#N/A</v>
      </c>
      <c r="C23" s="7" t="s">
        <v>69</v>
      </c>
      <c r="D23" s="33" t="e">
        <f>VLOOKUP(C23,'DATA SISWA KLS 7'!$A$2:$C$165,'DATA SISWA KLS 7'!$B$1,FALSE)</f>
        <v>#N/A</v>
      </c>
      <c r="E23" s="100"/>
      <c r="F23" s="100"/>
    </row>
    <row r="24" spans="1:6" ht="32.25" customHeight="1" x14ac:dyDescent="0.25">
      <c r="A24" s="15">
        <v>17</v>
      </c>
      <c r="B24" s="34" t="e">
        <f>VLOOKUP(C24,'DATA SISWA KLS 7'!$A$2:$C$165,'DATA SISWA KLS 7'!$C$1,FALSE)</f>
        <v>#N/A</v>
      </c>
      <c r="C24" s="7" t="s">
        <v>70</v>
      </c>
      <c r="D24" s="33" t="e">
        <f>VLOOKUP(C24,'DATA SISWA KLS 7'!$A$2:$C$165,'DATA SISWA KLS 7'!$B$1,FALSE)</f>
        <v>#N/A</v>
      </c>
      <c r="E24" s="100">
        <v>17</v>
      </c>
      <c r="F24" s="100">
        <v>18</v>
      </c>
    </row>
    <row r="25" spans="1:6" ht="32.25" customHeight="1" x14ac:dyDescent="0.25">
      <c r="A25" s="15">
        <v>18</v>
      </c>
      <c r="B25" s="34" t="e">
        <f>VLOOKUP(C25,'DATA SISWA KLS 7'!$A$2:$C$165,'DATA SISWA KLS 7'!$C$1,FALSE)</f>
        <v>#N/A</v>
      </c>
      <c r="C25" s="3" t="s">
        <v>71</v>
      </c>
      <c r="D25" s="33" t="e">
        <f>VLOOKUP(C25,'DATA SISWA KLS 7'!$A$2:$C$165,'DATA SISWA KLS 7'!$B$1,FALSE)</f>
        <v>#N/A</v>
      </c>
      <c r="E25" s="100"/>
      <c r="F25" s="100"/>
    </row>
    <row r="26" spans="1:6" ht="32.25" customHeight="1" x14ac:dyDescent="0.25">
      <c r="A26" s="15">
        <v>19</v>
      </c>
      <c r="B26" s="34" t="e">
        <f>VLOOKUP(C26,'DATA SISWA KLS 7'!$A$2:$C$165,'DATA SISWA KLS 7'!$C$1,FALSE)</f>
        <v>#N/A</v>
      </c>
      <c r="C26" s="7" t="s">
        <v>72</v>
      </c>
      <c r="D26" s="33" t="e">
        <f>VLOOKUP(C26,'DATA SISWA KLS 7'!$A$2:$C$165,'DATA SISWA KLS 7'!$B$1,FALSE)</f>
        <v>#N/A</v>
      </c>
      <c r="E26" s="100">
        <v>19</v>
      </c>
      <c r="F26" s="100">
        <v>20</v>
      </c>
    </row>
    <row r="27" spans="1:6" ht="32.25" customHeight="1" x14ac:dyDescent="0.25">
      <c r="A27" s="15">
        <v>20</v>
      </c>
      <c r="B27" s="34" t="e">
        <f>VLOOKUP(C27,'DATA SISWA KLS 7'!$A$2:$C$165,'DATA SISWA KLS 7'!$C$1,FALSE)</f>
        <v>#N/A</v>
      </c>
      <c r="C27" s="7" t="s">
        <v>73</v>
      </c>
      <c r="D27" s="33" t="e">
        <f>VLOOKUP(C27,'DATA SISWA KLS 7'!$A$2:$C$165,'DATA SISWA KLS 7'!$B$1,FALSE)</f>
        <v>#N/A</v>
      </c>
      <c r="E27" s="100"/>
      <c r="F27" s="100"/>
    </row>
    <row r="28" spans="1:6" ht="32.25" customHeight="1" x14ac:dyDescent="0.25">
      <c r="A28" s="15">
        <v>21</v>
      </c>
      <c r="B28" s="34" t="e">
        <f>VLOOKUP(C28,'DATA SISWA KLS 7'!$A$2:$C$165,'DATA SISWA KLS 7'!$C$1,FALSE)</f>
        <v>#N/A</v>
      </c>
      <c r="C28" s="3" t="s">
        <v>74</v>
      </c>
      <c r="D28" s="33" t="e">
        <f>VLOOKUP(C28,'DATA SISWA KLS 7'!$A$2:$C$165,'DATA SISWA KLS 7'!$B$1,FALSE)</f>
        <v>#N/A</v>
      </c>
      <c r="E28" s="100">
        <v>21</v>
      </c>
      <c r="F28" s="100">
        <v>22</v>
      </c>
    </row>
    <row r="29" spans="1:6" ht="32.25" customHeight="1" x14ac:dyDescent="0.25">
      <c r="A29" s="15">
        <v>22</v>
      </c>
      <c r="B29" s="34" t="e">
        <f>VLOOKUP(C29,'DATA SISWA KLS 7'!$A$2:$C$165,'DATA SISWA KLS 7'!$C$1,FALSE)</f>
        <v>#N/A</v>
      </c>
      <c r="C29" s="3" t="s">
        <v>75</v>
      </c>
      <c r="D29" s="33" t="e">
        <f>VLOOKUP(C29,'DATA SISWA KLS 7'!$A$2:$C$165,'DATA SISWA KLS 7'!$B$1,FALSE)</f>
        <v>#N/A</v>
      </c>
      <c r="E29" s="100"/>
      <c r="F29" s="100"/>
    </row>
    <row r="30" spans="1:6" ht="32.25" customHeight="1" x14ac:dyDescent="0.25">
      <c r="A30" s="15">
        <v>23</v>
      </c>
      <c r="B30" s="34" t="e">
        <f>VLOOKUP(C30,'DATA SISWA KLS 7'!$A$2:$C$165,'DATA SISWA KLS 7'!$C$1,FALSE)</f>
        <v>#N/A</v>
      </c>
      <c r="C30" s="3" t="s">
        <v>76</v>
      </c>
      <c r="D30" s="33" t="e">
        <f>VLOOKUP(C30,'DATA SISWA KLS 7'!$A$2:$C$165,'DATA SISWA KLS 7'!$B$1,FALSE)</f>
        <v>#N/A</v>
      </c>
      <c r="E30" s="100">
        <v>23</v>
      </c>
      <c r="F30" s="100">
        <v>24</v>
      </c>
    </row>
    <row r="31" spans="1:6" ht="32.25" customHeight="1" x14ac:dyDescent="0.25">
      <c r="A31" s="15">
        <v>24</v>
      </c>
      <c r="B31" s="34" t="e">
        <f>VLOOKUP(C31,'DATA SISWA KLS 7'!$A$2:$C$165,'DATA SISWA KLS 7'!$C$1,FALSE)</f>
        <v>#N/A</v>
      </c>
      <c r="C31" s="3" t="s">
        <v>77</v>
      </c>
      <c r="D31" s="33" t="e">
        <f>VLOOKUP(C31,'DATA SISWA KLS 7'!$A$2:$C$165,'DATA SISWA KLS 7'!$B$1,FALSE)</f>
        <v>#N/A</v>
      </c>
      <c r="E31" s="100"/>
      <c r="F31" s="100"/>
    </row>
    <row r="32" spans="1:6" ht="32.25" customHeight="1" x14ac:dyDescent="0.25">
      <c r="A32" s="15">
        <v>25</v>
      </c>
      <c r="B32" s="34" t="e">
        <f>VLOOKUP(C32,'DATA SISWA KLS 7'!$A$2:$C$165,'DATA SISWA KLS 7'!$C$1,FALSE)</f>
        <v>#N/A</v>
      </c>
      <c r="C32" s="7" t="s">
        <v>78</v>
      </c>
      <c r="D32" s="33" t="e">
        <f>VLOOKUP(C32,'DATA SISWA KLS 7'!$A$2:$C$165,'DATA SISWA KLS 7'!$B$1,FALSE)</f>
        <v>#N/A</v>
      </c>
      <c r="E32" s="100">
        <v>25</v>
      </c>
      <c r="F32" s="100">
        <v>26</v>
      </c>
    </row>
    <row r="33" spans="1:16" ht="32.25" customHeight="1" x14ac:dyDescent="0.25">
      <c r="A33" s="15">
        <v>26</v>
      </c>
      <c r="B33" s="34" t="e">
        <f>VLOOKUP(C33,'DATA SISWA KLS 7'!$A$2:$C$165,'DATA SISWA KLS 7'!$C$1,FALSE)</f>
        <v>#N/A</v>
      </c>
      <c r="C33" s="3" t="s">
        <v>79</v>
      </c>
      <c r="D33" s="33" t="e">
        <f>VLOOKUP(C33,'DATA SISWA KLS 7'!$A$2:$C$165,'DATA SISWA KLS 7'!$B$1,FALSE)</f>
        <v>#N/A</v>
      </c>
      <c r="E33" s="100"/>
      <c r="F33" s="100"/>
    </row>
    <row r="34" spans="1:16" ht="32.25" customHeight="1" x14ac:dyDescent="0.25">
      <c r="A34" s="15">
        <v>27</v>
      </c>
      <c r="B34" s="34" t="e">
        <f>VLOOKUP(C34,'DATA SISWA KLS 7'!$A$2:$C$165,'DATA SISWA KLS 7'!$C$1,FALSE)</f>
        <v>#N/A</v>
      </c>
      <c r="C34" s="3" t="s">
        <v>80</v>
      </c>
      <c r="D34" s="33" t="e">
        <f>VLOOKUP(C34,'DATA SISWA KLS 7'!$A$2:$C$165,'DATA SISWA KLS 7'!$B$1,FALSE)</f>
        <v>#N/A</v>
      </c>
      <c r="E34" s="100">
        <v>27</v>
      </c>
      <c r="F34" s="100">
        <v>28</v>
      </c>
    </row>
    <row r="35" spans="1:16" ht="32.25" customHeight="1" x14ac:dyDescent="0.25">
      <c r="A35" s="15">
        <v>28</v>
      </c>
      <c r="B35" s="34" t="e">
        <f>VLOOKUP(C35,'DATA SISWA KLS 7'!$A$2:$C$165,'DATA SISWA KLS 7'!$C$1,FALSE)</f>
        <v>#N/A</v>
      </c>
      <c r="C35" s="7" t="s">
        <v>81</v>
      </c>
      <c r="D35" s="33" t="e">
        <f>VLOOKUP(C35,'DATA SISWA KLS 7'!$A$2:$C$165,'DATA SISWA KLS 7'!$B$1,FALSE)</f>
        <v>#N/A</v>
      </c>
      <c r="E35" s="100"/>
      <c r="F35" s="100"/>
    </row>
    <row r="36" spans="1:16" ht="32.25" customHeight="1" x14ac:dyDescent="0.25">
      <c r="A36" s="15">
        <v>29</v>
      </c>
      <c r="B36" s="34" t="e">
        <f>VLOOKUP(C36,'DATA SISWA KLS 7'!$A$2:$C$165,'DATA SISWA KLS 7'!$C$1,FALSE)</f>
        <v>#N/A</v>
      </c>
      <c r="C36" s="3" t="s">
        <v>92</v>
      </c>
      <c r="D36" s="33" t="e">
        <f>VLOOKUP(C36,'DATA SISWA KLS 7'!$A$2:$C$165,'DATA SISWA KLS 7'!$B$1,FALSE)</f>
        <v>#N/A</v>
      </c>
      <c r="E36" s="100">
        <v>29</v>
      </c>
      <c r="F36" s="100">
        <v>30</v>
      </c>
    </row>
    <row r="37" spans="1:16" ht="32.25" customHeight="1" x14ac:dyDescent="0.25">
      <c r="A37" s="15">
        <v>30</v>
      </c>
      <c r="B37" s="34" t="e">
        <f>VLOOKUP(C37,'DATA SISWA KLS 7'!$A$2:$C$165,'DATA SISWA KLS 7'!$C$1,FALSE)</f>
        <v>#N/A</v>
      </c>
      <c r="C37" s="3" t="s">
        <v>82</v>
      </c>
      <c r="D37" s="33" t="e">
        <f>VLOOKUP(C37,'DATA SISWA KLS 7'!$A$2:$C$165,'DATA SISWA KLS 7'!$B$1,FALSE)</f>
        <v>#N/A</v>
      </c>
      <c r="E37" s="100"/>
      <c r="F37" s="100"/>
    </row>
    <row r="38" spans="1:16" ht="32.25" customHeight="1" x14ac:dyDescent="0.25">
      <c r="A38" s="15">
        <v>31</v>
      </c>
      <c r="B38" s="34" t="e">
        <f>VLOOKUP(C38,'DATA SISWA KLS 7'!$A$2:$C$165,'DATA SISWA KLS 7'!$C$1,FALSE)</f>
        <v>#N/A</v>
      </c>
      <c r="C38" s="3" t="s">
        <v>83</v>
      </c>
      <c r="D38" s="33" t="e">
        <f>VLOOKUP(C38,'DATA SISWA KLS 7'!$A$2:$C$165,'DATA SISWA KLS 7'!$B$1,FALSE)</f>
        <v>#N/A</v>
      </c>
      <c r="E38" s="100">
        <v>31</v>
      </c>
      <c r="F38" s="100">
        <v>32</v>
      </c>
    </row>
    <row r="39" spans="1:16" ht="32.25" customHeight="1" x14ac:dyDescent="0.25">
      <c r="A39" s="15">
        <v>32</v>
      </c>
      <c r="B39" s="34" t="e">
        <f>VLOOKUP(C39,'DATA SISWA KLS 7'!$A$2:$C$165,'DATA SISWA KLS 7'!$C$1,FALSE)</f>
        <v>#N/A</v>
      </c>
      <c r="C39" s="3" t="s">
        <v>84</v>
      </c>
      <c r="D39" s="33" t="e">
        <f>VLOOKUP(C39,'DATA SISWA KLS 7'!$A$2:$C$165,'DATA SISWA KLS 7'!$B$1,FALSE)</f>
        <v>#N/A</v>
      </c>
      <c r="E39" s="100"/>
      <c r="F39" s="100"/>
    </row>
    <row r="40" spans="1:16" ht="32.25" customHeight="1" x14ac:dyDescent="0.25">
      <c r="A40" s="39">
        <v>33</v>
      </c>
      <c r="B40" s="34" t="e">
        <f>VLOOKUP(C40,'DATA SISWA KLS 7'!$A$2:$C$165,'DATA SISWA KLS 7'!$C$1,FALSE)</f>
        <v>#N/A</v>
      </c>
      <c r="C40" s="7" t="s">
        <v>85</v>
      </c>
      <c r="D40" s="33" t="e">
        <f>VLOOKUP(C40,'DATA SISWA KLS 7'!$A$2:$C$165,'DATA SISWA KLS 7'!$B$1,FALSE)</f>
        <v>#N/A</v>
      </c>
      <c r="E40" s="100">
        <v>33</v>
      </c>
      <c r="F40" s="100">
        <v>34</v>
      </c>
    </row>
    <row r="41" spans="1:16" ht="32.25" customHeight="1" x14ac:dyDescent="0.25">
      <c r="A41" s="15">
        <v>34</v>
      </c>
      <c r="B41" s="34" t="e">
        <f>VLOOKUP(C41,'DATA SISWA KLS 7'!$A$2:$C$165,'DATA SISWA KLS 7'!$C$1,FALSE)</f>
        <v>#N/A</v>
      </c>
      <c r="C41" s="7" t="s">
        <v>86</v>
      </c>
      <c r="D41" s="33" t="e">
        <f>VLOOKUP(C41,'DATA SISWA KLS 7'!$A$2:$C$165,'DATA SISWA KLS 7'!$B$1,FALSE)</f>
        <v>#N/A</v>
      </c>
      <c r="E41" s="100"/>
      <c r="F41" s="100"/>
    </row>
    <row r="42" spans="1:16" ht="32.25" customHeight="1" x14ac:dyDescent="0.25">
      <c r="A42" s="15">
        <v>35</v>
      </c>
      <c r="B42" s="34" t="e">
        <f>VLOOKUP(C42,'DATA SISWA KLS 7'!$A$2:$C$165,'DATA SISWA KLS 7'!$C$1,FALSE)</f>
        <v>#N/A</v>
      </c>
      <c r="C42" s="7" t="s">
        <v>87</v>
      </c>
      <c r="D42" s="33" t="e">
        <f>VLOOKUP(C42,'DATA SISWA KLS 7'!$A$2:$C$165,'DATA SISWA KLS 7'!$B$1,FALSE)</f>
        <v>#N/A</v>
      </c>
      <c r="E42" s="100">
        <v>35</v>
      </c>
      <c r="F42" s="100">
        <v>36</v>
      </c>
    </row>
    <row r="43" spans="1:16" ht="32.25" customHeight="1" x14ac:dyDescent="0.25">
      <c r="A43" s="15">
        <v>36</v>
      </c>
      <c r="B43" s="34" t="e">
        <f>VLOOKUP(C43,'DATA SISWA KLS 7'!$A$2:$C$165,'DATA SISWA KLS 7'!$C$1,FALSE)</f>
        <v>#N/A</v>
      </c>
      <c r="C43" s="27" t="s">
        <v>88</v>
      </c>
      <c r="D43" s="33" t="s">
        <v>4</v>
      </c>
      <c r="E43" s="100"/>
      <c r="F43" s="100"/>
    </row>
    <row r="44" spans="1:16" ht="20.100000000000001" customHeight="1" x14ac:dyDescent="0.25">
      <c r="A44" s="15">
        <v>37</v>
      </c>
      <c r="B44" s="34"/>
      <c r="C44" s="7"/>
      <c r="D44" s="33"/>
      <c r="E44" s="1"/>
      <c r="F44" s="1"/>
    </row>
    <row r="45" spans="1:16" ht="7.5" customHeight="1" x14ac:dyDescent="0.25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 x14ac:dyDescent="0.25">
      <c r="A46" s="101" t="s">
        <v>6</v>
      </c>
      <c r="B46" s="101"/>
      <c r="C46" s="36">
        <f>COUNTIF(D8:D44,"L")</f>
        <v>1</v>
      </c>
      <c r="D46" s="2"/>
      <c r="E46" s="2" t="s">
        <v>94</v>
      </c>
    </row>
    <row r="47" spans="1:16" x14ac:dyDescent="0.25">
      <c r="A47" s="101" t="s">
        <v>7</v>
      </c>
      <c r="B47" s="101"/>
      <c r="C47" s="35">
        <f>COUNTIF(D8:D44,"P")</f>
        <v>0</v>
      </c>
      <c r="D47" s="2"/>
      <c r="E47" s="2" t="s">
        <v>97</v>
      </c>
    </row>
    <row r="48" spans="1:16" x14ac:dyDescent="0.25">
      <c r="A48" s="101" t="s">
        <v>8</v>
      </c>
      <c r="B48" s="101"/>
      <c r="C48" s="36">
        <f>SUM(C46:C47)</f>
        <v>1</v>
      </c>
      <c r="D48" s="2"/>
      <c r="E48" s="36" t="s">
        <v>95</v>
      </c>
    </row>
    <row r="49" spans="1:16" x14ac:dyDescent="0.25">
      <c r="A49" s="101" t="s">
        <v>9</v>
      </c>
      <c r="B49" s="101"/>
      <c r="C49" s="2" t="s">
        <v>89</v>
      </c>
      <c r="D49" s="2"/>
      <c r="E49" s="36"/>
    </row>
    <row r="50" spans="1:16" x14ac:dyDescent="0.25">
      <c r="A50" s="2"/>
      <c r="B50" s="2"/>
      <c r="C50" s="2"/>
      <c r="D50" s="2"/>
      <c r="E50" s="2" t="s">
        <v>96</v>
      </c>
    </row>
    <row r="51" spans="1:1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</sheetData>
  <mergeCells count="48">
    <mergeCell ref="A47:B47"/>
    <mergeCell ref="A48:B48"/>
    <mergeCell ref="A49:B49"/>
    <mergeCell ref="A1:F1"/>
    <mergeCell ref="A2:F2"/>
    <mergeCell ref="A3:F3"/>
    <mergeCell ref="A5:F5"/>
    <mergeCell ref="E6:F7"/>
    <mergeCell ref="E38:E39"/>
    <mergeCell ref="F38:F39"/>
    <mergeCell ref="E40:E41"/>
    <mergeCell ref="F40:F41"/>
    <mergeCell ref="E42:E43"/>
    <mergeCell ref="F42:F43"/>
    <mergeCell ref="E32:E33"/>
    <mergeCell ref="E34:E35"/>
    <mergeCell ref="F34:F35"/>
    <mergeCell ref="E36:E37"/>
    <mergeCell ref="F36:F37"/>
    <mergeCell ref="A46:B46"/>
    <mergeCell ref="E28:E29"/>
    <mergeCell ref="F28:F29"/>
    <mergeCell ref="E30:E31"/>
    <mergeCell ref="F30:F31"/>
    <mergeCell ref="F32:F33"/>
    <mergeCell ref="E22:E23"/>
    <mergeCell ref="F22:F23"/>
    <mergeCell ref="E24:E25"/>
    <mergeCell ref="F24:F25"/>
    <mergeCell ref="E26:E27"/>
    <mergeCell ref="F26:F27"/>
    <mergeCell ref="E16:E17"/>
    <mergeCell ref="F16:F17"/>
    <mergeCell ref="E18:E19"/>
    <mergeCell ref="F18:F19"/>
    <mergeCell ref="E20:E21"/>
    <mergeCell ref="F20:F21"/>
    <mergeCell ref="E10:E11"/>
    <mergeCell ref="F10:F11"/>
    <mergeCell ref="E12:E13"/>
    <mergeCell ref="F12:F13"/>
    <mergeCell ref="E14:E15"/>
    <mergeCell ref="F14:F15"/>
    <mergeCell ref="A6:B6"/>
    <mergeCell ref="C6:C7"/>
    <mergeCell ref="D6:D7"/>
    <mergeCell ref="E8:E9"/>
    <mergeCell ref="F8:F9"/>
  </mergeCells>
  <printOptions horizontalCentered="1"/>
  <pageMargins left="0.55118110236220474" right="0.51181102362204722" top="0.15748031496062992" bottom="0.15748031496062992" header="0.31496062992125984" footer="0.31496062992125984"/>
  <pageSetup paperSize="5" scale="72" orientation="portrait" horizontalDpi="4294967292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7.3 (2)</vt:lpstr>
      <vt:lpstr>7.2 (2)</vt:lpstr>
      <vt:lpstr>7.1 (2)</vt:lpstr>
      <vt:lpstr>7.1</vt:lpstr>
      <vt:lpstr>7.2</vt:lpstr>
      <vt:lpstr>7.3</vt:lpstr>
      <vt:lpstr>DATA SISWA KLS 7</vt:lpstr>
      <vt:lpstr>Sheet1</vt:lpstr>
      <vt:lpstr>Sheet2</vt:lpstr>
      <vt:lpstr>guuru</vt:lpstr>
      <vt:lpstr>DAFTAR TTD RAPOT</vt:lpstr>
      <vt:lpstr>'7.1'!Print_Area</vt:lpstr>
      <vt:lpstr>'7.1 (2)'!Print_Area</vt:lpstr>
      <vt:lpstr>'7.2'!Print_Area</vt:lpstr>
      <vt:lpstr>'7.2 (2)'!Print_Area</vt:lpstr>
      <vt:lpstr>'7.3'!Print_Area</vt:lpstr>
      <vt:lpstr>'7.3 (2)'!Print_Area</vt:lpstr>
      <vt:lpstr>'DAFTAR TTD RAPOT'!Print_Area</vt:lpstr>
      <vt:lpstr>'DATA SISWA KLS 7'!Print_Area</vt:lpstr>
    </vt:vector>
  </TitlesOfParts>
  <Company>high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smpth</dc:creator>
  <cp:lastModifiedBy>Siswa</cp:lastModifiedBy>
  <cp:lastPrinted>2026-07-22T00:00:07Z</cp:lastPrinted>
  <dcterms:created xsi:type="dcterms:W3CDTF">2011-06-20T07:10:02Z</dcterms:created>
  <dcterms:modified xsi:type="dcterms:W3CDTF">2026-07-22T00:00:12Z</dcterms:modified>
</cp:coreProperties>
</file>